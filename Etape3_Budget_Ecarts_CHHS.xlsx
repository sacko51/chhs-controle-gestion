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830E8A01-7EEC-4CC3-878E-6D8D416BB1B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00_Sommaire" sheetId="1" r:id="rId1"/>
    <sheet name="01_Budget_vs_Reel" sheetId="2" r:id="rId2"/>
    <sheet name="02_Decomposition_Ec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3" l="1"/>
  <c r="B21" i="3"/>
  <c r="D21" i="3" s="1"/>
  <c r="C20" i="3"/>
  <c r="B20" i="3"/>
  <c r="D20" i="3" s="1"/>
  <c r="C19" i="3"/>
  <c r="B19" i="3"/>
  <c r="D19" i="3" s="1"/>
  <c r="C18" i="3"/>
  <c r="B18" i="3"/>
  <c r="D18" i="3" s="1"/>
  <c r="C17" i="3"/>
  <c r="B17" i="3"/>
  <c r="D17" i="3" s="1"/>
  <c r="C16" i="3"/>
  <c r="B16" i="3"/>
  <c r="C11" i="3"/>
  <c r="B11" i="3"/>
  <c r="D11" i="3" s="1"/>
  <c r="C10" i="3"/>
  <c r="B10" i="3"/>
  <c r="D10" i="3" s="1"/>
  <c r="C9" i="3"/>
  <c r="B9" i="3"/>
  <c r="D9" i="3" s="1"/>
  <c r="C8" i="3"/>
  <c r="B8" i="3"/>
  <c r="D8" i="3" s="1"/>
  <c r="C7" i="3"/>
  <c r="B7" i="3"/>
  <c r="D7" i="3" s="1"/>
  <c r="C6" i="3"/>
  <c r="C12" i="3" s="1"/>
  <c r="B6" i="3"/>
  <c r="D6" i="3" s="1"/>
  <c r="O9" i="2"/>
  <c r="P9" i="2" s="1"/>
  <c r="N9" i="2"/>
  <c r="K9" i="2"/>
  <c r="G9" i="2"/>
  <c r="H9" i="2" s="1"/>
  <c r="I9" i="2" s="1"/>
  <c r="F9" i="2"/>
  <c r="C9" i="2"/>
  <c r="D9" i="2" s="1"/>
  <c r="E9" i="2" s="1"/>
  <c r="B9" i="2"/>
  <c r="J9" i="2" s="1"/>
  <c r="O8" i="2"/>
  <c r="P8" i="2" s="1"/>
  <c r="N8" i="2"/>
  <c r="G8" i="2"/>
  <c r="H8" i="2" s="1"/>
  <c r="I8" i="2" s="1"/>
  <c r="F8" i="2"/>
  <c r="C8" i="2"/>
  <c r="K8" i="2" s="1"/>
  <c r="B8" i="2"/>
  <c r="J8" i="2" s="1"/>
  <c r="O7" i="2"/>
  <c r="P7" i="2" s="1"/>
  <c r="N7" i="2"/>
  <c r="G7" i="2"/>
  <c r="H7" i="2" s="1"/>
  <c r="I7" i="2" s="1"/>
  <c r="F7" i="2"/>
  <c r="J7" i="2" s="1"/>
  <c r="C7" i="2"/>
  <c r="D7" i="2" s="1"/>
  <c r="E7" i="2" s="1"/>
  <c r="B7" i="2"/>
  <c r="P6" i="2"/>
  <c r="O6" i="2"/>
  <c r="N6" i="2"/>
  <c r="K6" i="2"/>
  <c r="L6" i="2" s="1"/>
  <c r="M6" i="2" s="1"/>
  <c r="J6" i="2"/>
  <c r="H6" i="2"/>
  <c r="I6" i="2" s="1"/>
  <c r="G6" i="2"/>
  <c r="F6" i="2"/>
  <c r="D6" i="2"/>
  <c r="E6" i="2" s="1"/>
  <c r="C6" i="2"/>
  <c r="B6" i="2"/>
  <c r="O5" i="2"/>
  <c r="P5" i="2" s="1"/>
  <c r="N5" i="2"/>
  <c r="K5" i="2"/>
  <c r="G5" i="2"/>
  <c r="H5" i="2" s="1"/>
  <c r="I5" i="2" s="1"/>
  <c r="F5" i="2"/>
  <c r="C5" i="2"/>
  <c r="D5" i="2" s="1"/>
  <c r="E5" i="2" s="1"/>
  <c r="B5" i="2"/>
  <c r="J5" i="2" s="1"/>
  <c r="O4" i="2"/>
  <c r="P4" i="2" s="1"/>
  <c r="N4" i="2"/>
  <c r="G4" i="2"/>
  <c r="G10" i="2" s="1"/>
  <c r="F4" i="2"/>
  <c r="F10" i="2" s="1"/>
  <c r="C4" i="2"/>
  <c r="D4" i="2" s="1"/>
  <c r="B4" i="2"/>
  <c r="J4" i="2" s="1"/>
  <c r="J10" i="2" s="1"/>
  <c r="B22" i="3" l="1"/>
  <c r="C22" i="3"/>
  <c r="L8" i="2"/>
  <c r="M8" i="2" s="1"/>
  <c r="E4" i="2"/>
  <c r="L9" i="2"/>
  <c r="M9" i="2" s="1"/>
  <c r="L5" i="2"/>
  <c r="M5" i="2" s="1"/>
  <c r="D12" i="3"/>
  <c r="D16" i="3"/>
  <c r="D22" i="3" s="1"/>
  <c r="H4" i="2"/>
  <c r="K7" i="2"/>
  <c r="L7" i="2" s="1"/>
  <c r="M7" i="2" s="1"/>
  <c r="B10" i="2"/>
  <c r="C10" i="2"/>
  <c r="D8" i="2"/>
  <c r="E8" i="2" s="1"/>
  <c r="B12" i="3"/>
  <c r="K4" i="2"/>
  <c r="I4" i="2" l="1"/>
  <c r="H10" i="2"/>
  <c r="I10" i="2" s="1"/>
  <c r="D10" i="2"/>
  <c r="E10" i="2" s="1"/>
  <c r="L4" i="2"/>
  <c r="K10" i="2"/>
  <c r="M4" i="2" l="1"/>
  <c r="L10" i="2"/>
  <c r="M10" i="2" s="1"/>
</calcChain>
</file>

<file path=xl/sharedStrings.xml><?xml version="1.0" encoding="utf-8"?>
<sst xmlns="http://schemas.openxmlformats.org/spreadsheetml/2006/main" count="67" uniqueCount="51">
  <si>
    <t>ÉTAPE 3 - BUDGET ET ANALYSE DES ÉCARTS - CHHS</t>
  </si>
  <si>
    <t>Centre hospitalier horizon SANTÉ (CHHS) - Exercice N, Budget vs Réalisé</t>
  </si>
  <si>
    <t>Données fictives construites à des fins pédagogiques et professionnelles.</t>
  </si>
  <si>
    <t>Onglet</t>
  </si>
  <si>
    <t>Contenu</t>
  </si>
  <si>
    <t>01_Budget_vs_Reel</t>
  </si>
  <si>
    <t>Comparaison Budget / Réalisé par activité (CA, coût, marge, volume, coût unitaire) avec seuils d'alerte</t>
  </si>
  <si>
    <t>02_Decomposition_Ecarts</t>
  </si>
  <si>
    <t>Décomposition des écarts de CA (effet volume / effet prix) et de coût (effet volume / effet coût unitaire)</t>
  </si>
  <si>
    <t>Seuils d'alerte (appliqués sur les écarts en %)</t>
  </si>
  <si>
    <t>Vert</t>
  </si>
  <si>
    <t>Écart absolu &lt; 5 %</t>
  </si>
  <si>
    <t>Orange</t>
  </si>
  <si>
    <t>Écart absolu entre 5 % et 10 %</t>
  </si>
  <si>
    <t>Rouge</t>
  </si>
  <si>
    <t>Écart absolu ≥ 10 %</t>
  </si>
  <si>
    <t>Les données réalisées reprennent strictement les volumes, CA et coûts par activité de l'Étape 2 (source unique de données).</t>
  </si>
  <si>
    <t>BUDGET vs RÉALISÉ PAR ACTIVITÉ - CHHS - EXERCICE N (en k€ sauf mention contraire)</t>
  </si>
  <si>
    <t>Activité</t>
  </si>
  <si>
    <t>CA
Budget</t>
  </si>
  <si>
    <t>CA
Réel</t>
  </si>
  <si>
    <t>Écart CA
(k€)</t>
  </si>
  <si>
    <t>Écart CA
(%)</t>
  </si>
  <si>
    <t>Coût
Budget</t>
  </si>
  <si>
    <t>Coût
Réel</t>
  </si>
  <si>
    <t>Écart Coût
(k€)</t>
  </si>
  <si>
    <t>Écart Coût
(%)</t>
  </si>
  <si>
    <t>Marge
Budget</t>
  </si>
  <si>
    <t>Marge
Réel</t>
  </si>
  <si>
    <t>Écart Marge
(k€)</t>
  </si>
  <si>
    <t>Écart Marge
(%)</t>
  </si>
  <si>
    <t>Coût unit.
Budget (€)</t>
  </si>
  <si>
    <t>Coût unit.
Réel (€)</t>
  </si>
  <si>
    <t>Écart coût
unit. (%)</t>
  </si>
  <si>
    <t>Consultations externes</t>
  </si>
  <si>
    <t>Hospitalisation complète</t>
  </si>
  <si>
    <t>Hospitalisation de jour</t>
  </si>
  <si>
    <t>Bloc opératoire</t>
  </si>
  <si>
    <t>Imagerie médicale</t>
  </si>
  <si>
    <t>Laboratoire</t>
  </si>
  <si>
    <t>TOTAL CHHS</t>
  </si>
  <si>
    <t>DÉCOMPOSITION DES ÉCARTS - CA (VOLUME / PRIX) ET COÛT (VOLUME / COÛT UNITAIRE)</t>
  </si>
  <si>
    <t>ÉCART DE CHIFFRE D'AFFAIRES</t>
  </si>
  <si>
    <t>Effet Volume
(k€)</t>
  </si>
  <si>
    <t>Effet Prix
(k€)</t>
  </si>
  <si>
    <t>Écart CA total
(k€)</t>
  </si>
  <si>
    <t>TOTAL</t>
  </si>
  <si>
    <t>ÉCART DE COÛT</t>
  </si>
  <si>
    <t>Effet Coût unitaire
(k€)</t>
  </si>
  <si>
    <t>Écart Coût total
(k€)</t>
  </si>
  <si>
    <t>Lecture : un effet volume positif reflète une activité supérieure au budget (favorable en CA, mécaniquement défavorable en coût) ; un effet coût unitaire positif signale une dérive du coût par acte/séjour au-delà de l'hypothèse budgétaire.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</si>
</sst>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&quot; €&quot;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i/>
      <sz val="9"/>
      <name val="Cambria"/>
      <charset val="1"/>
    </font>
    <font>
      <b/>
      <sz val="11"/>
      <color rgb="FFFFFFFF"/>
      <name val="Cambria"/>
      <family val="1"/>
    </font>
    <font>
      <i/>
      <sz val="9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4" fillId="6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wrapText="1"/>
    </xf>
  </cellXfs>
  <cellStyles count="1">
    <cellStyle name="Normal" xfId="0" builtinId="0"/>
  </cellStyles>
  <dxfs count="12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B16" sqref="B16"/>
    </sheetView>
  </sheetViews>
  <sheetFormatPr baseColWidth="10" defaultColWidth="8.7109375" defaultRowHeight="15" x14ac:dyDescent="0.25"/>
  <cols>
    <col min="1" max="1" width="66.5703125" bestFit="1" customWidth="1"/>
    <col min="2" max="2" width="95" customWidth="1"/>
  </cols>
  <sheetData>
    <row r="1" spans="1:2" ht="17.25" customHeight="1" x14ac:dyDescent="0.25">
      <c r="A1" s="2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3" t="s">
        <v>2</v>
      </c>
    </row>
    <row r="6" spans="1:2" ht="15" customHeight="1" x14ac:dyDescent="0.25">
      <c r="A6" s="4" t="s">
        <v>3</v>
      </c>
      <c r="B6" s="4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s="5" t="s">
        <v>9</v>
      </c>
    </row>
    <row r="10" spans="1:2" ht="15" customHeight="1" x14ac:dyDescent="0.25">
      <c r="A10" s="6" t="s">
        <v>10</v>
      </c>
      <c r="B10" t="s">
        <v>11</v>
      </c>
    </row>
    <row r="11" spans="1:2" ht="15" customHeight="1" x14ac:dyDescent="0.25">
      <c r="A11" s="7" t="s">
        <v>12</v>
      </c>
      <c r="B11" t="s">
        <v>13</v>
      </c>
    </row>
    <row r="12" spans="1:2" ht="15" customHeight="1" x14ac:dyDescent="0.25">
      <c r="A12" s="8" t="s">
        <v>14</v>
      </c>
      <c r="B12" t="s">
        <v>15</v>
      </c>
    </row>
    <row r="14" spans="1:2" ht="30" customHeight="1" x14ac:dyDescent="0.25">
      <c r="A14" s="9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zoomScaleNormal="100" workbookViewId="0">
      <selection activeCell="L13" sqref="L13"/>
    </sheetView>
  </sheetViews>
  <sheetFormatPr baseColWidth="10" defaultColWidth="8.7109375" defaultRowHeight="15" x14ac:dyDescent="0.25"/>
  <cols>
    <col min="1" max="1" width="24" customWidth="1"/>
    <col min="2" max="16" width="12" customWidth="1"/>
    <col min="17" max="22" width="13" hidden="1" customWidth="1"/>
  </cols>
  <sheetData>
    <row r="1" spans="1:22" ht="17.25" customHeight="1" x14ac:dyDescent="0.25">
      <c r="A1" s="2" t="s">
        <v>17</v>
      </c>
    </row>
    <row r="3" spans="1:22" s="21" customFormat="1" ht="48.75" customHeight="1" x14ac:dyDescent="0.25">
      <c r="A3" s="20" t="s">
        <v>18</v>
      </c>
      <c r="B3" s="20" t="s">
        <v>19</v>
      </c>
      <c r="C3" s="20" t="s">
        <v>20</v>
      </c>
      <c r="D3" s="20" t="s">
        <v>21</v>
      </c>
      <c r="E3" s="20" t="s">
        <v>22</v>
      </c>
      <c r="F3" s="20" t="s">
        <v>23</v>
      </c>
      <c r="G3" s="20" t="s">
        <v>24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</row>
    <row r="4" spans="1:22" ht="25.5" customHeight="1" x14ac:dyDescent="0.25">
      <c r="A4" s="10" t="s">
        <v>34</v>
      </c>
      <c r="B4" s="11">
        <f t="shared" ref="B4:B9" si="0">Q4*R4/1000</f>
        <v>6232</v>
      </c>
      <c r="C4" s="11">
        <f t="shared" ref="C4:C9" si="1">U4</f>
        <v>6375</v>
      </c>
      <c r="D4" s="11">
        <f t="shared" ref="D4:D9" si="2">C4-B4</f>
        <v>143</v>
      </c>
      <c r="E4" s="12">
        <f t="shared" ref="E4:E9" si="3">IFERROR(D4/B4,"-")</f>
        <v>2.2946084724005136E-2</v>
      </c>
      <c r="F4" s="11">
        <f t="shared" ref="F4:F9" si="4">Q4*S4/1000</f>
        <v>4920</v>
      </c>
      <c r="G4" s="11">
        <f t="shared" ref="G4:G9" si="5">V4</f>
        <v>5151.42</v>
      </c>
      <c r="H4" s="11">
        <f t="shared" ref="H4:H9" si="6">G4-F4</f>
        <v>231.42000000000007</v>
      </c>
      <c r="I4" s="12">
        <f t="shared" ref="I4:I9" si="7">IFERROR(H4/F4,"-")</f>
        <v>4.7036585365853673E-2</v>
      </c>
      <c r="J4" s="11">
        <f t="shared" ref="J4:K9" si="8">B4-F4</f>
        <v>1312</v>
      </c>
      <c r="K4" s="11">
        <f t="shared" si="8"/>
        <v>1223.58</v>
      </c>
      <c r="L4" s="11">
        <f t="shared" ref="L4:L9" si="9">K4-J4</f>
        <v>-88.420000000000073</v>
      </c>
      <c r="M4" s="12">
        <f t="shared" ref="M4:M9" si="10">IFERROR(L4/ABS(J4),"-")</f>
        <v>-6.7393292682926889E-2</v>
      </c>
      <c r="N4" s="13">
        <f t="shared" ref="N4:N9" si="11">S4</f>
        <v>60</v>
      </c>
      <c r="O4" s="13">
        <f t="shared" ref="O4:O9" si="12">IFERROR(V4*1000/T4,"-")</f>
        <v>60.604941176470589</v>
      </c>
      <c r="P4" s="12">
        <f t="shared" ref="P4:P9" si="13">IFERROR((O4-N4)/N4,"-")</f>
        <v>1.008235294117649E-2</v>
      </c>
      <c r="Q4" s="14">
        <v>82000</v>
      </c>
      <c r="R4" s="14">
        <v>76</v>
      </c>
      <c r="S4" s="14">
        <v>60</v>
      </c>
      <c r="T4" s="14">
        <v>85000</v>
      </c>
      <c r="U4" s="14">
        <v>6375</v>
      </c>
      <c r="V4" s="14">
        <v>5151.42</v>
      </c>
    </row>
    <row r="5" spans="1:22" ht="25.5" customHeight="1" x14ac:dyDescent="0.25">
      <c r="A5" s="10" t="s">
        <v>35</v>
      </c>
      <c r="B5" s="11">
        <f t="shared" si="0"/>
        <v>16985</v>
      </c>
      <c r="C5" s="11">
        <f t="shared" si="1"/>
        <v>17000</v>
      </c>
      <c r="D5" s="11">
        <f t="shared" si="2"/>
        <v>15</v>
      </c>
      <c r="E5" s="12">
        <f t="shared" si="3"/>
        <v>8.8313217544892548E-4</v>
      </c>
      <c r="F5" s="11">
        <f t="shared" si="4"/>
        <v>15050</v>
      </c>
      <c r="G5" s="11">
        <f t="shared" si="5"/>
        <v>15186.48</v>
      </c>
      <c r="H5" s="11">
        <f t="shared" si="6"/>
        <v>136.47999999999956</v>
      </c>
      <c r="I5" s="12">
        <f t="shared" si="7"/>
        <v>9.0684385382059519E-3</v>
      </c>
      <c r="J5" s="11">
        <f t="shared" si="8"/>
        <v>1935</v>
      </c>
      <c r="K5" s="11">
        <f t="shared" si="8"/>
        <v>1813.5200000000004</v>
      </c>
      <c r="L5" s="11">
        <f t="shared" si="9"/>
        <v>-121.47999999999956</v>
      </c>
      <c r="M5" s="12">
        <f t="shared" si="10"/>
        <v>-6.2780361757105718E-2</v>
      </c>
      <c r="N5" s="13">
        <f t="shared" si="11"/>
        <v>3500</v>
      </c>
      <c r="O5" s="13">
        <f t="shared" si="12"/>
        <v>3615.8285714285716</v>
      </c>
      <c r="P5" s="12">
        <f t="shared" si="13"/>
        <v>3.3093877551020473E-2</v>
      </c>
      <c r="Q5" s="14">
        <v>4300</v>
      </c>
      <c r="R5" s="14">
        <v>3950</v>
      </c>
      <c r="S5" s="14">
        <v>3500</v>
      </c>
      <c r="T5" s="14">
        <v>4200</v>
      </c>
      <c r="U5" s="14">
        <v>17000</v>
      </c>
      <c r="V5" s="14">
        <v>15186.48</v>
      </c>
    </row>
    <row r="6" spans="1:22" ht="25.5" customHeight="1" x14ac:dyDescent="0.25">
      <c r="A6" s="10" t="s">
        <v>36</v>
      </c>
      <c r="B6" s="11">
        <f t="shared" si="0"/>
        <v>4940</v>
      </c>
      <c r="C6" s="11">
        <f t="shared" si="1"/>
        <v>5100</v>
      </c>
      <c r="D6" s="11">
        <f t="shared" si="2"/>
        <v>160</v>
      </c>
      <c r="E6" s="12">
        <f t="shared" si="3"/>
        <v>3.2388663967611336E-2</v>
      </c>
      <c r="F6" s="11">
        <f t="shared" si="4"/>
        <v>3640</v>
      </c>
      <c r="G6" s="11">
        <f t="shared" si="5"/>
        <v>3987.84</v>
      </c>
      <c r="H6" s="11">
        <f t="shared" si="6"/>
        <v>347.84000000000015</v>
      </c>
      <c r="I6" s="12">
        <f t="shared" si="7"/>
        <v>9.5560439560439595E-2</v>
      </c>
      <c r="J6" s="11">
        <f t="shared" si="8"/>
        <v>1300</v>
      </c>
      <c r="K6" s="11">
        <f t="shared" si="8"/>
        <v>1112.1599999999999</v>
      </c>
      <c r="L6" s="11">
        <f t="shared" si="9"/>
        <v>-187.84000000000015</v>
      </c>
      <c r="M6" s="12">
        <f t="shared" si="10"/>
        <v>-0.14449230769230781</v>
      </c>
      <c r="N6" s="13">
        <f t="shared" si="11"/>
        <v>560</v>
      </c>
      <c r="O6" s="13">
        <f t="shared" si="12"/>
        <v>586.44705882352946</v>
      </c>
      <c r="P6" s="12">
        <f t="shared" si="13"/>
        <v>4.7226890756302604E-2</v>
      </c>
      <c r="Q6" s="14">
        <v>6500</v>
      </c>
      <c r="R6" s="14">
        <v>760</v>
      </c>
      <c r="S6" s="14">
        <v>560</v>
      </c>
      <c r="T6" s="14">
        <v>6800</v>
      </c>
      <c r="U6" s="14">
        <v>5100</v>
      </c>
      <c r="V6" s="14">
        <v>3987.84</v>
      </c>
    </row>
    <row r="7" spans="1:22" ht="25.5" customHeight="1" x14ac:dyDescent="0.25">
      <c r="A7" s="10" t="s">
        <v>37</v>
      </c>
      <c r="B7" s="11">
        <f t="shared" si="0"/>
        <v>8500</v>
      </c>
      <c r="C7" s="11">
        <f t="shared" si="1"/>
        <v>7650</v>
      </c>
      <c r="D7" s="11">
        <f t="shared" si="2"/>
        <v>-850</v>
      </c>
      <c r="E7" s="12">
        <f t="shared" si="3"/>
        <v>-0.1</v>
      </c>
      <c r="F7" s="11">
        <f t="shared" si="4"/>
        <v>9860</v>
      </c>
      <c r="G7" s="11">
        <f t="shared" si="5"/>
        <v>9910.7999999999993</v>
      </c>
      <c r="H7" s="11">
        <f t="shared" si="6"/>
        <v>50.799999999999272</v>
      </c>
      <c r="I7" s="12">
        <f t="shared" si="7"/>
        <v>5.1521298174441454E-3</v>
      </c>
      <c r="J7" s="11">
        <f t="shared" si="8"/>
        <v>-1360</v>
      </c>
      <c r="K7" s="11">
        <f t="shared" si="8"/>
        <v>-2260.7999999999993</v>
      </c>
      <c r="L7" s="11">
        <f t="shared" si="9"/>
        <v>-900.79999999999927</v>
      </c>
      <c r="M7" s="12">
        <f t="shared" si="10"/>
        <v>-0.66235294117647003</v>
      </c>
      <c r="N7" s="13">
        <f t="shared" si="11"/>
        <v>2900</v>
      </c>
      <c r="O7" s="13">
        <f t="shared" si="12"/>
        <v>3197.0322580645161</v>
      </c>
      <c r="P7" s="12">
        <f t="shared" si="13"/>
        <v>0.10242491657397107</v>
      </c>
      <c r="Q7" s="14">
        <v>3400</v>
      </c>
      <c r="R7" s="14">
        <v>2500</v>
      </c>
      <c r="S7" s="14">
        <v>2900</v>
      </c>
      <c r="T7" s="14">
        <v>3100</v>
      </c>
      <c r="U7" s="14">
        <v>7650</v>
      </c>
      <c r="V7" s="14">
        <v>9910.7999999999993</v>
      </c>
    </row>
    <row r="8" spans="1:22" ht="25.5" customHeight="1" x14ac:dyDescent="0.25">
      <c r="A8" s="10" t="s">
        <v>38</v>
      </c>
      <c r="B8" s="11">
        <f t="shared" si="0"/>
        <v>4095</v>
      </c>
      <c r="C8" s="11">
        <f t="shared" si="1"/>
        <v>4250</v>
      </c>
      <c r="D8" s="11">
        <f t="shared" si="2"/>
        <v>155</v>
      </c>
      <c r="E8" s="12">
        <f t="shared" si="3"/>
        <v>3.7851037851037848E-2</v>
      </c>
      <c r="F8" s="11">
        <f t="shared" si="4"/>
        <v>3360</v>
      </c>
      <c r="G8" s="11">
        <f t="shared" si="5"/>
        <v>3612.36</v>
      </c>
      <c r="H8" s="11">
        <f t="shared" si="6"/>
        <v>252.36000000000013</v>
      </c>
      <c r="I8" s="12">
        <f t="shared" si="7"/>
        <v>7.51071428571429E-2</v>
      </c>
      <c r="J8" s="11">
        <f t="shared" si="8"/>
        <v>735</v>
      </c>
      <c r="K8" s="11">
        <f t="shared" si="8"/>
        <v>637.63999999999987</v>
      </c>
      <c r="L8" s="11">
        <f t="shared" si="9"/>
        <v>-97.360000000000127</v>
      </c>
      <c r="M8" s="12">
        <f t="shared" si="10"/>
        <v>-0.13246258503401379</v>
      </c>
      <c r="N8" s="13">
        <f t="shared" si="11"/>
        <v>160</v>
      </c>
      <c r="O8" s="13">
        <f t="shared" si="12"/>
        <v>164.19818181818181</v>
      </c>
      <c r="P8" s="12">
        <f t="shared" si="13"/>
        <v>2.6238636363636304E-2</v>
      </c>
      <c r="Q8" s="14">
        <v>21000</v>
      </c>
      <c r="R8" s="14">
        <v>195</v>
      </c>
      <c r="S8" s="14">
        <v>160</v>
      </c>
      <c r="T8" s="14">
        <v>22000</v>
      </c>
      <c r="U8" s="14">
        <v>4250</v>
      </c>
      <c r="V8" s="14">
        <v>3612.36</v>
      </c>
    </row>
    <row r="9" spans="1:22" ht="25.5" customHeight="1" x14ac:dyDescent="0.25">
      <c r="A9" s="10" t="s">
        <v>39</v>
      </c>
      <c r="B9" s="11">
        <f t="shared" si="0"/>
        <v>2070</v>
      </c>
      <c r="C9" s="11">
        <f t="shared" si="1"/>
        <v>2125</v>
      </c>
      <c r="D9" s="11">
        <f t="shared" si="2"/>
        <v>55</v>
      </c>
      <c r="E9" s="12">
        <f t="shared" si="3"/>
        <v>2.6570048309178744E-2</v>
      </c>
      <c r="F9" s="11">
        <f t="shared" si="4"/>
        <v>2430</v>
      </c>
      <c r="G9" s="11">
        <f t="shared" si="5"/>
        <v>2825.1</v>
      </c>
      <c r="H9" s="11">
        <f t="shared" si="6"/>
        <v>395.09999999999991</v>
      </c>
      <c r="I9" s="12">
        <f t="shared" si="7"/>
        <v>0.16259259259259257</v>
      </c>
      <c r="J9" s="11">
        <f t="shared" si="8"/>
        <v>-360</v>
      </c>
      <c r="K9" s="11">
        <f t="shared" si="8"/>
        <v>-700.09999999999991</v>
      </c>
      <c r="L9" s="11">
        <f t="shared" si="9"/>
        <v>-340.09999999999991</v>
      </c>
      <c r="M9" s="12">
        <f t="shared" si="10"/>
        <v>-0.94472222222222202</v>
      </c>
      <c r="N9" s="13">
        <f t="shared" si="11"/>
        <v>27</v>
      </c>
      <c r="O9" s="13">
        <f t="shared" si="12"/>
        <v>29.737894736842104</v>
      </c>
      <c r="P9" s="12">
        <f t="shared" si="13"/>
        <v>0.1014035087719298</v>
      </c>
      <c r="Q9" s="14">
        <v>90000</v>
      </c>
      <c r="R9" s="14">
        <v>23</v>
      </c>
      <c r="S9" s="14">
        <v>27</v>
      </c>
      <c r="T9" s="14">
        <v>95000</v>
      </c>
      <c r="U9" s="14">
        <v>2125</v>
      </c>
      <c r="V9" s="14">
        <v>2825.1</v>
      </c>
    </row>
    <row r="10" spans="1:22" ht="25.5" customHeight="1" x14ac:dyDescent="0.25">
      <c r="A10" s="15" t="s">
        <v>40</v>
      </c>
      <c r="B10" s="16">
        <f>SUM(B4:B9)</f>
        <v>42822</v>
      </c>
      <c r="C10" s="16">
        <f>SUM(C4:C9)</f>
        <v>42500</v>
      </c>
      <c r="D10" s="16">
        <f>SUM(D4:D9)</f>
        <v>-322</v>
      </c>
      <c r="E10" s="17">
        <f>D10/B10</f>
        <v>-7.5194993227780116E-3</v>
      </c>
      <c r="F10" s="16">
        <f>SUM(F4:F9)</f>
        <v>39260</v>
      </c>
      <c r="G10" s="16">
        <f>SUM(G4:G9)</f>
        <v>40674</v>
      </c>
      <c r="H10" s="16">
        <f>SUM(H4:H9)</f>
        <v>1413.9999999999991</v>
      </c>
      <c r="I10" s="17">
        <f>H10/F10</f>
        <v>3.6016301579215461E-2</v>
      </c>
      <c r="J10" s="16">
        <f>SUM(J4:J9)</f>
        <v>3562</v>
      </c>
      <c r="K10" s="16">
        <f>SUM(K4:K9)</f>
        <v>1826.0000000000009</v>
      </c>
      <c r="L10" s="16">
        <f>SUM(L4:L9)</f>
        <v>-1735.9999999999991</v>
      </c>
      <c r="M10" s="17">
        <f>L10/ABS(J10)</f>
        <v>-0.48736664795058932</v>
      </c>
      <c r="N10" s="10"/>
      <c r="O10" s="10"/>
      <c r="P10" s="10"/>
    </row>
  </sheetData>
  <conditionalFormatting sqref="E4:E9">
    <cfRule type="expression" dxfId="11" priority="2">
      <formula>ABS(E4)&gt;=0.1</formula>
    </cfRule>
    <cfRule type="expression" dxfId="10" priority="3">
      <formula>AND(ABS(E4)&gt;=0.05,ABS(E4)&lt;0.1)</formula>
    </cfRule>
    <cfRule type="expression" dxfId="9" priority="4">
      <formula>ABS(E4)&lt;0.05</formula>
    </cfRule>
  </conditionalFormatting>
  <conditionalFormatting sqref="I4:I9">
    <cfRule type="expression" dxfId="8" priority="5">
      <formula>ABS(I4)&gt;=0.1</formula>
    </cfRule>
    <cfRule type="expression" dxfId="7" priority="6">
      <formula>AND(ABS(I4)&gt;=0.05,ABS(I4)&lt;0.1)</formula>
    </cfRule>
    <cfRule type="expression" dxfId="6" priority="7">
      <formula>ABS(I4)&lt;0.05</formula>
    </cfRule>
  </conditionalFormatting>
  <conditionalFormatting sqref="M4:M9">
    <cfRule type="expression" dxfId="5" priority="8">
      <formula>ABS(M4)&gt;=0.1</formula>
    </cfRule>
    <cfRule type="expression" dxfId="4" priority="9">
      <formula>AND(ABS(M4)&gt;=0.05,ABS(M4)&lt;0.1)</formula>
    </cfRule>
    <cfRule type="expression" dxfId="3" priority="10">
      <formula>ABS(M4)&lt;0.05</formula>
    </cfRule>
  </conditionalFormatting>
  <conditionalFormatting sqref="P4:P9">
    <cfRule type="expression" dxfId="2" priority="11">
      <formula>ABS(P4)&gt;=0.1</formula>
    </cfRule>
    <cfRule type="expression" dxfId="1" priority="12">
      <formula>AND(ABS(P4)&gt;=0.05,ABS(P4)&lt;0.1)</formula>
    </cfRule>
    <cfRule type="expression" dxfId="0" priority="13">
      <formula>ABS(P4)&lt;0.05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Normal="100" workbookViewId="0">
      <selection activeCell="G17" sqref="G17"/>
    </sheetView>
  </sheetViews>
  <sheetFormatPr baseColWidth="10" defaultColWidth="8.7109375" defaultRowHeight="15" x14ac:dyDescent="0.25"/>
  <cols>
    <col min="1" max="1" width="50.140625" customWidth="1"/>
    <col min="2" max="4" width="14" customWidth="1"/>
    <col min="5" max="5" width="4" customWidth="1"/>
    <col min="6" max="8" width="14" customWidth="1"/>
  </cols>
  <sheetData>
    <row r="1" spans="1:4" ht="17.25" customHeight="1" x14ac:dyDescent="0.25">
      <c r="A1" s="2" t="s">
        <v>41</v>
      </c>
    </row>
    <row r="3" spans="1:4" ht="12.75" customHeight="1" x14ac:dyDescent="0.25">
      <c r="A3" s="18" t="s">
        <v>42</v>
      </c>
    </row>
    <row r="4" spans="1:4" ht="9" hidden="1" customHeight="1" x14ac:dyDescent="0.25"/>
    <row r="5" spans="1:4" s="21" customFormat="1" ht="42" customHeight="1" x14ac:dyDescent="0.25">
      <c r="A5" s="20" t="s">
        <v>18</v>
      </c>
      <c r="B5" s="19" t="s">
        <v>43</v>
      </c>
      <c r="C5" s="20" t="s">
        <v>44</v>
      </c>
      <c r="D5" s="20" t="s">
        <v>45</v>
      </c>
    </row>
    <row r="6" spans="1:4" ht="24" customHeight="1" x14ac:dyDescent="0.25">
      <c r="A6" s="10" t="s">
        <v>34</v>
      </c>
      <c r="B6" s="11">
        <f>('01_Budget_vs_Reel'!T4-'01_Budget_vs_Reel'!Q4)*'01_Budget_vs_Reel'!R4/1000</f>
        <v>228</v>
      </c>
      <c r="C6" s="11">
        <f>(('01_Budget_vs_Reel'!U4*1000/'01_Budget_vs_Reel'!T4)-'01_Budget_vs_Reel'!R4)*'01_Budget_vs_Reel'!T4/1000</f>
        <v>-85</v>
      </c>
      <c r="D6" s="11">
        <f t="shared" ref="D6:D11" si="0">B6+C6</f>
        <v>143</v>
      </c>
    </row>
    <row r="7" spans="1:4" ht="24" customHeight="1" x14ac:dyDescent="0.25">
      <c r="A7" s="10" t="s">
        <v>35</v>
      </c>
      <c r="B7" s="11">
        <f>('01_Budget_vs_Reel'!T5-'01_Budget_vs_Reel'!Q5)*'01_Budget_vs_Reel'!R5/1000</f>
        <v>-395</v>
      </c>
      <c r="C7" s="11">
        <f>(('01_Budget_vs_Reel'!U5*1000/'01_Budget_vs_Reel'!T5)-'01_Budget_vs_Reel'!R5)*'01_Budget_vs_Reel'!T5/1000</f>
        <v>410.00000000000034</v>
      </c>
      <c r="D7" s="11">
        <f t="shared" si="0"/>
        <v>15.000000000000341</v>
      </c>
    </row>
    <row r="8" spans="1:4" ht="24" customHeight="1" x14ac:dyDescent="0.25">
      <c r="A8" s="10" t="s">
        <v>36</v>
      </c>
      <c r="B8" s="11">
        <f>('01_Budget_vs_Reel'!T6-'01_Budget_vs_Reel'!Q6)*'01_Budget_vs_Reel'!R6/1000</f>
        <v>228</v>
      </c>
      <c r="C8" s="11">
        <f>(('01_Budget_vs_Reel'!U6*1000/'01_Budget_vs_Reel'!T6)-'01_Budget_vs_Reel'!R6)*'01_Budget_vs_Reel'!T6/1000</f>
        <v>-68</v>
      </c>
      <c r="D8" s="11">
        <f t="shared" si="0"/>
        <v>160</v>
      </c>
    </row>
    <row r="9" spans="1:4" ht="24" customHeight="1" x14ac:dyDescent="0.25">
      <c r="A9" s="10" t="s">
        <v>37</v>
      </c>
      <c r="B9" s="11">
        <f>('01_Budget_vs_Reel'!T7-'01_Budget_vs_Reel'!Q7)*'01_Budget_vs_Reel'!R7/1000</f>
        <v>-750</v>
      </c>
      <c r="C9" s="11">
        <f>(('01_Budget_vs_Reel'!U7*1000/'01_Budget_vs_Reel'!T7)-'01_Budget_vs_Reel'!R7)*'01_Budget_vs_Reel'!T7/1000</f>
        <v>-100.00000000000068</v>
      </c>
      <c r="D9" s="11">
        <f t="shared" si="0"/>
        <v>-850.00000000000068</v>
      </c>
    </row>
    <row r="10" spans="1:4" ht="24" customHeight="1" x14ac:dyDescent="0.25">
      <c r="A10" s="10" t="s">
        <v>38</v>
      </c>
      <c r="B10" s="11">
        <f>('01_Budget_vs_Reel'!T8-'01_Budget_vs_Reel'!Q8)*'01_Budget_vs_Reel'!R8/1000</f>
        <v>195</v>
      </c>
      <c r="C10" s="11">
        <f>(('01_Budget_vs_Reel'!U8*1000/'01_Budget_vs_Reel'!T8)-'01_Budget_vs_Reel'!R8)*'01_Budget_vs_Reel'!T8/1000</f>
        <v>-39.999999999999886</v>
      </c>
      <c r="D10" s="11">
        <f t="shared" si="0"/>
        <v>155.00000000000011</v>
      </c>
    </row>
    <row r="11" spans="1:4" ht="24" customHeight="1" x14ac:dyDescent="0.25">
      <c r="A11" s="10" t="s">
        <v>39</v>
      </c>
      <c r="B11" s="11">
        <f>('01_Budget_vs_Reel'!T9-'01_Budget_vs_Reel'!Q9)*'01_Budget_vs_Reel'!R9/1000</f>
        <v>115</v>
      </c>
      <c r="C11" s="11">
        <f>(('01_Budget_vs_Reel'!U9*1000/'01_Budget_vs_Reel'!T9)-'01_Budget_vs_Reel'!R9)*'01_Budget_vs_Reel'!T9/1000</f>
        <v>-60.000000000000014</v>
      </c>
      <c r="D11" s="11">
        <f t="shared" si="0"/>
        <v>54.999999999999986</v>
      </c>
    </row>
    <row r="12" spans="1:4" x14ac:dyDescent="0.25">
      <c r="A12" s="15" t="s">
        <v>46</v>
      </c>
      <c r="B12" s="16">
        <f>SUM(B6:B11)</f>
        <v>-379</v>
      </c>
      <c r="C12" s="16">
        <f>SUM(C6:C11)</f>
        <v>56.999999999999758</v>
      </c>
      <c r="D12" s="16">
        <f>SUM(D6:D11)</f>
        <v>-322.00000000000023</v>
      </c>
    </row>
    <row r="13" spans="1:4" ht="15" customHeight="1" x14ac:dyDescent="0.25"/>
    <row r="14" spans="1:4" ht="24" customHeight="1" x14ac:dyDescent="0.25">
      <c r="A14" s="18" t="s">
        <v>47</v>
      </c>
    </row>
    <row r="15" spans="1:4" ht="24" customHeight="1" x14ac:dyDescent="0.25">
      <c r="A15" s="20" t="s">
        <v>18</v>
      </c>
      <c r="B15" s="19" t="s">
        <v>43</v>
      </c>
      <c r="C15" s="20" t="s">
        <v>48</v>
      </c>
      <c r="D15" s="20" t="s">
        <v>49</v>
      </c>
    </row>
    <row r="16" spans="1:4" ht="42" customHeight="1" x14ac:dyDescent="0.25">
      <c r="A16" s="10" t="s">
        <v>34</v>
      </c>
      <c r="B16" s="11">
        <f>'01_Budget_vs_Reel'!S4*('01_Budget_vs_Reel'!T4-'01_Budget_vs_Reel'!Q4)/1000</f>
        <v>180</v>
      </c>
      <c r="C16" s="11">
        <f>(('01_Budget_vs_Reel'!V4*1000/'01_Budget_vs_Reel'!T4)-'01_Budget_vs_Reel'!S4)*'01_Budget_vs_Reel'!T4/1000</f>
        <v>51.420000000000101</v>
      </c>
      <c r="D16" s="11">
        <f t="shared" ref="D16:D21" si="1">B16+C16</f>
        <v>231.4200000000001</v>
      </c>
    </row>
    <row r="17" spans="1:8" ht="24" customHeight="1" x14ac:dyDescent="0.25">
      <c r="A17" s="10" t="s">
        <v>35</v>
      </c>
      <c r="B17" s="11">
        <f>'01_Budget_vs_Reel'!S5*('01_Budget_vs_Reel'!T5-'01_Budget_vs_Reel'!Q5)/1000</f>
        <v>-350</v>
      </c>
      <c r="C17" s="11">
        <f>(('01_Budget_vs_Reel'!V5*1000/'01_Budget_vs_Reel'!T5)-'01_Budget_vs_Reel'!S5)*'01_Budget_vs_Reel'!T5/1000</f>
        <v>486.48000000000093</v>
      </c>
      <c r="D17" s="11">
        <f t="shared" si="1"/>
        <v>136.48000000000093</v>
      </c>
    </row>
    <row r="18" spans="1:8" ht="24" customHeight="1" x14ac:dyDescent="0.25">
      <c r="A18" s="10" t="s">
        <v>36</v>
      </c>
      <c r="B18" s="11">
        <f>'01_Budget_vs_Reel'!S6*('01_Budget_vs_Reel'!T6-'01_Budget_vs_Reel'!Q6)/1000</f>
        <v>168</v>
      </c>
      <c r="C18" s="11">
        <f>(('01_Budget_vs_Reel'!V6*1000/'01_Budget_vs_Reel'!T6)-'01_Budget_vs_Reel'!S6)*'01_Budget_vs_Reel'!T6/1000</f>
        <v>179.84000000000032</v>
      </c>
      <c r="D18" s="11">
        <f t="shared" si="1"/>
        <v>347.84000000000032</v>
      </c>
    </row>
    <row r="19" spans="1:8" ht="24" customHeight="1" x14ac:dyDescent="0.25">
      <c r="A19" s="10" t="s">
        <v>37</v>
      </c>
      <c r="B19" s="11">
        <f>'01_Budget_vs_Reel'!S7*('01_Budget_vs_Reel'!T7-'01_Budget_vs_Reel'!Q7)/1000</f>
        <v>-870</v>
      </c>
      <c r="C19" s="11">
        <f>(('01_Budget_vs_Reel'!V7*1000/'01_Budget_vs_Reel'!T7)-'01_Budget_vs_Reel'!S7)*'01_Budget_vs_Reel'!T7/1000</f>
        <v>920.79999999999984</v>
      </c>
      <c r="D19" s="11">
        <f t="shared" si="1"/>
        <v>50.799999999999841</v>
      </c>
    </row>
    <row r="20" spans="1:8" ht="24" customHeight="1" x14ac:dyDescent="0.25">
      <c r="A20" s="10" t="s">
        <v>38</v>
      </c>
      <c r="B20" s="11">
        <f>'01_Budget_vs_Reel'!S8*('01_Budget_vs_Reel'!T8-'01_Budget_vs_Reel'!Q8)/1000</f>
        <v>160</v>
      </c>
      <c r="C20" s="11">
        <f>(('01_Budget_vs_Reel'!V8*1000/'01_Budget_vs_Reel'!T8)-'01_Budget_vs_Reel'!S8)*'01_Budget_vs_Reel'!T8/1000</f>
        <v>92.359999999999786</v>
      </c>
      <c r="D20" s="11">
        <f t="shared" si="1"/>
        <v>252.35999999999979</v>
      </c>
    </row>
    <row r="21" spans="1:8" ht="24" customHeight="1" x14ac:dyDescent="0.25">
      <c r="A21" s="10" t="s">
        <v>39</v>
      </c>
      <c r="B21" s="11">
        <f>'01_Budget_vs_Reel'!S9*('01_Budget_vs_Reel'!T9-'01_Budget_vs_Reel'!Q9)/1000</f>
        <v>135</v>
      </c>
      <c r="C21" s="11">
        <f>(('01_Budget_vs_Reel'!V9*1000/'01_Budget_vs_Reel'!T9)-'01_Budget_vs_Reel'!S9)*'01_Budget_vs_Reel'!T9/1000</f>
        <v>260.09999999999991</v>
      </c>
      <c r="D21" s="11">
        <f t="shared" si="1"/>
        <v>395.09999999999991</v>
      </c>
    </row>
    <row r="22" spans="1:8" x14ac:dyDescent="0.25">
      <c r="A22" s="15" t="s">
        <v>46</v>
      </c>
      <c r="B22" s="16">
        <f>SUM(B16:B21)</f>
        <v>-577</v>
      </c>
      <c r="C22" s="16">
        <f>SUM(C16:C21)</f>
        <v>1991.0000000000009</v>
      </c>
      <c r="D22" s="16">
        <f>SUM(D16:D21)</f>
        <v>1414.0000000000009</v>
      </c>
    </row>
    <row r="24" spans="1:8" ht="39.75" customHeight="1" x14ac:dyDescent="0.25">
      <c r="A24" s="22" t="s">
        <v>50</v>
      </c>
      <c r="B24" s="1"/>
      <c r="C24" s="1"/>
      <c r="D24" s="1"/>
      <c r="E24" s="1"/>
      <c r="F24" s="1"/>
      <c r="G24" s="1"/>
      <c r="H24" s="1"/>
    </row>
  </sheetData>
  <mergeCells count="1"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00_Sommaire</vt:lpstr>
      <vt:lpstr>01_Budget_vs_Reel</vt:lpstr>
      <vt:lpstr>02_Decomposition_Ecarts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2026-09-05T11:29:05Z</dcterms:created>
  <dcterms:modified xsi:type="dcterms:W3CDTF">2026-09-12T16:49:45Z</dcterms:modified>
  <dc:language>en-US</dc:language>
</cp:coreProperties>
</file>