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49252A1B-A22D-4187-BF8F-1382F6C0A2DD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00_Sommaire" sheetId="1" r:id="rId1"/>
    <sheet name="01_Hypotheses_Scenarios" sheetId="2" r:id="rId2"/>
    <sheet name="02_Previsions_N1" sheetId="3" r:id="rId3"/>
    <sheet name="03_Sensibilite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6" i="4"/>
  <c r="D21" i="3"/>
  <c r="C21" i="3"/>
  <c r="B21" i="3"/>
  <c r="D20" i="3"/>
  <c r="C20" i="3"/>
  <c r="B20" i="3"/>
  <c r="D13" i="3"/>
  <c r="C13" i="3"/>
  <c r="B13" i="3"/>
  <c r="D9" i="3"/>
  <c r="D7" i="3"/>
  <c r="C7" i="3"/>
  <c r="B7" i="3"/>
  <c r="D6" i="3"/>
  <c r="C6" i="3"/>
  <c r="B6" i="3"/>
  <c r="D5" i="3"/>
  <c r="D4" i="3"/>
  <c r="D8" i="3" s="1"/>
  <c r="C4" i="3"/>
  <c r="B5" i="4" s="1"/>
  <c r="B4" i="3"/>
  <c r="B9" i="3" s="1"/>
  <c r="D10" i="3" l="1"/>
  <c r="D11" i="3" s="1"/>
  <c r="C8" i="3"/>
  <c r="B8" i="3"/>
  <c r="B5" i="3"/>
  <c r="B10" i="3" s="1"/>
  <c r="B11" i="3" s="1"/>
  <c r="C5" i="3"/>
  <c r="C9" i="3"/>
  <c r="C10" i="3" l="1"/>
  <c r="C11" i="3" s="1"/>
  <c r="B14" i="3"/>
  <c r="B12" i="3"/>
  <c r="D14" i="3"/>
  <c r="D12" i="3"/>
  <c r="B15" i="3" l="1"/>
  <c r="B16" i="3"/>
  <c r="B18" i="3" s="1"/>
  <c r="B22" i="3" s="1"/>
  <c r="C14" i="3"/>
  <c r="C12" i="3"/>
  <c r="D15" i="3"/>
  <c r="D16" i="3"/>
  <c r="D18" i="3" s="1"/>
  <c r="D22" i="3" s="1"/>
  <c r="C15" i="3" l="1"/>
  <c r="C16" i="3" s="1"/>
  <c r="C18" i="3" s="1"/>
  <c r="C22" i="3" s="1"/>
</calcChain>
</file>

<file path=xl/sharedStrings.xml><?xml version="1.0" encoding="utf-8"?>
<sst xmlns="http://schemas.openxmlformats.org/spreadsheetml/2006/main" count="65" uniqueCount="62">
  <si>
    <t>ÉTAPE 7 - PRÉVISIONS N+1 ET SCÉNARIOS - CHHS</t>
  </si>
  <si>
    <t>Centre hospitalier horizon SANTÉ (CHHS)</t>
  </si>
  <si>
    <t>Données fictives construites à des fins pédagogiques et professionnelles. Les prévisions sont des estimations basées sur des hypothèses, non des résultats réels.</t>
  </si>
  <si>
    <t>Onglet</t>
  </si>
  <si>
    <t>Contenu</t>
  </si>
  <si>
    <t>01_Hypotheses_Scenarios</t>
  </si>
  <si>
    <t>Hypothèses de croissance et de structure de coûts pour les 3 scénarios N+1</t>
  </si>
  <si>
    <t>02_Previsions_N1</t>
  </si>
  <si>
    <t>Compte de résultat prévisionnel N+1 et trésorerie estimée par scénario</t>
  </si>
  <si>
    <t>03_Sensibilite</t>
  </si>
  <si>
    <t>Analyse de sensibilité du résultat N+1 (scénario central) à chaque hypothèse</t>
  </si>
  <si>
    <t>HYPOTHÈSES PAR SCÉNARIO - EXERCICE N+1</t>
  </si>
  <si>
    <t>Hypothèse</t>
  </si>
  <si>
    <t>Prudent</t>
  </si>
  <si>
    <t>Central</t>
  </si>
  <si>
    <t>Optimiste</t>
  </si>
  <si>
    <t>Croissance du CA</t>
  </si>
  <si>
    <t>Masse salariale / CA</t>
  </si>
  <si>
    <t>Achats / CA</t>
  </si>
  <si>
    <t>Charges externes / CA</t>
  </si>
  <si>
    <t>Impôts et taxes / CA</t>
  </si>
  <si>
    <t>Amortissements / CA</t>
  </si>
  <si>
    <t>Résultat financier (k€)</t>
  </si>
  <si>
    <t>Taux d'IS</t>
  </si>
  <si>
    <t>Investissements estimés (k€)</t>
  </si>
  <si>
    <t>Variation du BFR estimée (k€)</t>
  </si>
  <si>
    <t>COMPTE DE RÉSULTAT PRÉVISIONNEL N+1 PAR SCÉNARIO (en k€)</t>
  </si>
  <si>
    <t>Indicateur</t>
  </si>
  <si>
    <t>Chiffre d'affaires N+1</t>
  </si>
  <si>
    <t>Charges de personnel</t>
  </si>
  <si>
    <t>Achats consommés</t>
  </si>
  <si>
    <t>Charges externes</t>
  </si>
  <si>
    <t>Impôts et taxes</t>
  </si>
  <si>
    <t>Dotations aux amortissements</t>
  </si>
  <si>
    <t>Total charges d'exploitation</t>
  </si>
  <si>
    <t>Résultat d'exploitation</t>
  </si>
  <si>
    <t>Taux de marge d'exploitation</t>
  </si>
  <si>
    <t>Résultat financier</t>
  </si>
  <si>
    <t>Résultat avant impôt</t>
  </si>
  <si>
    <t>Impôt sur les sociétés</t>
  </si>
  <si>
    <t>Résultat net</t>
  </si>
  <si>
    <t>Capacité d'autofinancement (CAF = Résultat net + Amortissements)</t>
  </si>
  <si>
    <t>Trésorerie N (réalisée, Étape 1)</t>
  </si>
  <si>
    <t>Investissements estimés</t>
  </si>
  <si>
    <t>Variation du BFR estimée</t>
  </si>
  <si>
    <t>Trésorerie estimée N+1</t>
  </si>
  <si>
    <t>ANALYSE DE SENSIBILITÉ - SCÉNARIO CENTRAL (base : Résultat d'exploitation N+1)</t>
  </si>
  <si>
    <t>Hypothèse testée (variation)</t>
  </si>
  <si>
    <t>Impact sur le résultat N+1</t>
  </si>
  <si>
    <t>Commentaire</t>
  </si>
  <si>
    <t>Résultat d'exploitation central (référence)</t>
  </si>
  <si>
    <t>Volume d'activité +1 pt (avec coûts variables associés, ~40% de coûts variables)</t>
  </si>
  <si>
    <t>Un point de volume supplémentaire ne se traduit pas intégralement en résultat : une partie des coûts (achats, personnel soignant) suit le volume</t>
  </si>
  <si>
    <t>Prix moyen +1 pt (à volume constant, sans effet coût)</t>
  </si>
  <si>
    <t>Effet plein sur le résultat car aucun coût variable n'est associé à un effet prix pur</t>
  </si>
  <si>
    <t>Masse salariale / CA +1 pt (dérive non maîtrisée)</t>
  </si>
  <si>
    <t>Effet symétrique au prix : chaque point de charge de personnel supplémentaire ampute le résultat d'autant</t>
  </si>
  <si>
    <t>Coût des achats / CA +1 pt</t>
  </si>
  <si>
    <t>Sensibilité identique à la masse salariale : à surveiller notamment sur le bloc opératoire et le laboratoire (Étape 2)</t>
  </si>
  <si>
    <t>Productivité +1 pt (baisse de 1% des coûts totaux à activité constante)</t>
  </si>
  <si>
    <t>Un gain de productivité (ex. réduction du turnover, automatisation laboratoire) a un effet direct et non dilué sur le résultat</t>
  </si>
  <si>
    <t>Rappel N (réalisé, Étape 1) : CA 42 500 k€, taux de marge d'exploitation 4,3 %, résultat net = 1 220 k€, trésorerie 2 100 k€.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</si>
</sst>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4" fillId="0" borderId="1" xfId="0" applyNumberFormat="1" applyFont="1" applyBorder="1"/>
    <xf numFmtId="3" fontId="4" fillId="0" borderId="1" xfId="0" applyNumberFormat="1" applyFont="1" applyBorder="1"/>
    <xf numFmtId="3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  <xf numFmtId="164" fontId="0" fillId="0" borderId="1" xfId="0" applyNumberFormat="1" applyBorder="1"/>
    <xf numFmtId="3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B15" sqref="B15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7.25" customHeight="1" x14ac:dyDescent="0.25">
      <c r="A1" s="1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2" t="s">
        <v>2</v>
      </c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t="s">
        <v>9</v>
      </c>
      <c r="B9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selection activeCell="C17" sqref="C17"/>
    </sheetView>
  </sheetViews>
  <sheetFormatPr baseColWidth="10" defaultColWidth="8.7109375" defaultRowHeight="15" x14ac:dyDescent="0.25"/>
  <cols>
    <col min="1" max="1" width="32" customWidth="1"/>
    <col min="2" max="4" width="14" customWidth="1"/>
  </cols>
  <sheetData>
    <row r="1" spans="1:4" ht="17.25" customHeight="1" x14ac:dyDescent="0.25">
      <c r="A1" s="1" t="s">
        <v>11</v>
      </c>
    </row>
    <row r="3" spans="1:4" ht="1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</row>
    <row r="4" spans="1:4" ht="15" customHeight="1" x14ac:dyDescent="0.25">
      <c r="A4" s="4" t="s">
        <v>16</v>
      </c>
      <c r="B4" s="5">
        <v>0.01</v>
      </c>
      <c r="C4" s="5">
        <v>3.5000000000000003E-2</v>
      </c>
      <c r="D4" s="5">
        <v>0.06</v>
      </c>
    </row>
    <row r="5" spans="1:4" ht="15" customHeight="1" x14ac:dyDescent="0.25">
      <c r="A5" s="4" t="s">
        <v>17</v>
      </c>
      <c r="B5" s="5">
        <v>0.63</v>
      </c>
      <c r="C5" s="5">
        <v>0.61499999999999999</v>
      </c>
      <c r="D5" s="5">
        <v>0.6</v>
      </c>
    </row>
    <row r="6" spans="1:4" ht="15" customHeight="1" x14ac:dyDescent="0.25">
      <c r="A6" s="4" t="s">
        <v>18</v>
      </c>
      <c r="B6" s="5">
        <v>0.158</v>
      </c>
      <c r="C6" s="5">
        <v>0.153</v>
      </c>
      <c r="D6" s="5">
        <v>0.15</v>
      </c>
    </row>
    <row r="7" spans="1:4" ht="15" customHeight="1" x14ac:dyDescent="0.25">
      <c r="A7" s="4" t="s">
        <v>19</v>
      </c>
      <c r="B7" s="5">
        <v>0.115</v>
      </c>
      <c r="C7" s="5">
        <v>0.113</v>
      </c>
      <c r="D7" s="5">
        <v>0.11</v>
      </c>
    </row>
    <row r="8" spans="1:4" ht="15" customHeight="1" x14ac:dyDescent="0.25">
      <c r="A8" s="4" t="s">
        <v>20</v>
      </c>
      <c r="B8" s="5">
        <v>0.02</v>
      </c>
      <c r="C8" s="5">
        <v>0.02</v>
      </c>
      <c r="D8" s="5">
        <v>0.02</v>
      </c>
    </row>
    <row r="9" spans="1:4" ht="15" customHeight="1" x14ac:dyDescent="0.25">
      <c r="A9" s="4" t="s">
        <v>21</v>
      </c>
      <c r="B9" s="5">
        <v>5.2999999999999999E-2</v>
      </c>
      <c r="C9" s="5">
        <v>5.1999999999999998E-2</v>
      </c>
      <c r="D9" s="5">
        <v>0.05</v>
      </c>
    </row>
    <row r="10" spans="1:4" ht="15" customHeight="1" x14ac:dyDescent="0.25">
      <c r="A10" s="4" t="s">
        <v>22</v>
      </c>
      <c r="B10" s="6">
        <v>-260</v>
      </c>
      <c r="C10" s="6">
        <v>-240</v>
      </c>
      <c r="D10" s="6">
        <v>-200</v>
      </c>
    </row>
    <row r="11" spans="1:4" ht="15" customHeight="1" x14ac:dyDescent="0.25">
      <c r="A11" s="4" t="s">
        <v>23</v>
      </c>
      <c r="B11" s="5">
        <v>0.25</v>
      </c>
      <c r="C11" s="5">
        <v>0.25</v>
      </c>
      <c r="D11" s="5">
        <v>0.25</v>
      </c>
    </row>
    <row r="12" spans="1:4" ht="15" customHeight="1" x14ac:dyDescent="0.25">
      <c r="A12" s="4" t="s">
        <v>24</v>
      </c>
      <c r="B12" s="6">
        <v>2500</v>
      </c>
      <c r="C12" s="6">
        <v>2500</v>
      </c>
      <c r="D12" s="6">
        <v>2500</v>
      </c>
    </row>
    <row r="13" spans="1:4" ht="15" customHeight="1" x14ac:dyDescent="0.25">
      <c r="A13" s="4" t="s">
        <v>25</v>
      </c>
      <c r="B13" s="6">
        <v>800</v>
      </c>
      <c r="C13" s="6">
        <v>500</v>
      </c>
      <c r="D13" s="6">
        <v>200</v>
      </c>
    </row>
    <row r="16" spans="1:4" ht="60" x14ac:dyDescent="0.25">
      <c r="A16" s="13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opLeftCell="A9" zoomScaleNormal="100" workbookViewId="0">
      <selection activeCell="B22" sqref="B22"/>
    </sheetView>
  </sheetViews>
  <sheetFormatPr baseColWidth="10" defaultColWidth="8.7109375" defaultRowHeight="15" x14ac:dyDescent="0.25"/>
  <cols>
    <col min="1" max="1" width="85.85546875" bestFit="1" customWidth="1"/>
    <col min="2" max="4" width="14" customWidth="1"/>
  </cols>
  <sheetData>
    <row r="1" spans="1:4" ht="17.25" customHeight="1" x14ac:dyDescent="0.25">
      <c r="A1" s="1" t="s">
        <v>26</v>
      </c>
    </row>
    <row r="3" spans="1:4" ht="15" customHeight="1" x14ac:dyDescent="0.25">
      <c r="A3" s="3" t="s">
        <v>27</v>
      </c>
      <c r="B3" s="3" t="s">
        <v>13</v>
      </c>
      <c r="C3" s="3" t="s">
        <v>14</v>
      </c>
      <c r="D3" s="3" t="s">
        <v>15</v>
      </c>
    </row>
    <row r="4" spans="1:4" ht="15" customHeight="1" x14ac:dyDescent="0.25">
      <c r="A4" s="4" t="s">
        <v>28</v>
      </c>
      <c r="B4" s="7">
        <f>42500*(1+'01_Hypotheses_Scenarios'!B4)</f>
        <v>42925</v>
      </c>
      <c r="C4" s="7">
        <f>42500*(1+'01_Hypotheses_Scenarios'!C4)</f>
        <v>43987.5</v>
      </c>
      <c r="D4" s="7">
        <f>42500*(1+'01_Hypotheses_Scenarios'!D4)</f>
        <v>45050</v>
      </c>
    </row>
    <row r="5" spans="1:4" ht="15" customHeight="1" x14ac:dyDescent="0.25">
      <c r="A5" s="4" t="s">
        <v>29</v>
      </c>
      <c r="B5" s="7">
        <f>B4*'01_Hypotheses_Scenarios'!B5</f>
        <v>27042.75</v>
      </c>
      <c r="C5" s="7">
        <f>C4*'01_Hypotheses_Scenarios'!C5</f>
        <v>27052.3125</v>
      </c>
      <c r="D5" s="7">
        <f>D4*'01_Hypotheses_Scenarios'!D5</f>
        <v>27030</v>
      </c>
    </row>
    <row r="6" spans="1:4" ht="15" customHeight="1" x14ac:dyDescent="0.25">
      <c r="A6" s="4" t="s">
        <v>30</v>
      </c>
      <c r="B6" s="7">
        <f>B4*'01_Hypotheses_Scenarios'!B6</f>
        <v>6782.15</v>
      </c>
      <c r="C6" s="7">
        <f>C4*'01_Hypotheses_Scenarios'!C6</f>
        <v>6730.0874999999996</v>
      </c>
      <c r="D6" s="7">
        <f>D4*'01_Hypotheses_Scenarios'!D6</f>
        <v>6757.5</v>
      </c>
    </row>
    <row r="7" spans="1:4" ht="15" customHeight="1" x14ac:dyDescent="0.25">
      <c r="A7" s="4" t="s">
        <v>31</v>
      </c>
      <c r="B7" s="7">
        <f>B4*'01_Hypotheses_Scenarios'!B7</f>
        <v>4936.375</v>
      </c>
      <c r="C7" s="7">
        <f>C4*'01_Hypotheses_Scenarios'!C7</f>
        <v>4970.5875000000005</v>
      </c>
      <c r="D7" s="7">
        <f>D4*'01_Hypotheses_Scenarios'!D7</f>
        <v>4955.5</v>
      </c>
    </row>
    <row r="8" spans="1:4" ht="15" customHeight="1" x14ac:dyDescent="0.25">
      <c r="A8" s="4" t="s">
        <v>32</v>
      </c>
      <c r="B8" s="7">
        <f>B4*'01_Hypotheses_Scenarios'!B8</f>
        <v>858.5</v>
      </c>
      <c r="C8" s="7">
        <f>C4*'01_Hypotheses_Scenarios'!C8</f>
        <v>879.75</v>
      </c>
      <c r="D8" s="7">
        <f>D4*'01_Hypotheses_Scenarios'!D8</f>
        <v>901</v>
      </c>
    </row>
    <row r="9" spans="1:4" ht="15" customHeight="1" x14ac:dyDescent="0.25">
      <c r="A9" s="4" t="s">
        <v>33</v>
      </c>
      <c r="B9" s="7">
        <f>B4*'01_Hypotheses_Scenarios'!B9</f>
        <v>2275.0250000000001</v>
      </c>
      <c r="C9" s="7">
        <f>C4*'01_Hypotheses_Scenarios'!C9</f>
        <v>2287.35</v>
      </c>
      <c r="D9" s="7">
        <f>D4*'01_Hypotheses_Scenarios'!D9</f>
        <v>2252.5</v>
      </c>
    </row>
    <row r="10" spans="1:4" ht="15" customHeight="1" x14ac:dyDescent="0.25">
      <c r="A10" s="8" t="s">
        <v>34</v>
      </c>
      <c r="B10" s="9">
        <f>SUM(B5:B9)</f>
        <v>41894.800000000003</v>
      </c>
      <c r="C10" s="9">
        <f>SUM(C5:C9)</f>
        <v>41920.087500000001</v>
      </c>
      <c r="D10" s="9">
        <f>SUM(D5:D9)</f>
        <v>41896.5</v>
      </c>
    </row>
    <row r="11" spans="1:4" ht="15" customHeight="1" x14ac:dyDescent="0.25">
      <c r="A11" s="8" t="s">
        <v>35</v>
      </c>
      <c r="B11" s="9">
        <f>B4-B10</f>
        <v>1030.1999999999971</v>
      </c>
      <c r="C11" s="9">
        <f>C4-C10</f>
        <v>2067.4124999999985</v>
      </c>
      <c r="D11" s="9">
        <f>D4-D10</f>
        <v>3153.5</v>
      </c>
    </row>
    <row r="12" spans="1:4" ht="15" customHeight="1" x14ac:dyDescent="0.25">
      <c r="A12" s="4" t="s">
        <v>36</v>
      </c>
      <c r="B12" s="10">
        <f>B11/B4</f>
        <v>2.3999999999999931E-2</v>
      </c>
      <c r="C12" s="10">
        <f>C11/C4</f>
        <v>4.6999999999999965E-2</v>
      </c>
      <c r="D12" s="10">
        <f>D11/D4</f>
        <v>7.0000000000000007E-2</v>
      </c>
    </row>
    <row r="13" spans="1:4" ht="15" customHeight="1" x14ac:dyDescent="0.25">
      <c r="A13" s="4" t="s">
        <v>37</v>
      </c>
      <c r="B13" s="7">
        <f>'01_Hypotheses_Scenarios'!B10</f>
        <v>-260</v>
      </c>
      <c r="C13" s="7">
        <f>'01_Hypotheses_Scenarios'!C10</f>
        <v>-240</v>
      </c>
      <c r="D13" s="7">
        <f>'01_Hypotheses_Scenarios'!D10</f>
        <v>-200</v>
      </c>
    </row>
    <row r="14" spans="1:4" ht="15" customHeight="1" x14ac:dyDescent="0.25">
      <c r="A14" s="4" t="s">
        <v>38</v>
      </c>
      <c r="B14" s="7">
        <f>B11+B13</f>
        <v>770.19999999999709</v>
      </c>
      <c r="C14" s="7">
        <f>C11+C13</f>
        <v>1827.4124999999985</v>
      </c>
      <c r="D14" s="7">
        <f>D11+D13</f>
        <v>2953.5</v>
      </c>
    </row>
    <row r="15" spans="1:4" ht="15" customHeight="1" x14ac:dyDescent="0.25">
      <c r="A15" s="4" t="s">
        <v>39</v>
      </c>
      <c r="B15" s="7">
        <f>MAX(B14,0)*'01_Hypotheses_Scenarios'!B11</f>
        <v>192.54999999999927</v>
      </c>
      <c r="C15" s="7">
        <f>MAX(C14,0)*'01_Hypotheses_Scenarios'!C11</f>
        <v>456.85312499999964</v>
      </c>
      <c r="D15" s="7">
        <f>MAX(D14,0)*'01_Hypotheses_Scenarios'!D11</f>
        <v>738.375</v>
      </c>
    </row>
    <row r="16" spans="1:4" ht="15" customHeight="1" x14ac:dyDescent="0.25">
      <c r="A16" s="8" t="s">
        <v>40</v>
      </c>
      <c r="B16" s="9">
        <f>B14-B15</f>
        <v>577.64999999999782</v>
      </c>
      <c r="C16" s="9">
        <f>C14-C15</f>
        <v>1370.5593749999989</v>
      </c>
      <c r="D16" s="9">
        <f>D14-D15</f>
        <v>2215.125</v>
      </c>
    </row>
    <row r="17" spans="1:4" ht="15" customHeight="1" x14ac:dyDescent="0.25">
      <c r="A17" s="4"/>
    </row>
    <row r="18" spans="1:4" ht="15" customHeight="1" x14ac:dyDescent="0.25">
      <c r="A18" s="8" t="s">
        <v>41</v>
      </c>
      <c r="B18" s="7">
        <f>B16+B9</f>
        <v>2852.6749999999979</v>
      </c>
      <c r="C18" s="7">
        <f>C16+C9</f>
        <v>3657.9093749999988</v>
      </c>
      <c r="D18" s="7">
        <f>D16+D9</f>
        <v>4467.625</v>
      </c>
    </row>
    <row r="19" spans="1:4" ht="15" customHeight="1" x14ac:dyDescent="0.25">
      <c r="A19" s="4" t="s">
        <v>42</v>
      </c>
      <c r="B19" s="6">
        <v>2100</v>
      </c>
      <c r="C19" s="6">
        <v>2100</v>
      </c>
      <c r="D19" s="6">
        <v>2100</v>
      </c>
    </row>
    <row r="20" spans="1:4" ht="15" customHeight="1" x14ac:dyDescent="0.25">
      <c r="A20" s="4" t="s">
        <v>43</v>
      </c>
      <c r="B20" s="7">
        <f>'01_Hypotheses_Scenarios'!B12</f>
        <v>2500</v>
      </c>
      <c r="C20" s="7">
        <f>'01_Hypotheses_Scenarios'!C12</f>
        <v>2500</v>
      </c>
      <c r="D20" s="7">
        <f>'01_Hypotheses_Scenarios'!D12</f>
        <v>2500</v>
      </c>
    </row>
    <row r="21" spans="1:4" ht="15" customHeight="1" x14ac:dyDescent="0.25">
      <c r="A21" s="4" t="s">
        <v>44</v>
      </c>
      <c r="B21" s="7">
        <f>'01_Hypotheses_Scenarios'!B13</f>
        <v>800</v>
      </c>
      <c r="C21" s="7">
        <f>'01_Hypotheses_Scenarios'!C13</f>
        <v>500</v>
      </c>
      <c r="D21" s="7">
        <f>'01_Hypotheses_Scenarios'!D13</f>
        <v>200</v>
      </c>
    </row>
    <row r="22" spans="1:4" ht="15" customHeight="1" x14ac:dyDescent="0.25">
      <c r="A22" s="8" t="s">
        <v>45</v>
      </c>
      <c r="B22" s="9">
        <f>B19+B18-B20-B21</f>
        <v>1652.6749999999975</v>
      </c>
      <c r="C22" s="9">
        <f>C19+C18-C20-C21</f>
        <v>2757.9093749999993</v>
      </c>
      <c r="D22" s="9">
        <f>D19+D18-D20-D21</f>
        <v>3867.625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zoomScaleNormal="100" workbookViewId="0">
      <selection activeCell="J5" sqref="J5"/>
    </sheetView>
  </sheetViews>
  <sheetFormatPr baseColWidth="10" defaultColWidth="8.7109375" defaultRowHeight="15" x14ac:dyDescent="0.25"/>
  <cols>
    <col min="1" max="1" width="40" customWidth="1"/>
    <col min="2" max="2" width="20" customWidth="1"/>
    <col min="3" max="3" width="45.42578125" bestFit="1" customWidth="1"/>
  </cols>
  <sheetData>
    <row r="1" spans="1:3" ht="17.25" customHeight="1" x14ac:dyDescent="0.25">
      <c r="A1" s="1" t="s">
        <v>46</v>
      </c>
    </row>
    <row r="3" spans="1:3" ht="27.75" customHeight="1" x14ac:dyDescent="0.25">
      <c r="A3" s="3" t="s">
        <v>47</v>
      </c>
      <c r="B3" s="3" t="s">
        <v>48</v>
      </c>
      <c r="C3" s="3" t="s">
        <v>49</v>
      </c>
    </row>
    <row r="4" spans="1:3" ht="15" customHeight="1" x14ac:dyDescent="0.25">
      <c r="A4" t="s">
        <v>50</v>
      </c>
      <c r="B4" s="11">
        <f>'02_Previsions_N1'!C11</f>
        <v>2067.4124999999985</v>
      </c>
    </row>
    <row r="5" spans="1:3" ht="45" customHeight="1" x14ac:dyDescent="0.25">
      <c r="A5" s="12" t="s">
        <v>51</v>
      </c>
      <c r="B5" s="7">
        <f>'02_Previsions_N1'!C4*0.01*0.6</f>
        <v>263.92500000000001</v>
      </c>
      <c r="C5" s="12" t="s">
        <v>52</v>
      </c>
    </row>
    <row r="6" spans="1:3" ht="30" x14ac:dyDescent="0.25">
      <c r="A6" s="12" t="s">
        <v>53</v>
      </c>
      <c r="B6" s="7">
        <f>'02_Previsions_N1'!C4*0.01</f>
        <v>439.875</v>
      </c>
      <c r="C6" s="12" t="s">
        <v>54</v>
      </c>
    </row>
    <row r="7" spans="1:3" ht="45" customHeight="1" x14ac:dyDescent="0.25">
      <c r="A7" s="12" t="s">
        <v>55</v>
      </c>
      <c r="B7" s="7">
        <v>-439.875</v>
      </c>
      <c r="C7" s="12" t="s">
        <v>56</v>
      </c>
    </row>
    <row r="8" spans="1:3" ht="45" customHeight="1" x14ac:dyDescent="0.25">
      <c r="A8" s="12" t="s">
        <v>57</v>
      </c>
      <c r="B8" s="7">
        <v>-439.875</v>
      </c>
      <c r="C8" s="12" t="s">
        <v>58</v>
      </c>
    </row>
    <row r="9" spans="1:3" ht="45" customHeight="1" x14ac:dyDescent="0.25">
      <c r="A9" s="12" t="s">
        <v>59</v>
      </c>
      <c r="B9" s="7">
        <v>419.200875</v>
      </c>
      <c r="C9" s="12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01_Hypotheses_Scenarios</vt:lpstr>
      <vt:lpstr>02_Previsions_N1</vt:lpstr>
      <vt:lpstr>03_Sensibilite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2026-09-05T19:08:21Z</dcterms:created>
  <dcterms:modified xsi:type="dcterms:W3CDTF">2026-09-12T18:22:23Z</dcterms:modified>
  <dc:language>en-US</dc:language>
</cp:coreProperties>
</file>