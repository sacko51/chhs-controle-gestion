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tudiant\Desktop\"/>
    </mc:Choice>
  </mc:AlternateContent>
  <xr:revisionPtr revIDLastSave="0" documentId="8_{79B76679-AAA7-48DC-9A6D-1ED764FF2EA3}" xr6:coauthVersionLast="47" xr6:coauthVersionMax="47" xr10:uidLastSave="{00000000-0000-0000-0000-000000000000}"/>
  <bookViews>
    <workbookView xWindow="-120" yWindow="-120" windowWidth="20730" windowHeight="11040" tabRatio="500" firstSheet="1" activeTab="1" xr2:uid="{00000000-000D-0000-FFFF-FFFF00000000}"/>
  </bookViews>
  <sheets>
    <sheet name="00_Sommaire" sheetId="1" r:id="rId1"/>
    <sheet name="01_Catalogue_KPI" sheetId="2" r:id="rId2"/>
    <sheet name="02_KPI_Activite" sheetId="3" r:id="rId3"/>
    <sheet name="03_KPI_Economiques" sheetId="4" r:id="rId4"/>
    <sheet name="04_KPI_Qualite" sheetId="5" r:id="rId5"/>
    <sheet name="05_KPI_RH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3" l="1"/>
  <c r="E8" i="3"/>
  <c r="E10" i="3"/>
  <c r="E9" i="3"/>
  <c r="E4" i="3"/>
  <c r="D10" i="6"/>
  <c r="E10" i="6" s="1"/>
  <c r="C10" i="6"/>
  <c r="B10" i="6"/>
  <c r="D9" i="6"/>
  <c r="E9" i="6" s="1"/>
  <c r="C9" i="6"/>
  <c r="B9" i="6"/>
  <c r="E8" i="6"/>
  <c r="E7" i="6"/>
  <c r="E6" i="6"/>
  <c r="E5" i="6"/>
  <c r="E4" i="6"/>
  <c r="E8" i="5"/>
  <c r="E7" i="5"/>
  <c r="E6" i="5"/>
  <c r="E5" i="5"/>
  <c r="E4" i="5"/>
  <c r="E7" i="4"/>
  <c r="E6" i="4"/>
  <c r="E5" i="4"/>
  <c r="E4" i="4"/>
  <c r="E7" i="3"/>
  <c r="E6" i="3"/>
  <c r="E5" i="3"/>
</calcChain>
</file>

<file path=xl/sharedStrings.xml><?xml version="1.0" encoding="utf-8"?>
<sst xmlns="http://schemas.openxmlformats.org/spreadsheetml/2006/main" count="227" uniqueCount="157">
  <si>
    <t>ÉTAPE 4 - TABLEAU DE BORD DE PERFORMANCE (KPI) - CHHS</t>
  </si>
  <si>
    <t>Centre hospitalier horizon SANTÉ (CHHS) - N-2 / N-1 / N</t>
  </si>
  <si>
    <t>Données fictives construites à des fins pédagogiques et professionnelles.</t>
  </si>
  <si>
    <t>Onglet</t>
  </si>
  <si>
    <t>Contenu</t>
  </si>
  <si>
    <t>01_Catalogue_KPI</t>
  </si>
  <si>
    <t>Fiche de définition de chaque KPI (formule, source, fréquence, responsable, seuil)</t>
  </si>
  <si>
    <t>02_KPI_Activite</t>
  </si>
  <si>
    <t>Volumes d'activité, taux d'occupation, DMS - N-2/N-1/N</t>
  </si>
  <si>
    <t>03_KPI_Economiques</t>
  </si>
  <si>
    <t>CA, coûts, marge, taux de marge - global et par activité</t>
  </si>
  <si>
    <t>04_KPI_Qualite</t>
  </si>
  <si>
    <t>Satisfaction, réclamations, événements indésirables, délais, réadmission</t>
  </si>
  <si>
    <t>05_KPI_RH</t>
  </si>
  <si>
    <t>Effectifs, masse salariale, absentéisme, turnover, productivité</t>
  </si>
  <si>
    <t>Les valeurs N reprennent strictement les données des Étapes 1 et 2 (CA, coûts, résultat, volumes par activité).</t>
  </si>
  <si>
    <t>CATALOGUE DES KPI - CHHS</t>
  </si>
  <si>
    <t>KPI</t>
  </si>
  <si>
    <t>Catégorie</t>
  </si>
  <si>
    <t>Définition</t>
  </si>
  <si>
    <t>Formule</t>
  </si>
  <si>
    <t>Source</t>
  </si>
  <si>
    <t>Fréquence</t>
  </si>
  <si>
    <t>Responsable</t>
  </si>
  <si>
    <t>Seuil / cible</t>
  </si>
  <si>
    <t>Volume d'activité par type</t>
  </si>
  <si>
    <t>Activité</t>
  </si>
  <si>
    <t>Nombre d'actes/séjours réalisés par activité</t>
  </si>
  <si>
    <t>Comptage Fact_Activite</t>
  </si>
  <si>
    <t>Fact_Activite</t>
  </si>
  <si>
    <t>Mensuelle</t>
  </si>
  <si>
    <t>Dir. Opérations</t>
  </si>
  <si>
    <t>Conforme au plan d'activité budgété</t>
  </si>
  <si>
    <t>Taux d'occupation</t>
  </si>
  <si>
    <t>Part de la capacité en lits/places effectivement utilisée</t>
  </si>
  <si>
    <t>Journées réalisées / (lits × 365)</t>
  </si>
  <si>
    <t>Fact_Activite / Dim_Site</t>
  </si>
  <si>
    <t>Dir. Site</t>
  </si>
  <si>
    <t>≥ 75 %</t>
  </si>
  <si>
    <t>Durée moyenne de séjour (DMS)</t>
  </si>
  <si>
    <t>Durée moyenne d'un séjour en hospitalisation complète</t>
  </si>
  <si>
    <t>Journées d'hospitalisation / Nombre de séjours</t>
  </si>
  <si>
    <t>Dir. Médicale</t>
  </si>
  <si>
    <t>Stable ou en baisse à qualité constante</t>
  </si>
  <si>
    <t>Chiffre d'affaires (CA)</t>
  </si>
  <si>
    <t>Économique</t>
  </si>
  <si>
    <t>Recettes générées par l'activité</t>
  </si>
  <si>
    <t>Somme Fact_CA</t>
  </si>
  <si>
    <t>Fact_CA</t>
  </si>
  <si>
    <t>Contrôle de gestion</t>
  </si>
  <si>
    <t>Conforme au budget (écart &lt; 5 %)</t>
  </si>
  <si>
    <t>Coût total</t>
  </si>
  <si>
    <t>Charges directes et indirectes rattachées à l'activité</t>
  </si>
  <si>
    <t>Somme Fact_Charges affectées</t>
  </si>
  <si>
    <t>Fact_Charges</t>
  </si>
  <si>
    <t>Coût unitaire</t>
  </si>
  <si>
    <t>Coût moyen par acte/séjour</t>
  </si>
  <si>
    <t>Coût total / Volume</t>
  </si>
  <si>
    <t>Fact_Charges / Fact_Activite</t>
  </si>
  <si>
    <t>≤ Coût unitaire budgété</t>
  </si>
  <si>
    <t>Taux de marge</t>
  </si>
  <si>
    <t>Rentabilité de l'activité ou du groupe</t>
  </si>
  <si>
    <t>(CA − Coût total) / CA</t>
  </si>
  <si>
    <t>Fact_CA / Fact_Charges</t>
  </si>
  <si>
    <t>Direction financière</t>
  </si>
  <si>
    <t>≥ 5 % par activité</t>
  </si>
  <si>
    <t>CA par activité</t>
  </si>
  <si>
    <t>Contribution de chaque activité au CA total</t>
  </si>
  <si>
    <t>Fact_CA filtré par activité</t>
  </si>
  <si>
    <t>Suivi de mix d'activité</t>
  </si>
  <si>
    <t>Satisfaction patient</t>
  </si>
  <si>
    <t>Qualité</t>
  </si>
  <si>
    <t>Taux de patients se déclarant satisfaits (enquête de sortie)</t>
  </si>
  <si>
    <t>Nb réponses positives / Nb réponses</t>
  </si>
  <si>
    <t>Fact_Qualite</t>
  </si>
  <si>
    <t>Trimestrielle</t>
  </si>
  <si>
    <t>Dir. Qualité</t>
  </si>
  <si>
    <t>≥ 85 %</t>
  </si>
  <si>
    <t>Taux de réclamation</t>
  </si>
  <si>
    <t>Nombre de réclamations pour 1 000 patients</t>
  </si>
  <si>
    <t>Nb réclamations / Nb patients × 1000</t>
  </si>
  <si>
    <t>≤ 3 pour 1 000</t>
  </si>
  <si>
    <t>Événements indésirables</t>
  </si>
  <si>
    <t>Nombre d'événements indésirables graves déclarés</t>
  </si>
  <si>
    <t>Comptage Fact_Qualite</t>
  </si>
  <si>
    <t>En baisse continue</t>
  </si>
  <si>
    <t>Délai de prise en charge</t>
  </si>
  <si>
    <t>Délai moyen entre l'arrivée et la prise en charge effective</t>
  </si>
  <si>
    <t>Moyenne des délais mesurés</t>
  </si>
  <si>
    <t>≤ 30 min</t>
  </si>
  <si>
    <t>Taux de réadmission à 30 jours</t>
  </si>
  <si>
    <t>Part des patients réadmis dans les 30 jours suivant leur sortie</t>
  </si>
  <si>
    <t>Nb réadmissions / Nb sorties</t>
  </si>
  <si>
    <t>≤ 4 %</t>
  </si>
  <si>
    <t>Effectif (ETP)</t>
  </si>
  <si>
    <t>RH</t>
  </si>
  <si>
    <t>Nombre d'équivalents temps plein employés</t>
  </si>
  <si>
    <t>Somme Fact_RH</t>
  </si>
  <si>
    <t>Fact_RH</t>
  </si>
  <si>
    <t>DRH</t>
  </si>
  <si>
    <t>Conforme au plan d'effectifs</t>
  </si>
  <si>
    <t>Masse salariale</t>
  </si>
  <si>
    <t>Coût total du personnel</t>
  </si>
  <si>
    <t>Somme Fact_RH (rémunérations + charges)</t>
  </si>
  <si>
    <t>DRH / Contrôle de gestion</t>
  </si>
  <si>
    <t>Conforme au budget</t>
  </si>
  <si>
    <t>Absentéisme</t>
  </si>
  <si>
    <t>Part des jours d'absence sur les jours théoriquement travaillés</t>
  </si>
  <si>
    <t>Jours d'absence / Jours théoriques</t>
  </si>
  <si>
    <t>≤ 6 %</t>
  </si>
  <si>
    <t>Turnover</t>
  </si>
  <si>
    <t>Taux de rotation du personnel sur l'année</t>
  </si>
  <si>
    <t>(Départs + Arrivées)/2 / Effectif moyen</t>
  </si>
  <si>
    <t>Annuelle</t>
  </si>
  <si>
    <t>≤ 10 %</t>
  </si>
  <si>
    <t>Productivité (CA/ETP)</t>
  </si>
  <si>
    <t>Chiffre d'affaires généré par équivalent temps plein</t>
  </si>
  <si>
    <t>CA / Effectif (ETP)</t>
  </si>
  <si>
    <t>Fact_CA / Fact_RH</t>
  </si>
  <si>
    <t>En progression</t>
  </si>
  <si>
    <t>KPI ACTIVITÉ - CHHS</t>
  </si>
  <si>
    <t>Indicateur</t>
  </si>
  <si>
    <t>N-2</t>
  </si>
  <si>
    <t>N-1</t>
  </si>
  <si>
    <t>N</t>
  </si>
  <si>
    <t>Évol. N/N-2</t>
  </si>
  <si>
    <t>Consultations externes (actes)</t>
  </si>
  <si>
    <t>Hospitalisation complète (séjours)</t>
  </si>
  <si>
    <t>Hospitalisation de jour (séjours)</t>
  </si>
  <si>
    <t>Bloc opératoire (interventions)</t>
  </si>
  <si>
    <t>Imagerie médicale (actes)</t>
  </si>
  <si>
    <t>Laboratoire (analyses)</t>
  </si>
  <si>
    <t>Taux d'occupation hospitalisation complète</t>
  </si>
  <si>
    <t>DMS hospitalisation complète (jours)</t>
  </si>
  <si>
    <t>KPI ÉCONOMIQUES - CHHS (en k€ sauf mention contraire)</t>
  </si>
  <si>
    <t>Chiffre d'affaires (k€)</t>
  </si>
  <si>
    <t>Coût total (k€)</t>
  </si>
  <si>
    <t>Résultat d'exploitation (k€)</t>
  </si>
  <si>
    <t>Taux de marge d'exploitation</t>
  </si>
  <si>
    <t>CA par activité (N) - repris de l'Étape 2</t>
  </si>
  <si>
    <t>CA (k€)</t>
  </si>
  <si>
    <t>Taux de marge (N)</t>
  </si>
  <si>
    <t>Consultations externes</t>
  </si>
  <si>
    <t>Hospitalisation complète</t>
  </si>
  <si>
    <t>Hospitalisation de jour</t>
  </si>
  <si>
    <t>Bloc opératoire</t>
  </si>
  <si>
    <t>Imagerie médicale</t>
  </si>
  <si>
    <t>Laboratoire</t>
  </si>
  <si>
    <t>KPI QUALITÉ / PARCOURS PATIENT - CHHS</t>
  </si>
  <si>
    <t>Taux de réclamation (pour 1 000 patients)</t>
  </si>
  <si>
    <t>Événements indésirables graves (nombre/an)</t>
  </si>
  <si>
    <t>Délai de prise en charge (minutes)</t>
  </si>
  <si>
    <t>KPI RH - CHHS</t>
  </si>
  <si>
    <t>Masse salariale (k€)</t>
  </si>
  <si>
    <t>Chiffre d'affaires (k€) - pour ratios</t>
  </si>
  <si>
    <t>Productivité - CA / ETP (k€)</t>
  </si>
  <si>
    <t>Masse salariale / ETP (k€)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</si>
</sst>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Cambria"/>
      <charset val="1"/>
    </font>
    <font>
      <i/>
      <sz val="11"/>
      <name val="Cambria"/>
      <charset val="1"/>
    </font>
    <font>
      <b/>
      <sz val="11"/>
      <color rgb="FFFFFFFF"/>
      <name val="Cambria"/>
      <charset val="1"/>
    </font>
    <font>
      <sz val="11"/>
      <color rgb="FF0000FF"/>
      <name val="Cambria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3" fontId="4" fillId="0" borderId="1" xfId="0" applyNumberFormat="1" applyFont="1" applyBorder="1"/>
    <xf numFmtId="164" fontId="0" fillId="0" borderId="1" xfId="0" applyNumberForma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5" fillId="0" borderId="0" xfId="0" applyFont="1"/>
    <xf numFmtId="0" fontId="5" fillId="0" borderId="1" xfId="0" applyFont="1" applyBorder="1"/>
    <xf numFmtId="165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zoomScaleNormal="100" workbookViewId="0">
      <selection activeCell="A16" sqref="A16"/>
    </sheetView>
  </sheetViews>
  <sheetFormatPr baseColWidth="10" defaultColWidth="8.7109375" defaultRowHeight="15" x14ac:dyDescent="0.25"/>
  <cols>
    <col min="1" max="1" width="40" customWidth="1"/>
    <col min="2" max="2" width="95" customWidth="1"/>
  </cols>
  <sheetData>
    <row r="1" spans="1:2" ht="17.25" customHeight="1" x14ac:dyDescent="0.25">
      <c r="A1" s="1" t="s">
        <v>0</v>
      </c>
    </row>
    <row r="3" spans="1:2" ht="15" customHeight="1" x14ac:dyDescent="0.25">
      <c r="A3" t="s">
        <v>1</v>
      </c>
    </row>
    <row r="4" spans="1:2" ht="15" customHeight="1" x14ac:dyDescent="0.25">
      <c r="A4" s="2" t="s">
        <v>2</v>
      </c>
    </row>
    <row r="6" spans="1:2" ht="15" customHeight="1" x14ac:dyDescent="0.25">
      <c r="A6" s="3" t="s">
        <v>3</v>
      </c>
      <c r="B6" s="3" t="s">
        <v>4</v>
      </c>
    </row>
    <row r="7" spans="1:2" ht="15" customHeight="1" x14ac:dyDescent="0.25">
      <c r="A7" t="s">
        <v>5</v>
      </c>
      <c r="B7" t="s">
        <v>6</v>
      </c>
    </row>
    <row r="8" spans="1:2" ht="15" customHeight="1" x14ac:dyDescent="0.25">
      <c r="A8" t="s">
        <v>7</v>
      </c>
      <c r="B8" t="s">
        <v>8</v>
      </c>
    </row>
    <row r="9" spans="1:2" ht="15" customHeight="1" x14ac:dyDescent="0.25">
      <c r="A9" t="s">
        <v>9</v>
      </c>
      <c r="B9" t="s">
        <v>10</v>
      </c>
    </row>
    <row r="10" spans="1:2" ht="15" customHeight="1" x14ac:dyDescent="0.25">
      <c r="A10" t="s">
        <v>11</v>
      </c>
      <c r="B10" t="s">
        <v>12</v>
      </c>
    </row>
    <row r="11" spans="1:2" ht="15" customHeight="1" x14ac:dyDescent="0.25">
      <c r="A11" t="s">
        <v>13</v>
      </c>
      <c r="B11" t="s">
        <v>14</v>
      </c>
    </row>
    <row r="13" spans="1:2" ht="45" x14ac:dyDescent="0.25">
      <c r="A13" s="4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zoomScaleNormal="100" workbookViewId="0">
      <selection activeCell="F21" sqref="F21"/>
    </sheetView>
  </sheetViews>
  <sheetFormatPr baseColWidth="10" defaultColWidth="8.7109375" defaultRowHeight="15" x14ac:dyDescent="0.25"/>
  <cols>
    <col min="1" max="1" width="26" customWidth="1"/>
    <col min="2" max="2" width="14" customWidth="1"/>
    <col min="3" max="3" width="40" customWidth="1"/>
    <col min="4" max="4" width="30" customWidth="1"/>
    <col min="5" max="5" width="16" customWidth="1"/>
    <col min="6" max="6" width="12" customWidth="1"/>
    <col min="7" max="7" width="20" customWidth="1"/>
    <col min="8" max="8" width="30" customWidth="1"/>
  </cols>
  <sheetData>
    <row r="1" spans="1:8" ht="17.25" customHeight="1" x14ac:dyDescent="0.25">
      <c r="A1" s="1" t="s">
        <v>16</v>
      </c>
    </row>
    <row r="3" spans="1:8" ht="15" customHeight="1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</row>
    <row r="4" spans="1:8" ht="42" customHeight="1" x14ac:dyDescent="0.25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</row>
    <row r="5" spans="1:8" ht="42" customHeight="1" x14ac:dyDescent="0.25">
      <c r="A5" s="5" t="s">
        <v>33</v>
      </c>
      <c r="B5" s="5" t="s">
        <v>26</v>
      </c>
      <c r="C5" s="5" t="s">
        <v>34</v>
      </c>
      <c r="D5" s="5" t="s">
        <v>35</v>
      </c>
      <c r="E5" s="5" t="s">
        <v>36</v>
      </c>
      <c r="F5" s="5" t="s">
        <v>30</v>
      </c>
      <c r="G5" s="5" t="s">
        <v>37</v>
      </c>
      <c r="H5" s="5" t="s">
        <v>38</v>
      </c>
    </row>
    <row r="6" spans="1:8" ht="42" customHeight="1" x14ac:dyDescent="0.25">
      <c r="A6" s="5" t="s">
        <v>39</v>
      </c>
      <c r="B6" s="5" t="s">
        <v>26</v>
      </c>
      <c r="C6" s="5" t="s">
        <v>40</v>
      </c>
      <c r="D6" s="5" t="s">
        <v>41</v>
      </c>
      <c r="E6" s="5" t="s">
        <v>29</v>
      </c>
      <c r="F6" s="5" t="s">
        <v>30</v>
      </c>
      <c r="G6" s="5" t="s">
        <v>42</v>
      </c>
      <c r="H6" s="5" t="s">
        <v>43</v>
      </c>
    </row>
    <row r="7" spans="1:8" ht="42" customHeight="1" x14ac:dyDescent="0.25">
      <c r="A7" s="5" t="s">
        <v>44</v>
      </c>
      <c r="B7" s="5" t="s">
        <v>45</v>
      </c>
      <c r="C7" s="5" t="s">
        <v>46</v>
      </c>
      <c r="D7" s="5" t="s">
        <v>47</v>
      </c>
      <c r="E7" s="5" t="s">
        <v>48</v>
      </c>
      <c r="F7" s="5" t="s">
        <v>30</v>
      </c>
      <c r="G7" s="5" t="s">
        <v>49</v>
      </c>
      <c r="H7" s="5" t="s">
        <v>50</v>
      </c>
    </row>
    <row r="8" spans="1:8" ht="42" customHeight="1" x14ac:dyDescent="0.25">
      <c r="A8" s="5" t="s">
        <v>51</v>
      </c>
      <c r="B8" s="5" t="s">
        <v>45</v>
      </c>
      <c r="C8" s="5" t="s">
        <v>52</v>
      </c>
      <c r="D8" s="5" t="s">
        <v>53</v>
      </c>
      <c r="E8" s="5" t="s">
        <v>54</v>
      </c>
      <c r="F8" s="5" t="s">
        <v>30</v>
      </c>
      <c r="G8" s="5" t="s">
        <v>49</v>
      </c>
      <c r="H8" s="5" t="s">
        <v>50</v>
      </c>
    </row>
    <row r="9" spans="1:8" ht="42" customHeight="1" x14ac:dyDescent="0.25">
      <c r="A9" s="5" t="s">
        <v>55</v>
      </c>
      <c r="B9" s="5" t="s">
        <v>45</v>
      </c>
      <c r="C9" s="5" t="s">
        <v>56</v>
      </c>
      <c r="D9" s="5" t="s">
        <v>57</v>
      </c>
      <c r="E9" s="5" t="s">
        <v>58</v>
      </c>
      <c r="F9" s="5" t="s">
        <v>30</v>
      </c>
      <c r="G9" s="5" t="s">
        <v>49</v>
      </c>
      <c r="H9" s="5" t="s">
        <v>59</v>
      </c>
    </row>
    <row r="10" spans="1:8" ht="42" customHeight="1" x14ac:dyDescent="0.25">
      <c r="A10" s="5" t="s">
        <v>60</v>
      </c>
      <c r="B10" s="5" t="s">
        <v>45</v>
      </c>
      <c r="C10" s="5" t="s">
        <v>61</v>
      </c>
      <c r="D10" s="5" t="s">
        <v>62</v>
      </c>
      <c r="E10" s="5" t="s">
        <v>63</v>
      </c>
      <c r="F10" s="5" t="s">
        <v>30</v>
      </c>
      <c r="G10" s="5" t="s">
        <v>64</v>
      </c>
      <c r="H10" s="5" t="s">
        <v>65</v>
      </c>
    </row>
    <row r="11" spans="1:8" ht="42" customHeight="1" x14ac:dyDescent="0.25">
      <c r="A11" s="5" t="s">
        <v>66</v>
      </c>
      <c r="B11" s="5" t="s">
        <v>45</v>
      </c>
      <c r="C11" s="5" t="s">
        <v>67</v>
      </c>
      <c r="D11" s="5" t="s">
        <v>68</v>
      </c>
      <c r="E11" s="5" t="s">
        <v>48</v>
      </c>
      <c r="F11" s="5" t="s">
        <v>30</v>
      </c>
      <c r="G11" s="5" t="s">
        <v>49</v>
      </c>
      <c r="H11" s="5" t="s">
        <v>69</v>
      </c>
    </row>
    <row r="12" spans="1:8" ht="42" customHeight="1" x14ac:dyDescent="0.25">
      <c r="A12" s="5" t="s">
        <v>70</v>
      </c>
      <c r="B12" s="5" t="s">
        <v>71</v>
      </c>
      <c r="C12" s="5" t="s">
        <v>72</v>
      </c>
      <c r="D12" s="5" t="s">
        <v>73</v>
      </c>
      <c r="E12" s="5" t="s">
        <v>74</v>
      </c>
      <c r="F12" s="5" t="s">
        <v>75</v>
      </c>
      <c r="G12" s="5" t="s">
        <v>76</v>
      </c>
      <c r="H12" s="5" t="s">
        <v>77</v>
      </c>
    </row>
    <row r="13" spans="1:8" ht="42" customHeight="1" x14ac:dyDescent="0.25">
      <c r="A13" s="5" t="s">
        <v>78</v>
      </c>
      <c r="B13" s="5" t="s">
        <v>71</v>
      </c>
      <c r="C13" s="5" t="s">
        <v>79</v>
      </c>
      <c r="D13" s="5" t="s">
        <v>80</v>
      </c>
      <c r="E13" s="5" t="s">
        <v>74</v>
      </c>
      <c r="F13" s="5" t="s">
        <v>30</v>
      </c>
      <c r="G13" s="5" t="s">
        <v>76</v>
      </c>
      <c r="H13" s="5" t="s">
        <v>81</v>
      </c>
    </row>
    <row r="14" spans="1:8" ht="42" customHeight="1" x14ac:dyDescent="0.25">
      <c r="A14" s="5" t="s">
        <v>82</v>
      </c>
      <c r="B14" s="5" t="s">
        <v>71</v>
      </c>
      <c r="C14" s="5" t="s">
        <v>83</v>
      </c>
      <c r="D14" s="5" t="s">
        <v>84</v>
      </c>
      <c r="E14" s="5" t="s">
        <v>74</v>
      </c>
      <c r="F14" s="5" t="s">
        <v>30</v>
      </c>
      <c r="G14" s="5" t="s">
        <v>76</v>
      </c>
      <c r="H14" s="5" t="s">
        <v>85</v>
      </c>
    </row>
    <row r="15" spans="1:8" ht="42" customHeight="1" x14ac:dyDescent="0.25">
      <c r="A15" s="5" t="s">
        <v>86</v>
      </c>
      <c r="B15" s="5" t="s">
        <v>71</v>
      </c>
      <c r="C15" s="5" t="s">
        <v>87</v>
      </c>
      <c r="D15" s="5" t="s">
        <v>88</v>
      </c>
      <c r="E15" s="5" t="s">
        <v>74</v>
      </c>
      <c r="F15" s="5" t="s">
        <v>30</v>
      </c>
      <c r="G15" s="5" t="s">
        <v>37</v>
      </c>
      <c r="H15" s="5" t="s">
        <v>89</v>
      </c>
    </row>
    <row r="16" spans="1:8" ht="42" customHeight="1" x14ac:dyDescent="0.25">
      <c r="A16" s="5" t="s">
        <v>90</v>
      </c>
      <c r="B16" s="5" t="s">
        <v>71</v>
      </c>
      <c r="C16" s="5" t="s">
        <v>91</v>
      </c>
      <c r="D16" s="5" t="s">
        <v>92</v>
      </c>
      <c r="E16" s="5" t="s">
        <v>74</v>
      </c>
      <c r="F16" s="5" t="s">
        <v>75</v>
      </c>
      <c r="G16" s="5" t="s">
        <v>42</v>
      </c>
      <c r="H16" s="5" t="s">
        <v>93</v>
      </c>
    </row>
    <row r="17" spans="1:8" ht="42" customHeight="1" x14ac:dyDescent="0.25">
      <c r="A17" s="5" t="s">
        <v>94</v>
      </c>
      <c r="B17" s="5" t="s">
        <v>95</v>
      </c>
      <c r="C17" s="5" t="s">
        <v>96</v>
      </c>
      <c r="D17" s="5" t="s">
        <v>97</v>
      </c>
      <c r="E17" s="5" t="s">
        <v>98</v>
      </c>
      <c r="F17" s="5" t="s">
        <v>30</v>
      </c>
      <c r="G17" s="5" t="s">
        <v>99</v>
      </c>
      <c r="H17" s="5" t="s">
        <v>100</v>
      </c>
    </row>
    <row r="18" spans="1:8" ht="42" customHeight="1" x14ac:dyDescent="0.25">
      <c r="A18" s="5" t="s">
        <v>101</v>
      </c>
      <c r="B18" s="5" t="s">
        <v>95</v>
      </c>
      <c r="C18" s="5" t="s">
        <v>102</v>
      </c>
      <c r="D18" s="5" t="s">
        <v>103</v>
      </c>
      <c r="E18" s="5" t="s">
        <v>98</v>
      </c>
      <c r="F18" s="5" t="s">
        <v>30</v>
      </c>
      <c r="G18" s="5" t="s">
        <v>104</v>
      </c>
      <c r="H18" s="5" t="s">
        <v>105</v>
      </c>
    </row>
    <row r="19" spans="1:8" ht="42" customHeight="1" x14ac:dyDescent="0.25">
      <c r="A19" s="5" t="s">
        <v>106</v>
      </c>
      <c r="B19" s="5" t="s">
        <v>95</v>
      </c>
      <c r="C19" s="5" t="s">
        <v>107</v>
      </c>
      <c r="D19" s="5" t="s">
        <v>108</v>
      </c>
      <c r="E19" s="5" t="s">
        <v>98</v>
      </c>
      <c r="F19" s="5" t="s">
        <v>30</v>
      </c>
      <c r="G19" s="5" t="s">
        <v>99</v>
      </c>
      <c r="H19" s="5" t="s">
        <v>109</v>
      </c>
    </row>
    <row r="20" spans="1:8" ht="42" customHeight="1" x14ac:dyDescent="0.25">
      <c r="A20" s="5" t="s">
        <v>110</v>
      </c>
      <c r="B20" s="5" t="s">
        <v>95</v>
      </c>
      <c r="C20" s="5" t="s">
        <v>111</v>
      </c>
      <c r="D20" s="5" t="s">
        <v>112</v>
      </c>
      <c r="E20" s="5" t="s">
        <v>98</v>
      </c>
      <c r="F20" s="5" t="s">
        <v>113</v>
      </c>
      <c r="G20" s="5" t="s">
        <v>99</v>
      </c>
      <c r="H20" s="5" t="s">
        <v>114</v>
      </c>
    </row>
    <row r="21" spans="1:8" ht="42" customHeight="1" x14ac:dyDescent="0.25">
      <c r="A21" s="5" t="s">
        <v>115</v>
      </c>
      <c r="B21" s="5" t="s">
        <v>95</v>
      </c>
      <c r="C21" s="5" t="s">
        <v>116</v>
      </c>
      <c r="D21" s="5" t="s">
        <v>117</v>
      </c>
      <c r="E21" s="5" t="s">
        <v>118</v>
      </c>
      <c r="F21" s="5" t="s">
        <v>113</v>
      </c>
      <c r="G21" s="5" t="s">
        <v>64</v>
      </c>
      <c r="H21" s="5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Normal="100" workbookViewId="0">
      <selection activeCell="E10" sqref="E10"/>
    </sheetView>
  </sheetViews>
  <sheetFormatPr baseColWidth="10" defaultColWidth="8.7109375" defaultRowHeight="15" x14ac:dyDescent="0.25"/>
  <cols>
    <col min="1" max="1" width="40" bestFit="1" customWidth="1"/>
    <col min="2" max="4" width="12" customWidth="1"/>
    <col min="5" max="5" width="14" customWidth="1"/>
  </cols>
  <sheetData>
    <row r="1" spans="1:5" ht="17.25" customHeight="1" x14ac:dyDescent="0.25">
      <c r="A1" s="1" t="s">
        <v>120</v>
      </c>
    </row>
    <row r="3" spans="1:5" ht="15" customHeight="1" x14ac:dyDescent="0.25">
      <c r="A3" s="3" t="s">
        <v>121</v>
      </c>
      <c r="B3" s="3" t="s">
        <v>122</v>
      </c>
      <c r="C3" s="3" t="s">
        <v>123</v>
      </c>
      <c r="D3" s="3" t="s">
        <v>124</v>
      </c>
      <c r="E3" s="3" t="s">
        <v>125</v>
      </c>
    </row>
    <row r="4" spans="1:5" ht="15" customHeight="1" x14ac:dyDescent="0.25">
      <c r="A4" s="6" t="s">
        <v>126</v>
      </c>
      <c r="B4" s="7">
        <v>78000</v>
      </c>
      <c r="C4" s="7">
        <v>81500</v>
      </c>
      <c r="D4" s="7">
        <v>85000</v>
      </c>
      <c r="E4" s="8">
        <f t="shared" ref="E4:E9" si="0">IFERROR(D4/B4-1,"-")</f>
        <v>8.9743589743589647E-2</v>
      </c>
    </row>
    <row r="5" spans="1:5" ht="15" customHeight="1" x14ac:dyDescent="0.25">
      <c r="A5" s="6" t="s">
        <v>127</v>
      </c>
      <c r="B5" s="7">
        <v>4000</v>
      </c>
      <c r="C5" s="7">
        <v>4100</v>
      </c>
      <c r="D5" s="7">
        <v>4200</v>
      </c>
      <c r="E5" s="8">
        <f t="shared" si="0"/>
        <v>5.0000000000000044E-2</v>
      </c>
    </row>
    <row r="6" spans="1:5" ht="15" customHeight="1" x14ac:dyDescent="0.25">
      <c r="A6" s="6" t="s">
        <v>128</v>
      </c>
      <c r="B6" s="7">
        <v>6000</v>
      </c>
      <c r="C6" s="7">
        <v>6400</v>
      </c>
      <c r="D6" s="7">
        <v>6800</v>
      </c>
      <c r="E6" s="8">
        <f t="shared" si="0"/>
        <v>0.1333333333333333</v>
      </c>
    </row>
    <row r="7" spans="1:5" ht="15" customHeight="1" x14ac:dyDescent="0.25">
      <c r="A7" s="6" t="s">
        <v>129</v>
      </c>
      <c r="B7" s="7">
        <v>3300</v>
      </c>
      <c r="C7" s="7">
        <v>3200</v>
      </c>
      <c r="D7" s="7">
        <v>3100</v>
      </c>
      <c r="E7" s="8">
        <f t="shared" si="0"/>
        <v>-6.0606060606060552E-2</v>
      </c>
    </row>
    <row r="8" spans="1:5" ht="15" customHeight="1" x14ac:dyDescent="0.25">
      <c r="A8" s="6" t="s">
        <v>130</v>
      </c>
      <c r="B8" s="7">
        <v>19500</v>
      </c>
      <c r="C8" s="7">
        <v>20700</v>
      </c>
      <c r="D8" s="7">
        <v>22000</v>
      </c>
      <c r="E8" s="8">
        <f t="shared" si="0"/>
        <v>0.12820512820512819</v>
      </c>
    </row>
    <row r="9" spans="1:5" ht="15" customHeight="1" x14ac:dyDescent="0.25">
      <c r="A9" s="6" t="s">
        <v>131</v>
      </c>
      <c r="B9" s="7">
        <v>88000</v>
      </c>
      <c r="C9" s="7">
        <v>91500</v>
      </c>
      <c r="D9" s="7">
        <v>95000</v>
      </c>
      <c r="E9" s="8">
        <f t="shared" si="0"/>
        <v>7.9545454545454586E-2</v>
      </c>
    </row>
    <row r="10" spans="1:5" ht="15" customHeight="1" x14ac:dyDescent="0.25">
      <c r="A10" s="6" t="s">
        <v>132</v>
      </c>
      <c r="B10" s="9">
        <v>0.74</v>
      </c>
      <c r="C10" s="9">
        <v>0.755</v>
      </c>
      <c r="D10" s="9">
        <v>0.76500000000000001</v>
      </c>
      <c r="E10" s="8">
        <f>D10-B10</f>
        <v>2.5000000000000022E-2</v>
      </c>
    </row>
    <row r="11" spans="1:5" ht="15" customHeight="1" x14ac:dyDescent="0.25">
      <c r="A11" s="6" t="s">
        <v>133</v>
      </c>
      <c r="B11" s="10">
        <v>5.3</v>
      </c>
      <c r="C11" s="10">
        <v>5.15</v>
      </c>
      <c r="D11" s="10">
        <v>5</v>
      </c>
      <c r="E11" s="8">
        <f>(D11/B11)-1</f>
        <v>-5.6603773584905648E-2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Normal="100" workbookViewId="0">
      <selection activeCell="C11" sqref="C11"/>
    </sheetView>
  </sheetViews>
  <sheetFormatPr baseColWidth="10" defaultColWidth="8.7109375" defaultRowHeight="15" x14ac:dyDescent="0.25"/>
  <cols>
    <col min="1" max="1" width="28" customWidth="1"/>
    <col min="2" max="5" width="14" customWidth="1"/>
  </cols>
  <sheetData>
    <row r="1" spans="1:5" ht="17.25" customHeight="1" x14ac:dyDescent="0.25">
      <c r="A1" s="1" t="s">
        <v>134</v>
      </c>
    </row>
    <row r="3" spans="1:5" ht="15" customHeight="1" x14ac:dyDescent="0.25">
      <c r="A3" s="3" t="s">
        <v>121</v>
      </c>
      <c r="B3" s="3" t="s">
        <v>122</v>
      </c>
      <c r="C3" s="3" t="s">
        <v>123</v>
      </c>
      <c r="D3" s="3" t="s">
        <v>124</v>
      </c>
      <c r="E3" s="3" t="s">
        <v>125</v>
      </c>
    </row>
    <row r="4" spans="1:5" ht="15" customHeight="1" x14ac:dyDescent="0.25">
      <c r="A4" s="6" t="s">
        <v>135</v>
      </c>
      <c r="B4" s="7">
        <v>38000</v>
      </c>
      <c r="C4" s="7">
        <v>40200</v>
      </c>
      <c r="D4" s="7">
        <v>42500</v>
      </c>
      <c r="E4" s="8">
        <f>IFERROR(D4/B4-1,"-")</f>
        <v>0.11842105263157898</v>
      </c>
    </row>
    <row r="5" spans="1:5" ht="15" customHeight="1" x14ac:dyDescent="0.25">
      <c r="A5" s="6" t="s">
        <v>136</v>
      </c>
      <c r="B5" s="7">
        <v>35340</v>
      </c>
      <c r="C5" s="7">
        <v>37788</v>
      </c>
      <c r="D5" s="7">
        <v>40674</v>
      </c>
      <c r="E5" s="8">
        <f>IFERROR(D5/B5-1,"-")</f>
        <v>0.15093378607809838</v>
      </c>
    </row>
    <row r="6" spans="1:5" ht="15" customHeight="1" x14ac:dyDescent="0.25">
      <c r="A6" s="6" t="s">
        <v>137</v>
      </c>
      <c r="B6" s="7">
        <v>2660</v>
      </c>
      <c r="C6" s="7">
        <v>2412</v>
      </c>
      <c r="D6" s="7">
        <v>1826</v>
      </c>
      <c r="E6" s="8">
        <f>IFERROR(D6/B6-1,"-")</f>
        <v>-0.31353383458646622</v>
      </c>
    </row>
    <row r="7" spans="1:5" ht="15" customHeight="1" x14ac:dyDescent="0.25">
      <c r="A7" s="6" t="s">
        <v>138</v>
      </c>
      <c r="B7" s="9">
        <v>7.0000000000000007E-2</v>
      </c>
      <c r="C7" s="9">
        <v>0.06</v>
      </c>
      <c r="D7" s="9">
        <v>4.2999999999999997E-2</v>
      </c>
      <c r="E7" s="8">
        <f>D7-B7</f>
        <v>-2.700000000000001E-2</v>
      </c>
    </row>
    <row r="9" spans="1:5" ht="15" customHeight="1" x14ac:dyDescent="0.25">
      <c r="A9" s="11" t="s">
        <v>139</v>
      </c>
    </row>
    <row r="10" spans="1:5" ht="27.75" customHeight="1" x14ac:dyDescent="0.25">
      <c r="A10" s="3" t="s">
        <v>26</v>
      </c>
      <c r="B10" s="3" t="s">
        <v>140</v>
      </c>
      <c r="C10" s="3" t="s">
        <v>141</v>
      </c>
    </row>
    <row r="11" spans="1:5" ht="15" customHeight="1" x14ac:dyDescent="0.25">
      <c r="A11" s="6" t="s">
        <v>142</v>
      </c>
      <c r="B11" s="7">
        <v>6375</v>
      </c>
      <c r="C11" s="9">
        <v>0.192</v>
      </c>
    </row>
    <row r="12" spans="1:5" ht="15" customHeight="1" x14ac:dyDescent="0.25">
      <c r="A12" s="6" t="s">
        <v>143</v>
      </c>
      <c r="B12" s="7">
        <v>17000</v>
      </c>
      <c r="C12" s="9">
        <v>0.107</v>
      </c>
    </row>
    <row r="13" spans="1:5" ht="15" customHeight="1" x14ac:dyDescent="0.25">
      <c r="A13" s="6" t="s">
        <v>144</v>
      </c>
      <c r="B13" s="7">
        <v>5100</v>
      </c>
      <c r="C13" s="9">
        <v>0.218</v>
      </c>
    </row>
    <row r="14" spans="1:5" ht="15" customHeight="1" x14ac:dyDescent="0.25">
      <c r="A14" s="6" t="s">
        <v>145</v>
      </c>
      <c r="B14" s="7">
        <v>7650</v>
      </c>
      <c r="C14" s="9">
        <v>-0.29599999999999999</v>
      </c>
    </row>
    <row r="15" spans="1:5" ht="15" customHeight="1" x14ac:dyDescent="0.25">
      <c r="A15" s="6" t="s">
        <v>146</v>
      </c>
      <c r="B15" s="7">
        <v>4250</v>
      </c>
      <c r="C15" s="9">
        <v>0.15</v>
      </c>
    </row>
    <row r="16" spans="1:5" ht="15" customHeight="1" x14ac:dyDescent="0.25">
      <c r="A16" s="6" t="s">
        <v>147</v>
      </c>
      <c r="B16" s="7">
        <v>2125</v>
      </c>
      <c r="C16" s="9">
        <v>-0.32900000000000001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zoomScaleNormal="100" workbookViewId="0">
      <selection activeCell="E5" sqref="E5"/>
    </sheetView>
  </sheetViews>
  <sheetFormatPr baseColWidth="10" defaultColWidth="8.7109375" defaultRowHeight="15" x14ac:dyDescent="0.25"/>
  <cols>
    <col min="1" max="1" width="56" bestFit="1" customWidth="1"/>
    <col min="2" max="4" width="12" customWidth="1"/>
    <col min="5" max="5" width="14" customWidth="1"/>
  </cols>
  <sheetData>
    <row r="1" spans="1:5" ht="17.25" customHeight="1" x14ac:dyDescent="0.25">
      <c r="A1" s="1" t="s">
        <v>148</v>
      </c>
    </row>
    <row r="3" spans="1:5" ht="15" customHeight="1" x14ac:dyDescent="0.25">
      <c r="A3" s="3" t="s">
        <v>121</v>
      </c>
      <c r="B3" s="3" t="s">
        <v>122</v>
      </c>
      <c r="C3" s="3" t="s">
        <v>123</v>
      </c>
      <c r="D3" s="3" t="s">
        <v>124</v>
      </c>
      <c r="E3" s="3" t="s">
        <v>125</v>
      </c>
    </row>
    <row r="4" spans="1:5" ht="15" customHeight="1" x14ac:dyDescent="0.25">
      <c r="A4" s="6" t="s">
        <v>70</v>
      </c>
      <c r="B4" s="9">
        <v>0.82</v>
      </c>
      <c r="C4" s="9">
        <v>0.83</v>
      </c>
      <c r="D4" s="9">
        <v>0.81</v>
      </c>
      <c r="E4" s="8">
        <f>D4-B4</f>
        <v>-9.9999999999998979E-3</v>
      </c>
    </row>
    <row r="5" spans="1:5" ht="15" customHeight="1" x14ac:dyDescent="0.25">
      <c r="A5" s="6" t="s">
        <v>149</v>
      </c>
      <c r="B5" s="10">
        <v>3.2</v>
      </c>
      <c r="C5" s="10">
        <v>3</v>
      </c>
      <c r="D5" s="10">
        <v>3.6</v>
      </c>
      <c r="E5" s="8">
        <f>IFERROR(D5/B5-1,"-")</f>
        <v>0.125</v>
      </c>
    </row>
    <row r="6" spans="1:5" ht="15" customHeight="1" x14ac:dyDescent="0.25">
      <c r="A6" s="6" t="s">
        <v>150</v>
      </c>
      <c r="B6" s="7">
        <v>18</v>
      </c>
      <c r="C6" s="7">
        <v>15</v>
      </c>
      <c r="D6" s="7">
        <v>21</v>
      </c>
      <c r="E6" s="8">
        <f>IFERROR(D6/B6-1,"-")</f>
        <v>0.16666666666666674</v>
      </c>
    </row>
    <row r="7" spans="1:5" ht="15" customHeight="1" x14ac:dyDescent="0.25">
      <c r="A7" s="6" t="s">
        <v>151</v>
      </c>
      <c r="B7" s="7">
        <v>38</v>
      </c>
      <c r="C7" s="7">
        <v>35</v>
      </c>
      <c r="D7" s="7">
        <v>42</v>
      </c>
      <c r="E7" s="8">
        <f>IFERROR(D7/B7-1,"-")</f>
        <v>0.10526315789473695</v>
      </c>
    </row>
    <row r="8" spans="1:5" ht="15" customHeight="1" x14ac:dyDescent="0.25">
      <c r="A8" s="6" t="s">
        <v>90</v>
      </c>
      <c r="B8" s="9">
        <v>4.1000000000000002E-2</v>
      </c>
      <c r="C8" s="9">
        <v>3.9E-2</v>
      </c>
      <c r="D8" s="9">
        <v>4.4999999999999998E-2</v>
      </c>
      <c r="E8" s="8">
        <f>D8-B8</f>
        <v>3.9999999999999966E-3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zoomScaleNormal="100" workbookViewId="0">
      <selection activeCell="E10" sqref="E10"/>
    </sheetView>
  </sheetViews>
  <sheetFormatPr baseColWidth="10" defaultColWidth="8.7109375" defaultRowHeight="15" x14ac:dyDescent="0.25"/>
  <cols>
    <col min="1" max="1" width="32" customWidth="1"/>
    <col min="2" max="5" width="14" customWidth="1"/>
  </cols>
  <sheetData>
    <row r="1" spans="1:5" ht="17.25" customHeight="1" x14ac:dyDescent="0.25">
      <c r="A1" s="1" t="s">
        <v>152</v>
      </c>
    </row>
    <row r="3" spans="1:5" ht="15" customHeight="1" x14ac:dyDescent="0.25">
      <c r="A3" s="3" t="s">
        <v>121</v>
      </c>
      <c r="B3" s="3" t="s">
        <v>122</v>
      </c>
      <c r="C3" s="3" t="s">
        <v>123</v>
      </c>
      <c r="D3" s="3" t="s">
        <v>124</v>
      </c>
      <c r="E3" s="3" t="s">
        <v>125</v>
      </c>
    </row>
    <row r="4" spans="1:5" ht="15" customHeight="1" x14ac:dyDescent="0.25">
      <c r="A4" s="6" t="s">
        <v>94</v>
      </c>
      <c r="B4" s="7">
        <v>455</v>
      </c>
      <c r="C4" s="7">
        <v>468</v>
      </c>
      <c r="D4" s="7">
        <v>480</v>
      </c>
      <c r="E4" s="8">
        <f>IFERROR(D4/B4-1,"-")</f>
        <v>5.4945054945054972E-2</v>
      </c>
    </row>
    <row r="5" spans="1:5" ht="15" customHeight="1" x14ac:dyDescent="0.25">
      <c r="A5" s="6" t="s">
        <v>153</v>
      </c>
      <c r="B5" s="7">
        <v>22420</v>
      </c>
      <c r="C5" s="7">
        <v>24120</v>
      </c>
      <c r="D5" s="7">
        <v>26138</v>
      </c>
      <c r="E5" s="8">
        <f>IFERROR(D5/B5-1,"-")</f>
        <v>0.16583407671721684</v>
      </c>
    </row>
    <row r="6" spans="1:5" ht="15" customHeight="1" x14ac:dyDescent="0.25">
      <c r="A6" s="6" t="s">
        <v>106</v>
      </c>
      <c r="B6" s="9">
        <v>6.2E-2</v>
      </c>
      <c r="C6" s="9">
        <v>6.8000000000000005E-2</v>
      </c>
      <c r="D6" s="9">
        <v>7.4999999999999997E-2</v>
      </c>
      <c r="E6" s="8">
        <f>D6-B6</f>
        <v>1.2999999999999998E-2</v>
      </c>
    </row>
    <row r="7" spans="1:5" ht="15" customHeight="1" x14ac:dyDescent="0.25">
      <c r="A7" s="6" t="s">
        <v>110</v>
      </c>
      <c r="B7" s="9">
        <v>0.09</v>
      </c>
      <c r="C7" s="9">
        <v>0.11</v>
      </c>
      <c r="D7" s="9">
        <v>0.13</v>
      </c>
      <c r="E7" s="8">
        <f>D7-B7</f>
        <v>4.0000000000000008E-2</v>
      </c>
    </row>
    <row r="8" spans="1:5" ht="15" customHeight="1" x14ac:dyDescent="0.25">
      <c r="A8" s="6" t="s">
        <v>154</v>
      </c>
      <c r="B8" s="7">
        <v>38000</v>
      </c>
      <c r="C8" s="7">
        <v>40200</v>
      </c>
      <c r="D8" s="7">
        <v>42500</v>
      </c>
      <c r="E8" s="8">
        <f>IFERROR(D8/B8-1,"-")</f>
        <v>0.11842105263157898</v>
      </c>
    </row>
    <row r="9" spans="1:5" ht="15" customHeight="1" x14ac:dyDescent="0.25">
      <c r="A9" s="12" t="s">
        <v>155</v>
      </c>
      <c r="B9" s="13">
        <f>B8/B4</f>
        <v>83.516483516483518</v>
      </c>
      <c r="C9" s="13">
        <f>C8/C4</f>
        <v>85.897435897435898</v>
      </c>
      <c r="D9" s="13">
        <f>D8/D4</f>
        <v>88.541666666666671</v>
      </c>
      <c r="E9" s="8">
        <f>IFERROR(D9/B9-1,"-")</f>
        <v>6.0169956140350811E-2</v>
      </c>
    </row>
    <row r="10" spans="1:5" ht="15" customHeight="1" x14ac:dyDescent="0.25">
      <c r="A10" s="12" t="s">
        <v>156</v>
      </c>
      <c r="B10" s="13">
        <f>B5/B4</f>
        <v>49.274725274725277</v>
      </c>
      <c r="C10" s="13">
        <f>C5/C4</f>
        <v>51.53846153846154</v>
      </c>
      <c r="D10" s="13">
        <f>D5/D4</f>
        <v>54.454166666666666</v>
      </c>
      <c r="E10" s="8">
        <f>IFERROR(D10/B10-1,"-")</f>
        <v>0.10511355188819493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00_Sommaire</vt:lpstr>
      <vt:lpstr>01_Catalogue_KPI</vt:lpstr>
      <vt:lpstr>02_KPI_Activite</vt:lpstr>
      <vt:lpstr>03_KPI_Economiques</vt:lpstr>
      <vt:lpstr>04_KPI_Qualite</vt:lpstr>
      <vt:lpstr>05_KPI_RH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Bakary SACKO</dc:creator>
  <dc:description/>
  <cp:lastModifiedBy>BAKARY SACKO</cp:lastModifiedBy>
  <cp:revision>0</cp:revision>
  <dcterms:created xsi:type="dcterms:W3CDTF">2026-09-05T11:33:13Z</dcterms:created>
  <dcterms:modified xsi:type="dcterms:W3CDTF">2026-09-12T19:00:03Z</dcterms:modified>
  <dc:language>en-US</dc:language>
</cp:coreProperties>
</file>