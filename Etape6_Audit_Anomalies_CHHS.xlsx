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6D3926E6-652C-40C5-970C-C0C7A6D72B82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00_Sommaire" sheetId="1" r:id="rId1"/>
    <sheet name="01_Journal_Ecritures" sheetId="2" r:id="rId2"/>
    <sheet name="02_Tests_Controle" sheetId="3" r:id="rId3"/>
    <sheet name="03_Cartographie_Risques" sheetId="4" r:id="rId4"/>
    <sheet name="04_Controle_Intern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 a="1"/>
  <c r="C6" i="3" s="1"/>
  <c r="C5" i="3" a="1"/>
  <c r="C5" i="3" s="1"/>
  <c r="C4" i="3" a="1"/>
  <c r="C4" i="3" s="1"/>
  <c r="D12" i="3"/>
  <c r="C12" i="3"/>
  <c r="D11" i="3"/>
  <c r="C11" i="3"/>
  <c r="D10" i="3"/>
  <c r="C10" i="3"/>
  <c r="D9" i="3"/>
  <c r="C9" i="3"/>
  <c r="D8" i="3"/>
  <c r="C8" i="3"/>
  <c r="D7" i="3"/>
  <c r="C7" i="3"/>
  <c r="D6" i="3"/>
  <c r="D5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<sst xmlns="http://schemas.openxmlformats.org/spreadsheetml/2006/main" count="18401" uniqueCount="6181">
  <si>
    <t>ÉTAPE 6 - ANOMALIES ET AUDIT INTERNE - CHHS</t>
  </si>
  <si>
    <t>Centre hospitalier horizon SANTÉ (CHHS) - Journal des écritures N (fictif, 3 015 lignes)</t>
  </si>
  <si>
    <t>Données fictives construites à des fins pédagogiques et professionnelles.</t>
  </si>
  <si>
    <t>Onglet</t>
  </si>
  <si>
    <t>Contenu</t>
  </si>
  <si>
    <t>01_Journal_Ecritures</t>
  </si>
  <si>
    <t>Journal comptable fictif (3 015 lignes) incluant des anomalies volontaires</t>
  </si>
  <si>
    <t>02_Tests_Controle</t>
  </si>
  <si>
    <t>Tests de détection (doublons, montants atypiques, dates, TVA, comptes, références) avec résultats chiffrés</t>
  </si>
  <si>
    <t>03_Cartographie_Risques</t>
  </si>
  <si>
    <t>Cartographie des risques du processus Activité → Facturation → Comptabilité → Reporting</t>
  </si>
  <si>
    <t>04_Controle_Interne</t>
  </si>
  <si>
    <t>Grille d'évaluation du contrôle interne (référentiel COSO)</t>
  </si>
  <si>
    <t>La colonne 'Indice_Correction' du journal identifie la nature de chaque anomalie volontairement introduite. Elle sert de corrigé pédagogique et ne doit pas être communiquée telle quelle dans un audit réel : un auditeur doit retrouver ces anomalies par les tests de l'onglet 02, pas par une colonne indicatrice.</t>
  </si>
  <si>
    <t>ID_Ecriture</t>
  </si>
  <si>
    <t>Date</t>
  </si>
  <si>
    <t>Site</t>
  </si>
  <si>
    <t>Compte</t>
  </si>
  <si>
    <t>Libellé_Compte</t>
  </si>
  <si>
    <t>Fournisseur</t>
  </si>
  <si>
    <t>Montant_HT</t>
  </si>
  <si>
    <t>Taux_TVA</t>
  </si>
  <si>
    <t>Montant_TVA</t>
  </si>
  <si>
    <t>Montant_TTC</t>
  </si>
  <si>
    <t>Numero_Piece</t>
  </si>
  <si>
    <t>Reference_Facture</t>
  </si>
  <si>
    <t>Indice_Correction</t>
  </si>
  <si>
    <t>Troyes</t>
  </si>
  <si>
    <t>601</t>
  </si>
  <si>
    <t>Achats de médicaments</t>
  </si>
  <si>
    <t>Bureau Veritas</t>
  </si>
  <si>
    <t>TR-100001</t>
  </si>
  <si>
    <t>F872246</t>
  </si>
  <si>
    <t>Reims</t>
  </si>
  <si>
    <t>626</t>
  </si>
  <si>
    <t>Frais postaux et télécom</t>
  </si>
  <si>
    <t>Clean Services Est</t>
  </si>
  <si>
    <t>RE-100001</t>
  </si>
  <si>
    <t>F133326</t>
  </si>
  <si>
    <t>PharmaSanté SAS</t>
  </si>
  <si>
    <t>RE-100002</t>
  </si>
  <si>
    <t>F688508</t>
  </si>
  <si>
    <t>641</t>
  </si>
  <si>
    <t>Rémunérations du personnel</t>
  </si>
  <si>
    <t>Paie interne</t>
  </si>
  <si>
    <t>RE-100003</t>
  </si>
  <si>
    <t>F717889</t>
  </si>
  <si>
    <t>Chalons</t>
  </si>
  <si>
    <t>CH-100001</t>
  </si>
  <si>
    <t>F325772</t>
  </si>
  <si>
    <t>ISS Facility</t>
  </si>
  <si>
    <t>CH-100002</t>
  </si>
  <si>
    <t>F733052</t>
  </si>
  <si>
    <t>CH-100003</t>
  </si>
  <si>
    <t>F182627</t>
  </si>
  <si>
    <t>602</t>
  </si>
  <si>
    <t>Achats dispositifs médicaux/consommables</t>
  </si>
  <si>
    <t>TR-100002</t>
  </si>
  <si>
    <t>F705397</t>
  </si>
  <si>
    <t>RE-100004</t>
  </si>
  <si>
    <t>F183667</t>
  </si>
  <si>
    <t>RE-100005</t>
  </si>
  <si>
    <t>F482554</t>
  </si>
  <si>
    <t>613</t>
  </si>
  <si>
    <t>Locations</t>
  </si>
  <si>
    <t>QuickPay Services Ltd</t>
  </si>
  <si>
    <t>RE-100006</t>
  </si>
  <si>
    <t>F816751</t>
  </si>
  <si>
    <t>FOURNISSEUR_INHABITUEL</t>
  </si>
  <si>
    <t>TR-100003</t>
  </si>
  <si>
    <t>F584714</t>
  </si>
  <si>
    <t>EDF Entreprises</t>
  </si>
  <si>
    <t>CH-100004</t>
  </si>
  <si>
    <t>F817870</t>
  </si>
  <si>
    <t>CH-100005</t>
  </si>
  <si>
    <t>F430776</t>
  </si>
  <si>
    <t>LabConso Distribution</t>
  </si>
  <si>
    <t>CH-100006</t>
  </si>
  <si>
    <t>F514850</t>
  </si>
  <si>
    <t>615</t>
  </si>
  <si>
    <t>Entretien et réparations</t>
  </si>
  <si>
    <t>ImageMed Systems</t>
  </si>
  <si>
    <t>TR-100004</t>
  </si>
  <si>
    <t>F688637</t>
  </si>
  <si>
    <t>AXA Assurances</t>
  </si>
  <si>
    <t>TR-100005</t>
  </si>
  <si>
    <t>F518801</t>
  </si>
  <si>
    <t>MedEquip France</t>
  </si>
  <si>
    <t>CH-100007</t>
  </si>
  <si>
    <t>F892495</t>
  </si>
  <si>
    <t>RE-100007</t>
  </si>
  <si>
    <t>F542666</t>
  </si>
  <si>
    <t>TR-100006</t>
  </si>
  <si>
    <t>F654816</t>
  </si>
  <si>
    <t>681</t>
  </si>
  <si>
    <t>Dotations aux amortissements</t>
  </si>
  <si>
    <t>CH-100008</t>
  </si>
  <si>
    <t>F663054</t>
  </si>
  <si>
    <t>CH-100009</t>
  </si>
  <si>
    <t>F575763</t>
  </si>
  <si>
    <t>645</t>
  </si>
  <si>
    <t>Charges sociales</t>
  </si>
  <si>
    <t>RE-100008</t>
  </si>
  <si>
    <t>F632342</t>
  </si>
  <si>
    <t>RE-100009</t>
  </si>
  <si>
    <t>F308573</t>
  </si>
  <si>
    <t>Grand Est Maintenance</t>
  </si>
  <si>
    <t>RE-100010</t>
  </si>
  <si>
    <t>F100599</t>
  </si>
  <si>
    <t>TR-100007</t>
  </si>
  <si>
    <t>F972064</t>
  </si>
  <si>
    <t>CH-100010</t>
  </si>
  <si>
    <t>F955662</t>
  </si>
  <si>
    <t>RE-100011</t>
  </si>
  <si>
    <t>F598369</t>
  </si>
  <si>
    <t>471</t>
  </si>
  <si>
    <t>Compte rarement utilisé</t>
  </si>
  <si>
    <t>TR-100008</t>
  </si>
  <si>
    <t>F665492</t>
  </si>
  <si>
    <t>COMPTE_INHABITUEL</t>
  </si>
  <si>
    <t>Interim Santé Plus</t>
  </si>
  <si>
    <t>TR-100009</t>
  </si>
  <si>
    <t>F781446</t>
  </si>
  <si>
    <t>CH-100011</t>
  </si>
  <si>
    <t>F335612</t>
  </si>
  <si>
    <t>RE-100012</t>
  </si>
  <si>
    <t>F330914</t>
  </si>
  <si>
    <t>RE-100013</t>
  </si>
  <si>
    <t>F132938</t>
  </si>
  <si>
    <t>CH-100012</t>
  </si>
  <si>
    <t>F324643</t>
  </si>
  <si>
    <t>TR-100010</t>
  </si>
  <si>
    <t>F922733</t>
  </si>
  <si>
    <t>CH-100013</t>
  </si>
  <si>
    <t>F471507</t>
  </si>
  <si>
    <t>CH-100014</t>
  </si>
  <si>
    <t>F203198</t>
  </si>
  <si>
    <t>RE-100014</t>
  </si>
  <si>
    <t>F360735</t>
  </si>
  <si>
    <t>RE-100015</t>
  </si>
  <si>
    <t>F392075</t>
  </si>
  <si>
    <t>CH-100015</t>
  </si>
  <si>
    <t>F202664</t>
  </si>
  <si>
    <t>MONTANT_ROND_SUSPECT</t>
  </si>
  <si>
    <t>RE-100016</t>
  </si>
  <si>
    <t>F274389</t>
  </si>
  <si>
    <t>CH-100016</t>
  </si>
  <si>
    <t>F497382</t>
  </si>
  <si>
    <t>RE-100017</t>
  </si>
  <si>
    <t>F399105</t>
  </si>
  <si>
    <t>CH-100017</t>
  </si>
  <si>
    <t>F411120</t>
  </si>
  <si>
    <t>RE-100018</t>
  </si>
  <si>
    <t>F428838</t>
  </si>
  <si>
    <t>RE-100019</t>
  </si>
  <si>
    <t>F265080</t>
  </si>
  <si>
    <t>RE-100020</t>
  </si>
  <si>
    <t>F171262</t>
  </si>
  <si>
    <t>TR-100011</t>
  </si>
  <si>
    <t>F707040</t>
  </si>
  <si>
    <t>TR-100012</t>
  </si>
  <si>
    <t>F692683</t>
  </si>
  <si>
    <t>TR-100013</t>
  </si>
  <si>
    <t>F429445</t>
  </si>
  <si>
    <t>RE-100021</t>
  </si>
  <si>
    <t>F431535</t>
  </si>
  <si>
    <t>RE-100022</t>
  </si>
  <si>
    <t>F663750</t>
  </si>
  <si>
    <t>RE-100023</t>
  </si>
  <si>
    <t>F398830</t>
  </si>
  <si>
    <t>RE-100024</t>
  </si>
  <si>
    <t>F946305</t>
  </si>
  <si>
    <t>622</t>
  </si>
  <si>
    <t>Honoraires</t>
  </si>
  <si>
    <t>Orange Business</t>
  </si>
  <si>
    <t>TR-100014</t>
  </si>
  <si>
    <t>F795613</t>
  </si>
  <si>
    <t>RE-100025</t>
  </si>
  <si>
    <t>F878480</t>
  </si>
  <si>
    <t>TR-100015</t>
  </si>
  <si>
    <t>F313487</t>
  </si>
  <si>
    <t>625</t>
  </si>
  <si>
    <t>Déplacements, missions</t>
  </si>
  <si>
    <t>TR-100016</t>
  </si>
  <si>
    <t>F987204</t>
  </si>
  <si>
    <t>RE-100026</t>
  </si>
  <si>
    <t>FACTURE_SANS_REFERENCE</t>
  </si>
  <si>
    <t>CH-100018</t>
  </si>
  <si>
    <t>F839945</t>
  </si>
  <si>
    <t>CH-100019</t>
  </si>
  <si>
    <t>F256294</t>
  </si>
  <si>
    <t>TR-100017</t>
  </si>
  <si>
    <t>F550664</t>
  </si>
  <si>
    <t>RE-100027</t>
  </si>
  <si>
    <t>F815198</t>
  </si>
  <si>
    <t>RE-100028</t>
  </si>
  <si>
    <t>F750810</t>
  </si>
  <si>
    <t>TR-100018</t>
  </si>
  <si>
    <t>F532322</t>
  </si>
  <si>
    <t>RE-100029</t>
  </si>
  <si>
    <t>F941204</t>
  </si>
  <si>
    <t>TR-100019</t>
  </si>
  <si>
    <t>F213346</t>
  </si>
  <si>
    <t>CH-100020</t>
  </si>
  <si>
    <t>F582662</t>
  </si>
  <si>
    <t>CH-100021</t>
  </si>
  <si>
    <t>F517821</t>
  </si>
  <si>
    <t>CH-100022</t>
  </si>
  <si>
    <t>F468203</t>
  </si>
  <si>
    <t>TR-100020</t>
  </si>
  <si>
    <t>F220944</t>
  </si>
  <si>
    <t>CH-100023</t>
  </si>
  <si>
    <t>F555673</t>
  </si>
  <si>
    <t>CH-100024</t>
  </si>
  <si>
    <t>F221263</t>
  </si>
  <si>
    <t>CH-100025</t>
  </si>
  <si>
    <t>F101773</t>
  </si>
  <si>
    <t>TR-100021</t>
  </si>
  <si>
    <t>F872840</t>
  </si>
  <si>
    <t>TR-100022</t>
  </si>
  <si>
    <t>F753425</t>
  </si>
  <si>
    <t>CH-100026</t>
  </si>
  <si>
    <t>F631756</t>
  </si>
  <si>
    <t>CH-100027</t>
  </si>
  <si>
    <t>F681343</t>
  </si>
  <si>
    <t>RE-100030</t>
  </si>
  <si>
    <t>F745414</t>
  </si>
  <si>
    <t>TR-100023</t>
  </si>
  <si>
    <t>F400850</t>
  </si>
  <si>
    <t>RE-100031</t>
  </si>
  <si>
    <t>F587575</t>
  </si>
  <si>
    <t>CH-100028</t>
  </si>
  <si>
    <t>F277934</t>
  </si>
  <si>
    <t>TR-100024</t>
  </si>
  <si>
    <t>F958179</t>
  </si>
  <si>
    <t>RE-100032</t>
  </si>
  <si>
    <t>TR-100025</t>
  </si>
  <si>
    <t>F703634</t>
  </si>
  <si>
    <t>RE-100033</t>
  </si>
  <si>
    <t>F787926</t>
  </si>
  <si>
    <t>TR-100026</t>
  </si>
  <si>
    <t>F284430</t>
  </si>
  <si>
    <t>TR-100027</t>
  </si>
  <si>
    <t>F578634</t>
  </si>
  <si>
    <t>RE-100034</t>
  </si>
  <si>
    <t>F432711</t>
  </si>
  <si>
    <t>CH-100029</t>
  </si>
  <si>
    <t>F567574</t>
  </si>
  <si>
    <t>RE-100035</t>
  </si>
  <si>
    <t>F980660</t>
  </si>
  <si>
    <t>TR-100028</t>
  </si>
  <si>
    <t>F387936</t>
  </si>
  <si>
    <t>CH-100030</t>
  </si>
  <si>
    <t>F435239</t>
  </si>
  <si>
    <t>TR-100029</t>
  </si>
  <si>
    <t>F260227</t>
  </si>
  <si>
    <t>TR-100030</t>
  </si>
  <si>
    <t>F588557</t>
  </si>
  <si>
    <t>CH-100031</t>
  </si>
  <si>
    <t>F829308</t>
  </si>
  <si>
    <t>RE-100036</t>
  </si>
  <si>
    <t>F468845</t>
  </si>
  <si>
    <t>CH-100032</t>
  </si>
  <si>
    <t>F732556</t>
  </si>
  <si>
    <t>RE-100037</t>
  </si>
  <si>
    <t>F507746</t>
  </si>
  <si>
    <t>CH-100033</t>
  </si>
  <si>
    <t>F752483</t>
  </si>
  <si>
    <t>TR-100031</t>
  </si>
  <si>
    <t>F128418</t>
  </si>
  <si>
    <t>RE-100038</t>
  </si>
  <si>
    <t>F152727</t>
  </si>
  <si>
    <t>CH-100034</t>
  </si>
  <si>
    <t>F391773</t>
  </si>
  <si>
    <t>CH-100035</t>
  </si>
  <si>
    <t>F665621</t>
  </si>
  <si>
    <t>RE-100039</t>
  </si>
  <si>
    <t>F783414</t>
  </si>
  <si>
    <t>RE-100040</t>
  </si>
  <si>
    <t>F259784</t>
  </si>
  <si>
    <t>RE-100041</t>
  </si>
  <si>
    <t>F587623</t>
  </si>
  <si>
    <t>TR-100032</t>
  </si>
  <si>
    <t>F884256</t>
  </si>
  <si>
    <t>TR-100033</t>
  </si>
  <si>
    <t>F706794</t>
  </si>
  <si>
    <t>DOUBLON_SOURCE</t>
  </si>
  <si>
    <t>RE-100042</t>
  </si>
  <si>
    <t>F515922</t>
  </si>
  <si>
    <t>TR-100034</t>
  </si>
  <si>
    <t>F354646</t>
  </si>
  <si>
    <t>RE-100043</t>
  </si>
  <si>
    <t>F226935</t>
  </si>
  <si>
    <t>TR-100035</t>
  </si>
  <si>
    <t>F172306</t>
  </si>
  <si>
    <t>TR-100036</t>
  </si>
  <si>
    <t>F210665</t>
  </si>
  <si>
    <t>CH-100036</t>
  </si>
  <si>
    <t>F647091</t>
  </si>
  <si>
    <t>TR-100037</t>
  </si>
  <si>
    <t>F556732</t>
  </si>
  <si>
    <t>TR-100038</t>
  </si>
  <si>
    <t>F392477</t>
  </si>
  <si>
    <t>CH-100037</t>
  </si>
  <si>
    <t>F497399</t>
  </si>
  <si>
    <t>CH-100038</t>
  </si>
  <si>
    <t>F472060</t>
  </si>
  <si>
    <t>CH-100039</t>
  </si>
  <si>
    <t>F110644</t>
  </si>
  <si>
    <t>TR-100039</t>
  </si>
  <si>
    <t>F682144</t>
  </si>
  <si>
    <t>RE-100044</t>
  </si>
  <si>
    <t>F118080</t>
  </si>
  <si>
    <t>RE-100045</t>
  </si>
  <si>
    <t>F486945</t>
  </si>
  <si>
    <t>CH-100040</t>
  </si>
  <si>
    <t>F677124</t>
  </si>
  <si>
    <t>CH-100041</t>
  </si>
  <si>
    <t>F341736</t>
  </si>
  <si>
    <t>RE-100046</t>
  </si>
  <si>
    <t>F899213</t>
  </si>
  <si>
    <t>TR-100040</t>
  </si>
  <si>
    <t>F859782</t>
  </si>
  <si>
    <t>TR-100041</t>
  </si>
  <si>
    <t>F973074</t>
  </si>
  <si>
    <t>RE-100047</t>
  </si>
  <si>
    <t>F842411</t>
  </si>
  <si>
    <t>TR-100042</t>
  </si>
  <si>
    <t>F406327</t>
  </si>
  <si>
    <t>TR-100043</t>
  </si>
  <si>
    <t>F398151</t>
  </si>
  <si>
    <t>CH-100042</t>
  </si>
  <si>
    <t>F364742</t>
  </si>
  <si>
    <t>CH-100043</t>
  </si>
  <si>
    <t>F705050</t>
  </si>
  <si>
    <t>TR-100044</t>
  </si>
  <si>
    <t>F418594</t>
  </si>
  <si>
    <t>RE-100048</t>
  </si>
  <si>
    <t>F929151</t>
  </si>
  <si>
    <t>TR-100045</t>
  </si>
  <si>
    <t>F411797</t>
  </si>
  <si>
    <t>TR-100046</t>
  </si>
  <si>
    <t>F876039</t>
  </si>
  <si>
    <t>RE-100049</t>
  </si>
  <si>
    <t>F185131</t>
  </si>
  <si>
    <t>RE-100050</t>
  </si>
  <si>
    <t>F528361</t>
  </si>
  <si>
    <t>CH-100044</t>
  </si>
  <si>
    <t>F402099</t>
  </si>
  <si>
    <t>TR-100047</t>
  </si>
  <si>
    <t>F377405</t>
  </si>
  <si>
    <t>TR-100048</t>
  </si>
  <si>
    <t>F779094</t>
  </si>
  <si>
    <t>RE-100051</t>
  </si>
  <si>
    <t>F422554</t>
  </si>
  <si>
    <t>TR-100049</t>
  </si>
  <si>
    <t>F418862</t>
  </si>
  <si>
    <t>TR-100050</t>
  </si>
  <si>
    <t>F559023</t>
  </si>
  <si>
    <t>RE-100052</t>
  </si>
  <si>
    <t>F340044</t>
  </si>
  <si>
    <t>TR-100051</t>
  </si>
  <si>
    <t>F901909</t>
  </si>
  <si>
    <t>TR-100052</t>
  </si>
  <si>
    <t>F593355</t>
  </si>
  <si>
    <t>TR-100053</t>
  </si>
  <si>
    <t>F557058</t>
  </si>
  <si>
    <t>TR-100054</t>
  </si>
  <si>
    <t>F802685</t>
  </si>
  <si>
    <t>RE-100053</t>
  </si>
  <si>
    <t>F794769</t>
  </si>
  <si>
    <t>CH-100045</t>
  </si>
  <si>
    <t>F364659</t>
  </si>
  <si>
    <t>CH-100046</t>
  </si>
  <si>
    <t>F584417</t>
  </si>
  <si>
    <t>CH-100047</t>
  </si>
  <si>
    <t>F755788</t>
  </si>
  <si>
    <t>CH-100048</t>
  </si>
  <si>
    <t>F402020</t>
  </si>
  <si>
    <t>CH-100049</t>
  </si>
  <si>
    <t>F938141</t>
  </si>
  <si>
    <t>RE-100054</t>
  </si>
  <si>
    <t>F197736</t>
  </si>
  <si>
    <t>RE-100055</t>
  </si>
  <si>
    <t>F972565</t>
  </si>
  <si>
    <t>RE-100056</t>
  </si>
  <si>
    <t>F535673</t>
  </si>
  <si>
    <t>CH-100050</t>
  </si>
  <si>
    <t>F299869</t>
  </si>
  <si>
    <t>TR-100055</t>
  </si>
  <si>
    <t>F910208</t>
  </si>
  <si>
    <t>CH-100051</t>
  </si>
  <si>
    <t>F396578</t>
  </si>
  <si>
    <t>TR-100056</t>
  </si>
  <si>
    <t>F613425</t>
  </si>
  <si>
    <t>RE-100057</t>
  </si>
  <si>
    <t>F899929</t>
  </si>
  <si>
    <t>TR-100057</t>
  </si>
  <si>
    <t>F699573</t>
  </si>
  <si>
    <t>CH-100052</t>
  </si>
  <si>
    <t>F595951</t>
  </si>
  <si>
    <t>TR-100058</t>
  </si>
  <si>
    <t>F960616</t>
  </si>
  <si>
    <t>TR-100059</t>
  </si>
  <si>
    <t>F718849</t>
  </si>
  <si>
    <t>CH-100053</t>
  </si>
  <si>
    <t>F116093</t>
  </si>
  <si>
    <t>TR-100060</t>
  </si>
  <si>
    <t>F592296</t>
  </si>
  <si>
    <t>CH-100054</t>
  </si>
  <si>
    <t>F993744</t>
  </si>
  <si>
    <t>TR-100061</t>
  </si>
  <si>
    <t>F896290</t>
  </si>
  <si>
    <t>CH-100055</t>
  </si>
  <si>
    <t>F401338</t>
  </si>
  <si>
    <t>RE-100058</t>
  </si>
  <si>
    <t>F838083</t>
  </si>
  <si>
    <t>RE-100059</t>
  </si>
  <si>
    <t>F148225</t>
  </si>
  <si>
    <t>CH-100056</t>
  </si>
  <si>
    <t>F656968</t>
  </si>
  <si>
    <t>CH-100057</t>
  </si>
  <si>
    <t>F739098</t>
  </si>
  <si>
    <t>CH-100058</t>
  </si>
  <si>
    <t>F343467</t>
  </si>
  <si>
    <t>CH-100059</t>
  </si>
  <si>
    <t>F401603</t>
  </si>
  <si>
    <t>TR-100062</t>
  </si>
  <si>
    <t>F716113</t>
  </si>
  <si>
    <t>CH-100060</t>
  </si>
  <si>
    <t>F986365</t>
  </si>
  <si>
    <t>CH-100061</t>
  </si>
  <si>
    <t>F348728</t>
  </si>
  <si>
    <t>CH-100062</t>
  </si>
  <si>
    <t>F409571</t>
  </si>
  <si>
    <t>RE-100060</t>
  </si>
  <si>
    <t>F819112</t>
  </si>
  <si>
    <t>TR-100063</t>
  </si>
  <si>
    <t>F400096</t>
  </si>
  <si>
    <t>RE-100061</t>
  </si>
  <si>
    <t>F751051</t>
  </si>
  <si>
    <t>CH-100063</t>
  </si>
  <si>
    <t>F758765</t>
  </si>
  <si>
    <t>RE-100062</t>
  </si>
  <si>
    <t>F134985</t>
  </si>
  <si>
    <t>TR-100064</t>
  </si>
  <si>
    <t>F310548</t>
  </si>
  <si>
    <t>TVA_INCOHERENTE</t>
  </si>
  <si>
    <t>RE-100063</t>
  </si>
  <si>
    <t>F970813</t>
  </si>
  <si>
    <t>RE-100064</t>
  </si>
  <si>
    <t>F882824</t>
  </si>
  <si>
    <t>CH-100064</t>
  </si>
  <si>
    <t>F336574</t>
  </si>
  <si>
    <t>TR-100065</t>
  </si>
  <si>
    <t>F483542</t>
  </si>
  <si>
    <t>RE-100065</t>
  </si>
  <si>
    <t>F486490</t>
  </si>
  <si>
    <t>TR-100066</t>
  </si>
  <si>
    <t>F489518</t>
  </si>
  <si>
    <t>RE-100066</t>
  </si>
  <si>
    <t>F443939</t>
  </si>
  <si>
    <t>TR-100067</t>
  </si>
  <si>
    <t>F780776</t>
  </si>
  <si>
    <t>CH-100065</t>
  </si>
  <si>
    <t>F616554</t>
  </si>
  <si>
    <t>RE-100067</t>
  </si>
  <si>
    <t>F489033</t>
  </si>
  <si>
    <t>TR-100068</t>
  </si>
  <si>
    <t>F878325</t>
  </si>
  <si>
    <t>TR-100069</t>
  </si>
  <si>
    <t>F745558</t>
  </si>
  <si>
    <t>ECRITURE_WEEKEND</t>
  </si>
  <si>
    <t>CH-100066</t>
  </si>
  <si>
    <t>F566297</t>
  </si>
  <si>
    <t>RE-100068</t>
  </si>
  <si>
    <t>F776149</t>
  </si>
  <si>
    <t>CH-100067</t>
  </si>
  <si>
    <t>F989227</t>
  </si>
  <si>
    <t>CH-100068</t>
  </si>
  <si>
    <t>F153035</t>
  </si>
  <si>
    <t>CH-100069</t>
  </si>
  <si>
    <t>F171942</t>
  </si>
  <si>
    <t>TR-100070</t>
  </si>
  <si>
    <t>F444519</t>
  </si>
  <si>
    <t>RE-100069</t>
  </si>
  <si>
    <t>F236306</t>
  </si>
  <si>
    <t>TR-100071</t>
  </si>
  <si>
    <t>F238205</t>
  </si>
  <si>
    <t>RE-100070</t>
  </si>
  <si>
    <t>F282710</t>
  </si>
  <si>
    <t>CH-100070</t>
  </si>
  <si>
    <t>F166645</t>
  </si>
  <si>
    <t>CH-100071</t>
  </si>
  <si>
    <t>F332311</t>
  </si>
  <si>
    <t>TR-100072</t>
  </si>
  <si>
    <t>F774591</t>
  </si>
  <si>
    <t>RE-100071</t>
  </si>
  <si>
    <t>F819425</t>
  </si>
  <si>
    <t>RE-100072</t>
  </si>
  <si>
    <t>F737846</t>
  </si>
  <si>
    <t>RE-100073</t>
  </si>
  <si>
    <t>F674993</t>
  </si>
  <si>
    <t>TR-100073</t>
  </si>
  <si>
    <t>F734836</t>
  </si>
  <si>
    <t>CH-100072</t>
  </si>
  <si>
    <t>F782535</t>
  </si>
  <si>
    <t>TR-100074</t>
  </si>
  <si>
    <t>F533914</t>
  </si>
  <si>
    <t>CH-100073</t>
  </si>
  <si>
    <t>F547494</t>
  </si>
  <si>
    <t>CH-100074</t>
  </si>
  <si>
    <t>F597305</t>
  </si>
  <si>
    <t>RE-100074</t>
  </si>
  <si>
    <t>F880758</t>
  </si>
  <si>
    <t>TR-100075</t>
  </si>
  <si>
    <t>F688967</t>
  </si>
  <si>
    <t>CH-100075</t>
  </si>
  <si>
    <t>F886730</t>
  </si>
  <si>
    <t>CH-100076</t>
  </si>
  <si>
    <t>F468727</t>
  </si>
  <si>
    <t>RE-100075</t>
  </si>
  <si>
    <t>F988432</t>
  </si>
  <si>
    <t>RE-100076</t>
  </si>
  <si>
    <t>F701987</t>
  </si>
  <si>
    <t>RE-100077</t>
  </si>
  <si>
    <t>F743378</t>
  </si>
  <si>
    <t>TR-100076</t>
  </si>
  <si>
    <t>F969752</t>
  </si>
  <si>
    <t>TR-100077</t>
  </si>
  <si>
    <t>F456331</t>
  </si>
  <si>
    <t>CH-100077</t>
  </si>
  <si>
    <t>F248766</t>
  </si>
  <si>
    <t>TR-100078</t>
  </si>
  <si>
    <t>F325583</t>
  </si>
  <si>
    <t>CH-100078</t>
  </si>
  <si>
    <t>F856648</t>
  </si>
  <si>
    <t>CH-100079</t>
  </si>
  <si>
    <t>F891083</t>
  </si>
  <si>
    <t>TR-100079</t>
  </si>
  <si>
    <t>F544611</t>
  </si>
  <si>
    <t>CH-100080</t>
  </si>
  <si>
    <t>F219346</t>
  </si>
  <si>
    <t>CH-100081</t>
  </si>
  <si>
    <t>F610271</t>
  </si>
  <si>
    <t>TR-100080</t>
  </si>
  <si>
    <t>F157443</t>
  </si>
  <si>
    <t>RE-100078</t>
  </si>
  <si>
    <t>F444061</t>
  </si>
  <si>
    <t>RE-100079</t>
  </si>
  <si>
    <t>F837852</t>
  </si>
  <si>
    <t>RE-100080</t>
  </si>
  <si>
    <t>F516359</t>
  </si>
  <si>
    <t>TR-100081</t>
  </si>
  <si>
    <t>F428267</t>
  </si>
  <si>
    <t>TR-100082</t>
  </si>
  <si>
    <t>F220768</t>
  </si>
  <si>
    <t>CH-100082</t>
  </si>
  <si>
    <t>F582446</t>
  </si>
  <si>
    <t>TR-100083</t>
  </si>
  <si>
    <t>F717476</t>
  </si>
  <si>
    <t>GE Trading International</t>
  </si>
  <si>
    <t>CH-100083</t>
  </si>
  <si>
    <t>F456005</t>
  </si>
  <si>
    <t>RE-100081</t>
  </si>
  <si>
    <t>F219565</t>
  </si>
  <si>
    <t>TR-100084</t>
  </si>
  <si>
    <t>F207798</t>
  </si>
  <si>
    <t>RE-100082</t>
  </si>
  <si>
    <t>F179013</t>
  </si>
  <si>
    <t>RE-100083</t>
  </si>
  <si>
    <t>F896788</t>
  </si>
  <si>
    <t>TR-100085</t>
  </si>
  <si>
    <t>F438908</t>
  </si>
  <si>
    <t>TR-100086</t>
  </si>
  <si>
    <t>F762055</t>
  </si>
  <si>
    <t>CH-100084</t>
  </si>
  <si>
    <t>F425486</t>
  </si>
  <si>
    <t>CH-100085</t>
  </si>
  <si>
    <t>F180458</t>
  </si>
  <si>
    <t>MONTANT_ATYPIQUE</t>
  </si>
  <si>
    <t>TR-100087</t>
  </si>
  <si>
    <t>F708519</t>
  </si>
  <si>
    <t>TR-100088</t>
  </si>
  <si>
    <t>F783501</t>
  </si>
  <si>
    <t>RE-100084</t>
  </si>
  <si>
    <t>F572407</t>
  </si>
  <si>
    <t>RE-100085</t>
  </si>
  <si>
    <t>F777513</t>
  </si>
  <si>
    <t>RE-100086</t>
  </si>
  <si>
    <t>F649525</t>
  </si>
  <si>
    <t>TR-100089</t>
  </si>
  <si>
    <t>F528625</t>
  </si>
  <si>
    <t>CH-100086</t>
  </si>
  <si>
    <t>F450905</t>
  </si>
  <si>
    <t>RE-100087</t>
  </si>
  <si>
    <t>F364236</t>
  </si>
  <si>
    <t>TR-100090</t>
  </si>
  <si>
    <t>F711046</t>
  </si>
  <si>
    <t>TR-100091</t>
  </si>
  <si>
    <t>F235215</t>
  </si>
  <si>
    <t>6788</t>
  </si>
  <si>
    <t>TR-100092</t>
  </si>
  <si>
    <t>F930117</t>
  </si>
  <si>
    <t>CH-100087</t>
  </si>
  <si>
    <t>F818709</t>
  </si>
  <si>
    <t>TR-100093</t>
  </si>
  <si>
    <t>F119116</t>
  </si>
  <si>
    <t>CH-100088</t>
  </si>
  <si>
    <t>F301332</t>
  </si>
  <si>
    <t>RE-100088</t>
  </si>
  <si>
    <t>F206053</t>
  </si>
  <si>
    <t>TR-100094</t>
  </si>
  <si>
    <t>F748052</t>
  </si>
  <si>
    <t>RE-100089</t>
  </si>
  <si>
    <t>F908554</t>
  </si>
  <si>
    <t>TR-100095</t>
  </si>
  <si>
    <t>F481995</t>
  </si>
  <si>
    <t>TR-100096</t>
  </si>
  <si>
    <t>F345369</t>
  </si>
  <si>
    <t>TR-100097</t>
  </si>
  <si>
    <t>F485709</t>
  </si>
  <si>
    <t>TR-100098</t>
  </si>
  <si>
    <t>F500422</t>
  </si>
  <si>
    <t>TR-100099</t>
  </si>
  <si>
    <t>F245121</t>
  </si>
  <si>
    <t>CH-100089</t>
  </si>
  <si>
    <t>F207573</t>
  </si>
  <si>
    <t>TR-100100</t>
  </si>
  <si>
    <t>F386042</t>
  </si>
  <si>
    <t>CH-100090</t>
  </si>
  <si>
    <t>F332823</t>
  </si>
  <si>
    <t>CH-100091</t>
  </si>
  <si>
    <t>F492127</t>
  </si>
  <si>
    <t>RE-100090</t>
  </si>
  <si>
    <t>F434165</t>
  </si>
  <si>
    <t>RE-100091</t>
  </si>
  <si>
    <t>F595404</t>
  </si>
  <si>
    <t>TR-100101</t>
  </si>
  <si>
    <t>F183074</t>
  </si>
  <si>
    <t>RE-100092</t>
  </si>
  <si>
    <t>F738457</t>
  </si>
  <si>
    <t>TR-100102</t>
  </si>
  <si>
    <t>F150068</t>
  </si>
  <si>
    <t>RE-100093</t>
  </si>
  <si>
    <t>F725726</t>
  </si>
  <si>
    <t>TR-100103</t>
  </si>
  <si>
    <t>F405420</t>
  </si>
  <si>
    <t>CH-100092</t>
  </si>
  <si>
    <t>F296412</t>
  </si>
  <si>
    <t>TR-100104</t>
  </si>
  <si>
    <t>F651613</t>
  </si>
  <si>
    <t>TR-100105</t>
  </si>
  <si>
    <t>F592972</t>
  </si>
  <si>
    <t>RE-100094</t>
  </si>
  <si>
    <t>F474440</t>
  </si>
  <si>
    <t>RE-100095</t>
  </si>
  <si>
    <t>F870899</t>
  </si>
  <si>
    <t>CH-100093</t>
  </si>
  <si>
    <t>F283594</t>
  </si>
  <si>
    <t>TR-100106</t>
  </si>
  <si>
    <t>F950916</t>
  </si>
  <si>
    <t>RE-100096</t>
  </si>
  <si>
    <t>F143941</t>
  </si>
  <si>
    <t>CH-100094</t>
  </si>
  <si>
    <t>F365618</t>
  </si>
  <si>
    <t>RE-100097</t>
  </si>
  <si>
    <t>F150126</t>
  </si>
  <si>
    <t>TR-100107</t>
  </si>
  <si>
    <t>F519453</t>
  </si>
  <si>
    <t>TR-100108</t>
  </si>
  <si>
    <t>F620306</t>
  </si>
  <si>
    <t>TR-100109</t>
  </si>
  <si>
    <t>F862400</t>
  </si>
  <si>
    <t>CH-100095</t>
  </si>
  <si>
    <t>F671971</t>
  </si>
  <si>
    <t>CH-100096</t>
  </si>
  <si>
    <t>F421384</t>
  </si>
  <si>
    <t>CH-100097</t>
  </si>
  <si>
    <t>F468623</t>
  </si>
  <si>
    <t>CH-100098</t>
  </si>
  <si>
    <t>F387892</t>
  </si>
  <si>
    <t>TR-100110</t>
  </si>
  <si>
    <t>F480959</t>
  </si>
  <si>
    <t>TR-100111</t>
  </si>
  <si>
    <t>F919264</t>
  </si>
  <si>
    <t>CH-100099</t>
  </si>
  <si>
    <t>F484123</t>
  </si>
  <si>
    <t>CH-100100</t>
  </si>
  <si>
    <t>F571778</t>
  </si>
  <si>
    <t>CH-100101</t>
  </si>
  <si>
    <t>F517368</t>
  </si>
  <si>
    <t>CH-100102</t>
  </si>
  <si>
    <t>F871411</t>
  </si>
  <si>
    <t>RE-100098</t>
  </si>
  <si>
    <t>F374492</t>
  </si>
  <si>
    <t>CH-100103</t>
  </si>
  <si>
    <t>F615060</t>
  </si>
  <si>
    <t>RE-100099</t>
  </si>
  <si>
    <t>F566732</t>
  </si>
  <si>
    <t>RE-100100</t>
  </si>
  <si>
    <t>F676713</t>
  </si>
  <si>
    <t>TR-100112</t>
  </si>
  <si>
    <t>F844031</t>
  </si>
  <si>
    <t>TR-100113</t>
  </si>
  <si>
    <t>F930541</t>
  </si>
  <si>
    <t>RE-100101</t>
  </si>
  <si>
    <t>F700076</t>
  </si>
  <si>
    <t>CH-100104</t>
  </si>
  <si>
    <t>F168941</t>
  </si>
  <si>
    <t>CH-100105</t>
  </si>
  <si>
    <t>F963333</t>
  </si>
  <si>
    <t>TR-100114</t>
  </si>
  <si>
    <t>F588461</t>
  </si>
  <si>
    <t>TR-100115</t>
  </si>
  <si>
    <t>F770872</t>
  </si>
  <si>
    <t>TR-100116</t>
  </si>
  <si>
    <t>F971776</t>
  </si>
  <si>
    <t>RE-100102</t>
  </si>
  <si>
    <t>F843788</t>
  </si>
  <si>
    <t>RE-100103</t>
  </si>
  <si>
    <t>F362778</t>
  </si>
  <si>
    <t>RE-100104</t>
  </si>
  <si>
    <t>F417534</t>
  </si>
  <si>
    <t>TR-100117</t>
  </si>
  <si>
    <t>F708851</t>
  </si>
  <si>
    <t>RE-100105</t>
  </si>
  <si>
    <t>F143195</t>
  </si>
  <si>
    <t>RE-100106</t>
  </si>
  <si>
    <t>F782759</t>
  </si>
  <si>
    <t>RE-100107</t>
  </si>
  <si>
    <t>F757629</t>
  </si>
  <si>
    <t>TR-100118</t>
  </si>
  <si>
    <t>F525818</t>
  </si>
  <si>
    <t>CH-100106</t>
  </si>
  <si>
    <t>F535810</t>
  </si>
  <si>
    <t>CH-100107</t>
  </si>
  <si>
    <t>F853258</t>
  </si>
  <si>
    <t>CH-100108</t>
  </si>
  <si>
    <t>F488539</t>
  </si>
  <si>
    <t>TR-100119</t>
  </si>
  <si>
    <t>F380464</t>
  </si>
  <si>
    <t>CH-100109</t>
  </si>
  <si>
    <t>F745270</t>
  </si>
  <si>
    <t>CH-100110</t>
  </si>
  <si>
    <t>F427905</t>
  </si>
  <si>
    <t>RE-100108</t>
  </si>
  <si>
    <t>F124302</t>
  </si>
  <si>
    <t>RE-100109</t>
  </si>
  <si>
    <t>F711680</t>
  </si>
  <si>
    <t>CH-100111</t>
  </si>
  <si>
    <t>F805188</t>
  </si>
  <si>
    <t>CH-100112</t>
  </si>
  <si>
    <t>F862847</t>
  </si>
  <si>
    <t>CH-100113</t>
  </si>
  <si>
    <t>F689107</t>
  </si>
  <si>
    <t>RE-100110</t>
  </si>
  <si>
    <t>F572230</t>
  </si>
  <si>
    <t>TR-100120</t>
  </si>
  <si>
    <t>F201377</t>
  </si>
  <si>
    <t>CH-100114</t>
  </si>
  <si>
    <t>F891638</t>
  </si>
  <si>
    <t>RE-100111</t>
  </si>
  <si>
    <t>F147504</t>
  </si>
  <si>
    <t>RE-100112</t>
  </si>
  <si>
    <t>F579187</t>
  </si>
  <si>
    <t>RE-100113</t>
  </si>
  <si>
    <t>F434002</t>
  </si>
  <si>
    <t>RE-100114</t>
  </si>
  <si>
    <t>F722565</t>
  </si>
  <si>
    <t>CH-100115</t>
  </si>
  <si>
    <t>F690268</t>
  </si>
  <si>
    <t>CH-100116</t>
  </si>
  <si>
    <t>F214928</t>
  </si>
  <si>
    <t>CH-100117</t>
  </si>
  <si>
    <t>F597643</t>
  </si>
  <si>
    <t>CH-100118</t>
  </si>
  <si>
    <t>F711868</t>
  </si>
  <si>
    <t>CH-100119</t>
  </si>
  <si>
    <t>F254954</t>
  </si>
  <si>
    <t>TR-100121</t>
  </si>
  <si>
    <t>F300051</t>
  </si>
  <si>
    <t>RE-100115</t>
  </si>
  <si>
    <t>F530311</t>
  </si>
  <si>
    <t>TR-100122</t>
  </si>
  <si>
    <t>F794395</t>
  </si>
  <si>
    <t>CH-100120</t>
  </si>
  <si>
    <t>F659024</t>
  </si>
  <si>
    <t>CH-100121</t>
  </si>
  <si>
    <t>F377203</t>
  </si>
  <si>
    <t>TR-100123</t>
  </si>
  <si>
    <t>F335790</t>
  </si>
  <si>
    <t>CH-100122</t>
  </si>
  <si>
    <t>F603110</t>
  </si>
  <si>
    <t>CH-100123</t>
  </si>
  <si>
    <t>F809489</t>
  </si>
  <si>
    <t>TR-100124</t>
  </si>
  <si>
    <t>F404561</t>
  </si>
  <si>
    <t>RE-100116</t>
  </si>
  <si>
    <t>F787836</t>
  </si>
  <si>
    <t>CH-100124</t>
  </si>
  <si>
    <t>F689318</t>
  </si>
  <si>
    <t>TR-100125</t>
  </si>
  <si>
    <t>F350905</t>
  </si>
  <si>
    <t>RE-100117</t>
  </si>
  <si>
    <t>F155040</t>
  </si>
  <si>
    <t>RE-100118</t>
  </si>
  <si>
    <t>F105433</t>
  </si>
  <si>
    <t>TR-100126</t>
  </si>
  <si>
    <t>F598807</t>
  </si>
  <si>
    <t>CH-100125</t>
  </si>
  <si>
    <t>F162036</t>
  </si>
  <si>
    <t>RE-100119</t>
  </si>
  <si>
    <t>F991638</t>
  </si>
  <si>
    <t>RE-100120</t>
  </si>
  <si>
    <t>F138105</t>
  </si>
  <si>
    <t>CH-100126</t>
  </si>
  <si>
    <t>F695551</t>
  </si>
  <si>
    <t>TR-100127</t>
  </si>
  <si>
    <t>F669691</t>
  </si>
  <si>
    <t>TR-100128</t>
  </si>
  <si>
    <t>F386090</t>
  </si>
  <si>
    <t>RE-100121</t>
  </si>
  <si>
    <t>F369761</t>
  </si>
  <si>
    <t>TR-100129</t>
  </si>
  <si>
    <t>F740632</t>
  </si>
  <si>
    <t>TR-100130</t>
  </si>
  <si>
    <t>F801765</t>
  </si>
  <si>
    <t>RE-100122</t>
  </si>
  <si>
    <t>F107161</t>
  </si>
  <si>
    <t>CH-100127</t>
  </si>
  <si>
    <t>F700705</t>
  </si>
  <si>
    <t>RE-100123</t>
  </si>
  <si>
    <t>F800224</t>
  </si>
  <si>
    <t>RE-100124</t>
  </si>
  <si>
    <t>F907236</t>
  </si>
  <si>
    <t>CH-100128</t>
  </si>
  <si>
    <t>F744481</t>
  </si>
  <si>
    <t>RE-100125</t>
  </si>
  <si>
    <t>F884056</t>
  </si>
  <si>
    <t>TR-100131</t>
  </si>
  <si>
    <t>F894139</t>
  </si>
  <si>
    <t>TR-100132</t>
  </si>
  <si>
    <t>F724756</t>
  </si>
  <si>
    <t>RE-100126</t>
  </si>
  <si>
    <t>F630041</t>
  </si>
  <si>
    <t>RE-100127</t>
  </si>
  <si>
    <t>F563303</t>
  </si>
  <si>
    <t>RE-100128</t>
  </si>
  <si>
    <t>F567122</t>
  </si>
  <si>
    <t>RE-100129</t>
  </si>
  <si>
    <t>F685941</t>
  </si>
  <si>
    <t>CH-100129</t>
  </si>
  <si>
    <t>F882032</t>
  </si>
  <si>
    <t>RE-100130</t>
  </si>
  <si>
    <t>F166857</t>
  </si>
  <si>
    <t>758</t>
  </si>
  <si>
    <t>TR-100133</t>
  </si>
  <si>
    <t>F401036</t>
  </si>
  <si>
    <t>CH-100130</t>
  </si>
  <si>
    <t>F777255</t>
  </si>
  <si>
    <t>CH-100131</t>
  </si>
  <si>
    <t>F493892</t>
  </si>
  <si>
    <t>RE-100131</t>
  </si>
  <si>
    <t>F785280</t>
  </si>
  <si>
    <t>CH-100132</t>
  </si>
  <si>
    <t>F863214</t>
  </si>
  <si>
    <t>RE-100132</t>
  </si>
  <si>
    <t>F544730</t>
  </si>
  <si>
    <t>TR-100134</t>
  </si>
  <si>
    <t>F262656</t>
  </si>
  <si>
    <t>CH-100133</t>
  </si>
  <si>
    <t>F539605</t>
  </si>
  <si>
    <t>TR-100135</t>
  </si>
  <si>
    <t>F722795</t>
  </si>
  <si>
    <t>RE-100133</t>
  </si>
  <si>
    <t>F356622</t>
  </si>
  <si>
    <t>TR-100136</t>
  </si>
  <si>
    <t>F891030</t>
  </si>
  <si>
    <t>RE-100134</t>
  </si>
  <si>
    <t>F704095</t>
  </si>
  <si>
    <t>CH-100134</t>
  </si>
  <si>
    <t>F416422</t>
  </si>
  <si>
    <t>RE-100135</t>
  </si>
  <si>
    <t>F163918</t>
  </si>
  <si>
    <t>TR-100137</t>
  </si>
  <si>
    <t>F619696</t>
  </si>
  <si>
    <t>RE-100136</t>
  </si>
  <si>
    <t>F434217</t>
  </si>
  <si>
    <t>TR-100138</t>
  </si>
  <si>
    <t>F891062</t>
  </si>
  <si>
    <t>TR-100139</t>
  </si>
  <si>
    <t>F944917</t>
  </si>
  <si>
    <t>CH-100135</t>
  </si>
  <si>
    <t>F655736</t>
  </si>
  <si>
    <t>RE-100137</t>
  </si>
  <si>
    <t>F571635</t>
  </si>
  <si>
    <t>CH-100136</t>
  </si>
  <si>
    <t>F806396</t>
  </si>
  <si>
    <t>TR-100140</t>
  </si>
  <si>
    <t>F859489</t>
  </si>
  <si>
    <t>TR-100141</t>
  </si>
  <si>
    <t>F417915</t>
  </si>
  <si>
    <t>RE-100138</t>
  </si>
  <si>
    <t>F883159</t>
  </si>
  <si>
    <t>CH-100137</t>
  </si>
  <si>
    <t>F350956</t>
  </si>
  <si>
    <t>TR-100142</t>
  </si>
  <si>
    <t>F476710</t>
  </si>
  <si>
    <t>CH-100138</t>
  </si>
  <si>
    <t>CH-100139</t>
  </si>
  <si>
    <t>F332022</t>
  </si>
  <si>
    <t>TR-100143</t>
  </si>
  <si>
    <t>F707275</t>
  </si>
  <si>
    <t>TR-100144</t>
  </si>
  <si>
    <t>F498290</t>
  </si>
  <si>
    <t>TR-100145</t>
  </si>
  <si>
    <t>F369826</t>
  </si>
  <si>
    <t>CH-100140</t>
  </si>
  <si>
    <t>F868367</t>
  </si>
  <si>
    <t>CH-100141</t>
  </si>
  <si>
    <t>F772985</t>
  </si>
  <si>
    <t>RE-100139</t>
  </si>
  <si>
    <t>F532424</t>
  </si>
  <si>
    <t>RE-100140</t>
  </si>
  <si>
    <t>F329344</t>
  </si>
  <si>
    <t>TR-100146</t>
  </si>
  <si>
    <t>F746467</t>
  </si>
  <si>
    <t>CH-100142</t>
  </si>
  <si>
    <t>F531319</t>
  </si>
  <si>
    <t>RE-100141</t>
  </si>
  <si>
    <t>F117975</t>
  </si>
  <si>
    <t>TR-100147</t>
  </si>
  <si>
    <t>F287974</t>
  </si>
  <si>
    <t>RE-100142</t>
  </si>
  <si>
    <t>F652029</t>
  </si>
  <si>
    <t>CH-100143</t>
  </si>
  <si>
    <t>F581294</t>
  </si>
  <si>
    <t>TR-100148</t>
  </si>
  <si>
    <t>F968286</t>
  </si>
  <si>
    <t>RE-100143</t>
  </si>
  <si>
    <t>F495490</t>
  </si>
  <si>
    <t>TR-100149</t>
  </si>
  <si>
    <t>F986392</t>
  </si>
  <si>
    <t>CH-100144</t>
  </si>
  <si>
    <t>F653815</t>
  </si>
  <si>
    <t>RE-100144</t>
  </si>
  <si>
    <t>F817675</t>
  </si>
  <si>
    <t>CH-100145</t>
  </si>
  <si>
    <t>F991737</t>
  </si>
  <si>
    <t>CH-100146</t>
  </si>
  <si>
    <t>F960778</t>
  </si>
  <si>
    <t>CH-100147</t>
  </si>
  <si>
    <t>F975194</t>
  </si>
  <si>
    <t>CH-100148</t>
  </si>
  <si>
    <t>F246748</t>
  </si>
  <si>
    <t>TR-100150</t>
  </si>
  <si>
    <t>F979414</t>
  </si>
  <si>
    <t>RE-100145</t>
  </si>
  <si>
    <t>F911131</t>
  </si>
  <si>
    <t>CH-100149</t>
  </si>
  <si>
    <t>F614435</t>
  </si>
  <si>
    <t>RE-100146</t>
  </si>
  <si>
    <t>F189856</t>
  </si>
  <si>
    <t>TR-100151</t>
  </si>
  <si>
    <t>F380989</t>
  </si>
  <si>
    <t>RE-100147</t>
  </si>
  <si>
    <t>F432061</t>
  </si>
  <si>
    <t>CH-100150</t>
  </si>
  <si>
    <t>F477400</t>
  </si>
  <si>
    <t>CH-100151</t>
  </si>
  <si>
    <t>F684041</t>
  </si>
  <si>
    <t>TR-100152</t>
  </si>
  <si>
    <t>F197584</t>
  </si>
  <si>
    <t>TR-100153</t>
  </si>
  <si>
    <t>F406024</t>
  </si>
  <si>
    <t>CH-100152</t>
  </si>
  <si>
    <t>F354533</t>
  </si>
  <si>
    <t>TR-100154</t>
  </si>
  <si>
    <t>F381981</t>
  </si>
  <si>
    <t>CH-100153</t>
  </si>
  <si>
    <t>F414313</t>
  </si>
  <si>
    <t>CH-100154</t>
  </si>
  <si>
    <t>F755395</t>
  </si>
  <si>
    <t>CH-100155</t>
  </si>
  <si>
    <t>F419457</t>
  </si>
  <si>
    <t>RE-100148</t>
  </si>
  <si>
    <t>F445549</t>
  </si>
  <si>
    <t>CH-100156</t>
  </si>
  <si>
    <t>F829066</t>
  </si>
  <si>
    <t>RE-100149</t>
  </si>
  <si>
    <t>F405605</t>
  </si>
  <si>
    <t>TR-100155</t>
  </si>
  <si>
    <t>F441716</t>
  </si>
  <si>
    <t>CH-100157</t>
  </si>
  <si>
    <t>F309505</t>
  </si>
  <si>
    <t>TR-100156</t>
  </si>
  <si>
    <t>F862538</t>
  </si>
  <si>
    <t>CH-100158</t>
  </si>
  <si>
    <t>F826490</t>
  </si>
  <si>
    <t>RE-100150</t>
  </si>
  <si>
    <t>F417543</t>
  </si>
  <si>
    <t>RE-100151</t>
  </si>
  <si>
    <t>F177558</t>
  </si>
  <si>
    <t>CH-100159</t>
  </si>
  <si>
    <t>F825309</t>
  </si>
  <si>
    <t>CH-100160</t>
  </si>
  <si>
    <t>F722665</t>
  </si>
  <si>
    <t>TR-100157</t>
  </si>
  <si>
    <t>F472253</t>
  </si>
  <si>
    <t>RE-100152</t>
  </si>
  <si>
    <t>F810380</t>
  </si>
  <si>
    <t>TR-100158</t>
  </si>
  <si>
    <t>F211090</t>
  </si>
  <si>
    <t>RE-100153</t>
  </si>
  <si>
    <t>F685098</t>
  </si>
  <si>
    <t>TR-100159</t>
  </si>
  <si>
    <t>F585556</t>
  </si>
  <si>
    <t>TR-100160</t>
  </si>
  <si>
    <t>F606222</t>
  </si>
  <si>
    <t>RE-100154</t>
  </si>
  <si>
    <t>F248557</t>
  </si>
  <si>
    <t>CH-100161</t>
  </si>
  <si>
    <t>F606384</t>
  </si>
  <si>
    <t>CH-100162</t>
  </si>
  <si>
    <t>F434400</t>
  </si>
  <si>
    <t>RE-100155</t>
  </si>
  <si>
    <t>F779445</t>
  </si>
  <si>
    <t>RE-100156</t>
  </si>
  <si>
    <t>F355761</t>
  </si>
  <si>
    <t>TR-100161</t>
  </si>
  <si>
    <t>F343118</t>
  </si>
  <si>
    <t>CH-100163</t>
  </si>
  <si>
    <t>TR-100162</t>
  </si>
  <si>
    <t>F104666</t>
  </si>
  <si>
    <t>TR-100163</t>
  </si>
  <si>
    <t>F705393</t>
  </si>
  <si>
    <t>RE-100157</t>
  </si>
  <si>
    <t>F579776</t>
  </si>
  <si>
    <t>RE-100158</t>
  </si>
  <si>
    <t>F428628</t>
  </si>
  <si>
    <t>TR-100164</t>
  </si>
  <si>
    <t>CH-100164</t>
  </si>
  <si>
    <t>F744333</t>
  </si>
  <si>
    <t>TR-100165</t>
  </si>
  <si>
    <t>F420214</t>
  </si>
  <si>
    <t>RE-100159</t>
  </si>
  <si>
    <t>F538555</t>
  </si>
  <si>
    <t>TR-100166</t>
  </si>
  <si>
    <t>F766371</t>
  </si>
  <si>
    <t>TR-100167</t>
  </si>
  <si>
    <t>F274971</t>
  </si>
  <si>
    <t>CH-100165</t>
  </si>
  <si>
    <t>F156215</t>
  </si>
  <si>
    <t>CH-100166</t>
  </si>
  <si>
    <t>F688861</t>
  </si>
  <si>
    <t>TR-100168</t>
  </si>
  <si>
    <t>F844638</t>
  </si>
  <si>
    <t>CH-100167</t>
  </si>
  <si>
    <t>F406278</t>
  </si>
  <si>
    <t>RE-100160</t>
  </si>
  <si>
    <t>F693127</t>
  </si>
  <si>
    <t>TR-100169</t>
  </si>
  <si>
    <t>F219754</t>
  </si>
  <si>
    <t>CH-100168</t>
  </si>
  <si>
    <t>F896922</t>
  </si>
  <si>
    <t>TR-100170</t>
  </si>
  <si>
    <t>F871740</t>
  </si>
  <si>
    <t>TR-100171</t>
  </si>
  <si>
    <t>F375581</t>
  </si>
  <si>
    <t>CH-100169</t>
  </si>
  <si>
    <t>F913308</t>
  </si>
  <si>
    <t>RE-100161</t>
  </si>
  <si>
    <t>F739905</t>
  </si>
  <si>
    <t>TR-100172</t>
  </si>
  <si>
    <t>F953047</t>
  </si>
  <si>
    <t>RE-100162</t>
  </si>
  <si>
    <t>F439375</t>
  </si>
  <si>
    <t>TR-100173</t>
  </si>
  <si>
    <t>F812296</t>
  </si>
  <si>
    <t>RE-100163</t>
  </si>
  <si>
    <t>F787757</t>
  </si>
  <si>
    <t>RE-100164</t>
  </si>
  <si>
    <t>F359579</t>
  </si>
  <si>
    <t>TR-100174</t>
  </si>
  <si>
    <t>F758309</t>
  </si>
  <si>
    <t>CH-100170</t>
  </si>
  <si>
    <t>F522419</t>
  </si>
  <si>
    <t>TR-100175</t>
  </si>
  <si>
    <t>F611751</t>
  </si>
  <si>
    <t>CH-100171</t>
  </si>
  <si>
    <t>F765678</t>
  </si>
  <si>
    <t>TR-100176</t>
  </si>
  <si>
    <t>F964915</t>
  </si>
  <si>
    <t>RE-100165</t>
  </si>
  <si>
    <t>F236937</t>
  </si>
  <si>
    <t>TR-100177</t>
  </si>
  <si>
    <t>F148174</t>
  </si>
  <si>
    <t>RE-100166</t>
  </si>
  <si>
    <t>F562721</t>
  </si>
  <si>
    <t>CH-100172</t>
  </si>
  <si>
    <t>F238320</t>
  </si>
  <si>
    <t>TR-100178</t>
  </si>
  <si>
    <t>F362552</t>
  </si>
  <si>
    <t>RE-100167</t>
  </si>
  <si>
    <t>F420349</t>
  </si>
  <si>
    <t>TR-100179</t>
  </si>
  <si>
    <t>F199807</t>
  </si>
  <si>
    <t>RE-100168</t>
  </si>
  <si>
    <t>F566686</t>
  </si>
  <si>
    <t>RE-100169</t>
  </si>
  <si>
    <t>F827744</t>
  </si>
  <si>
    <t>RE-100170</t>
  </si>
  <si>
    <t>F945106</t>
  </si>
  <si>
    <t>RE-100171</t>
  </si>
  <si>
    <t>F501312</t>
  </si>
  <si>
    <t>RE-100172</t>
  </si>
  <si>
    <t>F739966</t>
  </si>
  <si>
    <t>TR-100180</t>
  </si>
  <si>
    <t>F746002</t>
  </si>
  <si>
    <t>TR-100181</t>
  </si>
  <si>
    <t>F246814</t>
  </si>
  <si>
    <t>RE-100173</t>
  </si>
  <si>
    <t>F429780</t>
  </si>
  <si>
    <t>RE-100174</t>
  </si>
  <si>
    <t>F730193</t>
  </si>
  <si>
    <t>TR-100182</t>
  </si>
  <si>
    <t>F989079</t>
  </si>
  <si>
    <t>TR-100183</t>
  </si>
  <si>
    <t>F884170</t>
  </si>
  <si>
    <t>CH-100173</t>
  </si>
  <si>
    <t>F618927</t>
  </si>
  <si>
    <t>CH-100174</t>
  </si>
  <si>
    <t>F478638</t>
  </si>
  <si>
    <t>CH-100175</t>
  </si>
  <si>
    <t>F281162</t>
  </si>
  <si>
    <t>CH-100176</t>
  </si>
  <si>
    <t>F374921</t>
  </si>
  <si>
    <t>RE-100175</t>
  </si>
  <si>
    <t>F631219</t>
  </si>
  <si>
    <t>CH-100177</t>
  </si>
  <si>
    <t>F186431</t>
  </si>
  <si>
    <t>TR-100184</t>
  </si>
  <si>
    <t>F424960</t>
  </si>
  <si>
    <t>RE-100176</t>
  </si>
  <si>
    <t>F662445</t>
  </si>
  <si>
    <t>CH-100178</t>
  </si>
  <si>
    <t>F814138</t>
  </si>
  <si>
    <t>TR-100185</t>
  </si>
  <si>
    <t>F160718</t>
  </si>
  <si>
    <t>RE-100177</t>
  </si>
  <si>
    <t>F738407</t>
  </si>
  <si>
    <t>RE-100178</t>
  </si>
  <si>
    <t>F113280</t>
  </si>
  <si>
    <t>TR-100186</t>
  </si>
  <si>
    <t>F648410</t>
  </si>
  <si>
    <t>TR-100187</t>
  </si>
  <si>
    <t>F919067</t>
  </si>
  <si>
    <t>CH-100179</t>
  </si>
  <si>
    <t>F649300</t>
  </si>
  <si>
    <t>RE-100179</t>
  </si>
  <si>
    <t>F577309</t>
  </si>
  <si>
    <t>TR-100188</t>
  </si>
  <si>
    <t>F910894</t>
  </si>
  <si>
    <t>RE-100180</t>
  </si>
  <si>
    <t>F633541</t>
  </si>
  <si>
    <t>RE-100181</t>
  </si>
  <si>
    <t>F481657</t>
  </si>
  <si>
    <t>CH-100180</t>
  </si>
  <si>
    <t>F679720</t>
  </si>
  <si>
    <t>TR-100189</t>
  </si>
  <si>
    <t>F855276</t>
  </si>
  <si>
    <t>CH-100181</t>
  </si>
  <si>
    <t>F806033</t>
  </si>
  <si>
    <t>RE-100182</t>
  </si>
  <si>
    <t>F172274</t>
  </si>
  <si>
    <t>CH-100182</t>
  </si>
  <si>
    <t>F108356</t>
  </si>
  <si>
    <t>CH-100183</t>
  </si>
  <si>
    <t>F752966</t>
  </si>
  <si>
    <t>RE-100183</t>
  </si>
  <si>
    <t>F868043</t>
  </si>
  <si>
    <t>TR-100190</t>
  </si>
  <si>
    <t>F125071</t>
  </si>
  <si>
    <t>RE-100184</t>
  </si>
  <si>
    <t>F101533</t>
  </si>
  <si>
    <t>TR-100191</t>
  </si>
  <si>
    <t>F540208</t>
  </si>
  <si>
    <t>CH-100184</t>
  </si>
  <si>
    <t>F342716</t>
  </si>
  <si>
    <t>TR-100192</t>
  </si>
  <si>
    <t>F189026</t>
  </si>
  <si>
    <t>TR-100193</t>
  </si>
  <si>
    <t>F178465</t>
  </si>
  <si>
    <t>TR-100194</t>
  </si>
  <si>
    <t>F348273</t>
  </si>
  <si>
    <t>CH-100185</t>
  </si>
  <si>
    <t>F834764</t>
  </si>
  <si>
    <t>TR-100195</t>
  </si>
  <si>
    <t>F312559</t>
  </si>
  <si>
    <t>RE-100185</t>
  </si>
  <si>
    <t>F571404</t>
  </si>
  <si>
    <t>CH-100186</t>
  </si>
  <si>
    <t>F573869</t>
  </si>
  <si>
    <t>CH-100187</t>
  </si>
  <si>
    <t>F418992</t>
  </si>
  <si>
    <t>TR-100196</t>
  </si>
  <si>
    <t>F255528</t>
  </si>
  <si>
    <t>RE-100186</t>
  </si>
  <si>
    <t>F413357</t>
  </si>
  <si>
    <t>CH-100188</t>
  </si>
  <si>
    <t>F574167</t>
  </si>
  <si>
    <t>TR-100197</t>
  </si>
  <si>
    <t>F932369</t>
  </si>
  <si>
    <t>RE-100187</t>
  </si>
  <si>
    <t>F490321</t>
  </si>
  <si>
    <t>TR-100198</t>
  </si>
  <si>
    <t>F371393</t>
  </si>
  <si>
    <t>RE-100188</t>
  </si>
  <si>
    <t>F564971</t>
  </si>
  <si>
    <t>RE-100189</t>
  </si>
  <si>
    <t>F153097</t>
  </si>
  <si>
    <t>RE-100190</t>
  </si>
  <si>
    <t>F547389</t>
  </si>
  <si>
    <t>RE-100191</t>
  </si>
  <si>
    <t>F136332</t>
  </si>
  <si>
    <t>TR-100199</t>
  </si>
  <si>
    <t>F532005</t>
  </si>
  <si>
    <t>TR-100200</t>
  </si>
  <si>
    <t>F539599</t>
  </si>
  <si>
    <t>RE-100192</t>
  </si>
  <si>
    <t>F933456</t>
  </si>
  <si>
    <t>RE-100193</t>
  </si>
  <si>
    <t>F460745</t>
  </si>
  <si>
    <t>TR-100201</t>
  </si>
  <si>
    <t>F434367</t>
  </si>
  <si>
    <t>TR-100202</t>
  </si>
  <si>
    <t>F655149</t>
  </si>
  <si>
    <t>CH-100189</t>
  </si>
  <si>
    <t>F788772</t>
  </si>
  <si>
    <t>RE-100194</t>
  </si>
  <si>
    <t>F703656</t>
  </si>
  <si>
    <t>CH-100190</t>
  </si>
  <si>
    <t>F945372</t>
  </si>
  <si>
    <t>TR-100203</t>
  </si>
  <si>
    <t>F695225</t>
  </si>
  <si>
    <t>TR-100204</t>
  </si>
  <si>
    <t>F668458</t>
  </si>
  <si>
    <t>CH-100191</t>
  </si>
  <si>
    <t>F730889</t>
  </si>
  <si>
    <t>RE-100195</t>
  </si>
  <si>
    <t>F311250</t>
  </si>
  <si>
    <t>RE-100196</t>
  </si>
  <si>
    <t>F162448</t>
  </si>
  <si>
    <t>RE-100197</t>
  </si>
  <si>
    <t>F482614</t>
  </si>
  <si>
    <t>RE-100198</t>
  </si>
  <si>
    <t>F416423</t>
  </si>
  <si>
    <t>CH-100192</t>
  </si>
  <si>
    <t>F780714</t>
  </si>
  <si>
    <t>CH-100193</t>
  </si>
  <si>
    <t>F925220</t>
  </si>
  <si>
    <t>CH-100194</t>
  </si>
  <si>
    <t>F421727</t>
  </si>
  <si>
    <t>TR-100205</t>
  </si>
  <si>
    <t>F836109</t>
  </si>
  <si>
    <t>TR-100206</t>
  </si>
  <si>
    <t>F948095</t>
  </si>
  <si>
    <t>TR-100207</t>
  </si>
  <si>
    <t>F247475</t>
  </si>
  <si>
    <t>CH-100195</t>
  </si>
  <si>
    <t>F767090</t>
  </si>
  <si>
    <t>RE-100199</t>
  </si>
  <si>
    <t>F568325</t>
  </si>
  <si>
    <t>RE-100200</t>
  </si>
  <si>
    <t>F369125</t>
  </si>
  <si>
    <t>RE-100201</t>
  </si>
  <si>
    <t>F274418</t>
  </si>
  <si>
    <t>CH-100196</t>
  </si>
  <si>
    <t>F927043</t>
  </si>
  <si>
    <t>TR-100208</t>
  </si>
  <si>
    <t>F177289</t>
  </si>
  <si>
    <t>HORS_PERIODE</t>
  </si>
  <si>
    <t>RE-100202</t>
  </si>
  <si>
    <t>F177804</t>
  </si>
  <si>
    <t>CH-100197</t>
  </si>
  <si>
    <t>F197627</t>
  </si>
  <si>
    <t>CH-100198</t>
  </si>
  <si>
    <t>F132498</t>
  </si>
  <si>
    <t>CH-100199</t>
  </si>
  <si>
    <t>F156157</t>
  </si>
  <si>
    <t>RE-100203</t>
  </si>
  <si>
    <t>F857111</t>
  </si>
  <si>
    <t>TR-100209</t>
  </si>
  <si>
    <t>F200575</t>
  </si>
  <si>
    <t>RE-100204</t>
  </si>
  <si>
    <t>F157152</t>
  </si>
  <si>
    <t>CH-100200</t>
  </si>
  <si>
    <t>F755455</t>
  </si>
  <si>
    <t>TR-100210</t>
  </si>
  <si>
    <t>F769191</t>
  </si>
  <si>
    <t>CH-100201</t>
  </si>
  <si>
    <t>F377877</t>
  </si>
  <si>
    <t>RE-100205</t>
  </si>
  <si>
    <t>F487345</t>
  </si>
  <si>
    <t>RE-100206</t>
  </si>
  <si>
    <t>F337232</t>
  </si>
  <si>
    <t>CH-100202</t>
  </si>
  <si>
    <t>F201400</t>
  </si>
  <si>
    <t>RE-100207</t>
  </si>
  <si>
    <t>F338564</t>
  </si>
  <si>
    <t>TR-100211</t>
  </si>
  <si>
    <t>F661527</t>
  </si>
  <si>
    <t>TR-100212</t>
  </si>
  <si>
    <t>F413369</t>
  </si>
  <si>
    <t>RE-100208</t>
  </si>
  <si>
    <t>F939333</t>
  </si>
  <si>
    <t>TR-100213</t>
  </si>
  <si>
    <t>F281276</t>
  </si>
  <si>
    <t>RE-100209</t>
  </si>
  <si>
    <t>F816308</t>
  </si>
  <si>
    <t>CH-100203</t>
  </si>
  <si>
    <t>F370413</t>
  </si>
  <si>
    <t>CH-100204</t>
  </si>
  <si>
    <t>F678870</t>
  </si>
  <si>
    <t>CH-100205</t>
  </si>
  <si>
    <t>F924758</t>
  </si>
  <si>
    <t>TR-100214</t>
  </si>
  <si>
    <t>F534574</t>
  </si>
  <si>
    <t>RE-100210</t>
  </si>
  <si>
    <t>F210766</t>
  </si>
  <si>
    <t>TR-100215</t>
  </si>
  <si>
    <t>F530849</t>
  </si>
  <si>
    <t>CH-100206</t>
  </si>
  <si>
    <t>F280564</t>
  </si>
  <si>
    <t>CH-100207</t>
  </si>
  <si>
    <t>F521233</t>
  </si>
  <si>
    <t>RE-100211</t>
  </si>
  <si>
    <t>F881975</t>
  </si>
  <si>
    <t>CH-100208</t>
  </si>
  <si>
    <t>F417776</t>
  </si>
  <si>
    <t>CH-100209</t>
  </si>
  <si>
    <t>F202988</t>
  </si>
  <si>
    <t>RE-100212</t>
  </si>
  <si>
    <t>F382507</t>
  </si>
  <si>
    <t>TR-100216</t>
  </si>
  <si>
    <t>F321659</t>
  </si>
  <si>
    <t>CH-100210</t>
  </si>
  <si>
    <t>F640299</t>
  </si>
  <si>
    <t>RE-100213</t>
  </si>
  <si>
    <t>F918430</t>
  </si>
  <si>
    <t>TR-100217</t>
  </si>
  <si>
    <t>F310477</t>
  </si>
  <si>
    <t>RE-100214</t>
  </si>
  <si>
    <t>F838862</t>
  </si>
  <si>
    <t>RE-100215</t>
  </si>
  <si>
    <t>F229890</t>
  </si>
  <si>
    <t>TR-100218</t>
  </si>
  <si>
    <t>F286209</t>
  </si>
  <si>
    <t>CH-100211</t>
  </si>
  <si>
    <t>F885342</t>
  </si>
  <si>
    <t>TR-100219</t>
  </si>
  <si>
    <t>F995296</t>
  </si>
  <si>
    <t>TR-100220</t>
  </si>
  <si>
    <t>F382154</t>
  </si>
  <si>
    <t>TR-100221</t>
  </si>
  <si>
    <t>F778818</t>
  </si>
  <si>
    <t>RE-100216</t>
  </si>
  <si>
    <t>F847362</t>
  </si>
  <si>
    <t>TR-100222</t>
  </si>
  <si>
    <t>CH-100212</t>
  </si>
  <si>
    <t>F516444</t>
  </si>
  <si>
    <t>TR-100223</t>
  </si>
  <si>
    <t>F688730</t>
  </si>
  <si>
    <t>TR-100224</t>
  </si>
  <si>
    <t>F166938</t>
  </si>
  <si>
    <t>CH-100213</t>
  </si>
  <si>
    <t>F787991</t>
  </si>
  <si>
    <t>TR-100225</t>
  </si>
  <si>
    <t>F351974</t>
  </si>
  <si>
    <t>RE-100217</t>
  </si>
  <si>
    <t>F246726</t>
  </si>
  <si>
    <t>TR-100226</t>
  </si>
  <si>
    <t>F538897</t>
  </si>
  <si>
    <t>CH-100214</t>
  </si>
  <si>
    <t>F459836</t>
  </si>
  <si>
    <t>TR-100227</t>
  </si>
  <si>
    <t>F804505</t>
  </si>
  <si>
    <t>CH-100215</t>
  </si>
  <si>
    <t>F408054</t>
  </si>
  <si>
    <t>RE-100218</t>
  </si>
  <si>
    <t>F899977</t>
  </si>
  <si>
    <t>RE-100219</t>
  </si>
  <si>
    <t>F880360</t>
  </si>
  <si>
    <t>CH-100216</t>
  </si>
  <si>
    <t>F408334</t>
  </si>
  <si>
    <t>CH-100217</t>
  </si>
  <si>
    <t>F708502</t>
  </si>
  <si>
    <t>TR-100228</t>
  </si>
  <si>
    <t>F500209</t>
  </si>
  <si>
    <t>TR-100229</t>
  </si>
  <si>
    <t>F244037</t>
  </si>
  <si>
    <t>RE-100220</t>
  </si>
  <si>
    <t>F916779</t>
  </si>
  <si>
    <t>RE-100221</t>
  </si>
  <si>
    <t>F765320</t>
  </si>
  <si>
    <t>RE-100222</t>
  </si>
  <si>
    <t>F704272</t>
  </si>
  <si>
    <t>RE-100223</t>
  </si>
  <si>
    <t>F522988</t>
  </si>
  <si>
    <t>CH-100218</t>
  </si>
  <si>
    <t>F866151</t>
  </si>
  <si>
    <t>CH-100219</t>
  </si>
  <si>
    <t>F757128</t>
  </si>
  <si>
    <t>TR-100230</t>
  </si>
  <si>
    <t>F235193</t>
  </si>
  <si>
    <t>RE-100224</t>
  </si>
  <si>
    <t>F963862</t>
  </si>
  <si>
    <t>RE-100225</t>
  </si>
  <si>
    <t>F725339</t>
  </si>
  <si>
    <t>TR-100231</t>
  </si>
  <si>
    <t>F613989</t>
  </si>
  <si>
    <t>CH-100220</t>
  </si>
  <si>
    <t>F522986</t>
  </si>
  <si>
    <t>RE-100226</t>
  </si>
  <si>
    <t>F484398</t>
  </si>
  <si>
    <t>TR-100232</t>
  </si>
  <si>
    <t>F368214</t>
  </si>
  <si>
    <t>TR-100233</t>
  </si>
  <si>
    <t>TR-100234</t>
  </si>
  <si>
    <t>F597440</t>
  </si>
  <si>
    <t>TR-100235</t>
  </si>
  <si>
    <t>F415743</t>
  </si>
  <si>
    <t>CH-100221</t>
  </si>
  <si>
    <t>RE-100227</t>
  </si>
  <si>
    <t>F396439</t>
  </si>
  <si>
    <t>RE-100228</t>
  </si>
  <si>
    <t>F375769</t>
  </si>
  <si>
    <t>TR-100236</t>
  </si>
  <si>
    <t>F141319</t>
  </si>
  <si>
    <t>TR-100237</t>
  </si>
  <si>
    <t>F446663</t>
  </si>
  <si>
    <t>RE-100229</t>
  </si>
  <si>
    <t>F975804</t>
  </si>
  <si>
    <t>TR-100238</t>
  </si>
  <si>
    <t>F178693</t>
  </si>
  <si>
    <t>TR-100239</t>
  </si>
  <si>
    <t>F410401</t>
  </si>
  <si>
    <t>CH-100222</t>
  </si>
  <si>
    <t>F993647</t>
  </si>
  <si>
    <t>CH-100223</t>
  </si>
  <si>
    <t>F199613</t>
  </si>
  <si>
    <t>RE-100230</t>
  </si>
  <si>
    <t>F444625</t>
  </si>
  <si>
    <t>CH-100224</t>
  </si>
  <si>
    <t>F219361</t>
  </si>
  <si>
    <t>CH-100225</t>
  </si>
  <si>
    <t>F823415</t>
  </si>
  <si>
    <t>CH-100226</t>
  </si>
  <si>
    <t>F161495</t>
  </si>
  <si>
    <t>RE-100231</t>
  </si>
  <si>
    <t>F811346</t>
  </si>
  <si>
    <t>CH-100227</t>
  </si>
  <si>
    <t>F130216</t>
  </si>
  <si>
    <t>TR-100240</t>
  </si>
  <si>
    <t>F531262</t>
  </si>
  <si>
    <t>CH-100228</t>
  </si>
  <si>
    <t>F838793</t>
  </si>
  <si>
    <t>TR-100241</t>
  </si>
  <si>
    <t>F802382</t>
  </si>
  <si>
    <t>CH-100229</t>
  </si>
  <si>
    <t>F553873</t>
  </si>
  <si>
    <t>TR-100242</t>
  </si>
  <si>
    <t>F503572</t>
  </si>
  <si>
    <t>RE-100232</t>
  </si>
  <si>
    <t>F112210</t>
  </si>
  <si>
    <t>TR-100243</t>
  </si>
  <si>
    <t>F273438</t>
  </si>
  <si>
    <t>RE-100233</t>
  </si>
  <si>
    <t>F333524</t>
  </si>
  <si>
    <t>TR-100244</t>
  </si>
  <si>
    <t>F940183</t>
  </si>
  <si>
    <t>TR-100245</t>
  </si>
  <si>
    <t>F881439</t>
  </si>
  <si>
    <t>TR-100246</t>
  </si>
  <si>
    <t>F100177</t>
  </si>
  <si>
    <t>RE-100234</t>
  </si>
  <si>
    <t>F689648</t>
  </si>
  <si>
    <t>RE-100235</t>
  </si>
  <si>
    <t>F965401</t>
  </si>
  <si>
    <t>RE-100236</t>
  </si>
  <si>
    <t>F729094</t>
  </si>
  <si>
    <t>CH-100230</t>
  </si>
  <si>
    <t>F332518</t>
  </si>
  <si>
    <t>RE-100237</t>
  </si>
  <si>
    <t>F674295</t>
  </si>
  <si>
    <t>TR-100247</t>
  </si>
  <si>
    <t>F616342</t>
  </si>
  <si>
    <t>RE-100238</t>
  </si>
  <si>
    <t>F296653</t>
  </si>
  <si>
    <t>RE-100239</t>
  </si>
  <si>
    <t>F299836</t>
  </si>
  <si>
    <t>TR-100248</t>
  </si>
  <si>
    <t>F978146</t>
  </si>
  <si>
    <t>TR-100249</t>
  </si>
  <si>
    <t>F628689</t>
  </si>
  <si>
    <t>RE-100240</t>
  </si>
  <si>
    <t>F553834</t>
  </si>
  <si>
    <t>TR-100250</t>
  </si>
  <si>
    <t>F825423</t>
  </si>
  <si>
    <t>TR-100251</t>
  </si>
  <si>
    <t>F729718</t>
  </si>
  <si>
    <t>TR-100252</t>
  </si>
  <si>
    <t>F738576</t>
  </si>
  <si>
    <t>TR-100253</t>
  </si>
  <si>
    <t>F408463</t>
  </si>
  <si>
    <t>CH-100231</t>
  </si>
  <si>
    <t>F884782</t>
  </si>
  <si>
    <t>TR-100254</t>
  </si>
  <si>
    <t>F846454</t>
  </si>
  <si>
    <t>TR-100255</t>
  </si>
  <si>
    <t>F849086</t>
  </si>
  <si>
    <t>CH-100232</t>
  </si>
  <si>
    <t>F781664</t>
  </si>
  <si>
    <t>RE-100241</t>
  </si>
  <si>
    <t>F221011</t>
  </si>
  <si>
    <t>CH-100233</t>
  </si>
  <si>
    <t>F537757</t>
  </si>
  <si>
    <t>TR-100256</t>
  </si>
  <si>
    <t>F947568</t>
  </si>
  <si>
    <t>RE-100242</t>
  </si>
  <si>
    <t>F802812</t>
  </si>
  <si>
    <t>RE-100243</t>
  </si>
  <si>
    <t>F362732</t>
  </si>
  <si>
    <t>RE-100244</t>
  </si>
  <si>
    <t>F953568</t>
  </si>
  <si>
    <t>CH-100234</t>
  </si>
  <si>
    <t>F878476</t>
  </si>
  <si>
    <t>TR-100257</t>
  </si>
  <si>
    <t>F401610</t>
  </si>
  <si>
    <t>TR-100258</t>
  </si>
  <si>
    <t>F427841</t>
  </si>
  <si>
    <t>TR-100259</t>
  </si>
  <si>
    <t>F970300</t>
  </si>
  <si>
    <t>RE-100245</t>
  </si>
  <si>
    <t>F673167</t>
  </si>
  <si>
    <t>TR-100260</t>
  </si>
  <si>
    <t>F815819</t>
  </si>
  <si>
    <t>RE-100246</t>
  </si>
  <si>
    <t>F392670</t>
  </si>
  <si>
    <t>TR-100261</t>
  </si>
  <si>
    <t>F105919</t>
  </si>
  <si>
    <t>CH-100235</t>
  </si>
  <si>
    <t>F725874</t>
  </si>
  <si>
    <t>RE-100247</t>
  </si>
  <si>
    <t>F614379</t>
  </si>
  <si>
    <t>TR-100262</t>
  </si>
  <si>
    <t>F650916</t>
  </si>
  <si>
    <t>RE-100248</t>
  </si>
  <si>
    <t>F536135</t>
  </si>
  <si>
    <t>TR-100263</t>
  </si>
  <si>
    <t>F795556</t>
  </si>
  <si>
    <t>CH-100236</t>
  </si>
  <si>
    <t>F656268</t>
  </si>
  <si>
    <t>CH-100237</t>
  </si>
  <si>
    <t>F773462</t>
  </si>
  <si>
    <t>TR-100264</t>
  </si>
  <si>
    <t>F436526</t>
  </si>
  <si>
    <t>CH-100238</t>
  </si>
  <si>
    <t>F396567</t>
  </si>
  <si>
    <t>RE-100249</t>
  </si>
  <si>
    <t>F610451</t>
  </si>
  <si>
    <t>RE-100250</t>
  </si>
  <si>
    <t>F200617</t>
  </si>
  <si>
    <t>RE-100251</t>
  </si>
  <si>
    <t>F321020</t>
  </si>
  <si>
    <t>TR-100265</t>
  </si>
  <si>
    <t>F315565</t>
  </si>
  <si>
    <t>TR-100266</t>
  </si>
  <si>
    <t>F883171</t>
  </si>
  <si>
    <t>TR-100267</t>
  </si>
  <si>
    <t>F156904</t>
  </si>
  <si>
    <t>RE-100252</t>
  </si>
  <si>
    <t>F371212</t>
  </si>
  <si>
    <t>CH-100239</t>
  </si>
  <si>
    <t>F117711</t>
  </si>
  <si>
    <t>CH-100240</t>
  </si>
  <si>
    <t>F748386</t>
  </si>
  <si>
    <t>RE-100253</t>
  </si>
  <si>
    <t>F475075</t>
  </si>
  <si>
    <t>TR-100268</t>
  </si>
  <si>
    <t>F395192</t>
  </si>
  <si>
    <t>CH-100241</t>
  </si>
  <si>
    <t>F659381</t>
  </si>
  <si>
    <t>RE-100254</t>
  </si>
  <si>
    <t>F251074</t>
  </si>
  <si>
    <t>CH-100242</t>
  </si>
  <si>
    <t>F680412</t>
  </si>
  <si>
    <t>TR-100269</t>
  </si>
  <si>
    <t>F513224</t>
  </si>
  <si>
    <t>TR-100270</t>
  </si>
  <si>
    <t>F877446</t>
  </si>
  <si>
    <t>TR-100271</t>
  </si>
  <si>
    <t>F249375</t>
  </si>
  <si>
    <t>RE-100255</t>
  </si>
  <si>
    <t>F220190</t>
  </si>
  <si>
    <t>RE-100256</t>
  </si>
  <si>
    <t>F583671</t>
  </si>
  <si>
    <t>TR-100272</t>
  </si>
  <si>
    <t>F202972</t>
  </si>
  <si>
    <t>RE-100257</t>
  </si>
  <si>
    <t>F345925</t>
  </si>
  <si>
    <t>RE-100258</t>
  </si>
  <si>
    <t>F609462</t>
  </si>
  <si>
    <t>CH-100243</t>
  </si>
  <si>
    <t>F259797</t>
  </si>
  <si>
    <t>TR-100273</t>
  </si>
  <si>
    <t>F105066</t>
  </si>
  <si>
    <t>CH-100244</t>
  </si>
  <si>
    <t>F557309</t>
  </si>
  <si>
    <t>CH-100245</t>
  </si>
  <si>
    <t>F603268</t>
  </si>
  <si>
    <t>CH-100246</t>
  </si>
  <si>
    <t>F284308</t>
  </si>
  <si>
    <t>TR-100274</t>
  </si>
  <si>
    <t>F376021</t>
  </si>
  <si>
    <t>TR-100275</t>
  </si>
  <si>
    <t>F952117</t>
  </si>
  <si>
    <t>TR-100276</t>
  </si>
  <si>
    <t>F678388</t>
  </si>
  <si>
    <t>CH-100247</t>
  </si>
  <si>
    <t>F511564</t>
  </si>
  <si>
    <t>RE-100259</t>
  </si>
  <si>
    <t>F587274</t>
  </si>
  <si>
    <t>TR-100277</t>
  </si>
  <si>
    <t>F794868</t>
  </si>
  <si>
    <t>RE-100260</t>
  </si>
  <si>
    <t>F247189</t>
  </si>
  <si>
    <t>CH-100248</t>
  </si>
  <si>
    <t>F253300</t>
  </si>
  <si>
    <t>TR-100278</t>
  </si>
  <si>
    <t>F343007</t>
  </si>
  <si>
    <t>RE-100261</t>
  </si>
  <si>
    <t>F643042</t>
  </si>
  <si>
    <t>CH-100249</t>
  </si>
  <si>
    <t>F780027</t>
  </si>
  <si>
    <t>CH-100250</t>
  </si>
  <si>
    <t>F975427</t>
  </si>
  <si>
    <t>TR-100279</t>
  </si>
  <si>
    <t>F785428</t>
  </si>
  <si>
    <t>CH-100251</t>
  </si>
  <si>
    <t>F641760</t>
  </si>
  <si>
    <t>CH-100252</t>
  </si>
  <si>
    <t>F956934</t>
  </si>
  <si>
    <t>CH-100253</t>
  </si>
  <si>
    <t>F626214</t>
  </si>
  <si>
    <t>RE-100262</t>
  </si>
  <si>
    <t>F394450</t>
  </si>
  <si>
    <t>RE-100263</t>
  </si>
  <si>
    <t>F793223</t>
  </si>
  <si>
    <t>RE-100264</t>
  </si>
  <si>
    <t>F808029</t>
  </si>
  <si>
    <t>CH-100254</t>
  </si>
  <si>
    <t>F123536</t>
  </si>
  <si>
    <t>RE-100265</t>
  </si>
  <si>
    <t>F760120</t>
  </si>
  <si>
    <t>TR-100280</t>
  </si>
  <si>
    <t>F370804</t>
  </si>
  <si>
    <t>RE-100266</t>
  </si>
  <si>
    <t>F119524</t>
  </si>
  <si>
    <t>TR-100281</t>
  </si>
  <si>
    <t>F735988</t>
  </si>
  <si>
    <t>CH-100255</t>
  </si>
  <si>
    <t>F933215</t>
  </si>
  <si>
    <t>TR-100282</t>
  </si>
  <si>
    <t>F275868</t>
  </si>
  <si>
    <t>TR-100283</t>
  </si>
  <si>
    <t>F340977</t>
  </si>
  <si>
    <t>CH-100256</t>
  </si>
  <si>
    <t>F628859</t>
  </si>
  <si>
    <t>TR-100284</t>
  </si>
  <si>
    <t>TR-100285</t>
  </si>
  <si>
    <t>F197716</t>
  </si>
  <si>
    <t>CH-100257</t>
  </si>
  <si>
    <t>F912510</t>
  </si>
  <si>
    <t>TR-100286</t>
  </si>
  <si>
    <t>F831531</t>
  </si>
  <si>
    <t>TR-100287</t>
  </si>
  <si>
    <t>F467544</t>
  </si>
  <si>
    <t>TR-100288</t>
  </si>
  <si>
    <t>F366881</t>
  </si>
  <si>
    <t>CH-100258</t>
  </si>
  <si>
    <t>F528497</t>
  </si>
  <si>
    <t>CH-100259</t>
  </si>
  <si>
    <t>F706063</t>
  </si>
  <si>
    <t>TR-100289</t>
  </si>
  <si>
    <t>F528705</t>
  </si>
  <si>
    <t>CH-100260</t>
  </si>
  <si>
    <t>F373995</t>
  </si>
  <si>
    <t>TR-100290</t>
  </si>
  <si>
    <t>F516760</t>
  </si>
  <si>
    <t>RE-100267</t>
  </si>
  <si>
    <t>F686252</t>
  </si>
  <si>
    <t>TR-100291</t>
  </si>
  <si>
    <t>F517469</t>
  </si>
  <si>
    <t>TR-100292</t>
  </si>
  <si>
    <t>F568288</t>
  </si>
  <si>
    <t>TR-100293</t>
  </si>
  <si>
    <t>F454877</t>
  </si>
  <si>
    <t>TR-100294</t>
  </si>
  <si>
    <t>F508004</t>
  </si>
  <si>
    <t>TR-100295</t>
  </si>
  <si>
    <t>F375871</t>
  </si>
  <si>
    <t>RE-100268</t>
  </si>
  <si>
    <t>F743789</t>
  </si>
  <si>
    <t>TR-100296</t>
  </si>
  <si>
    <t>F911187</t>
  </si>
  <si>
    <t>RE-100269</t>
  </si>
  <si>
    <t>F942960</t>
  </si>
  <si>
    <t>TR-100297</t>
  </si>
  <si>
    <t>F342924</t>
  </si>
  <si>
    <t>TR-100298</t>
  </si>
  <si>
    <t>F265092</t>
  </si>
  <si>
    <t>RE-100270</t>
  </si>
  <si>
    <t>F714549</t>
  </si>
  <si>
    <t>RE-100271</t>
  </si>
  <si>
    <t>F398313</t>
  </si>
  <si>
    <t>TR-100299</t>
  </si>
  <si>
    <t>F735818</t>
  </si>
  <si>
    <t>RE-100272</t>
  </si>
  <si>
    <t>F526911</t>
  </si>
  <si>
    <t>TR-100300</t>
  </si>
  <si>
    <t>F222692</t>
  </si>
  <si>
    <t>TR-100301</t>
  </si>
  <si>
    <t>F827912</t>
  </si>
  <si>
    <t>CH-100261</t>
  </si>
  <si>
    <t>F456160</t>
  </si>
  <si>
    <t>CH-100262</t>
  </si>
  <si>
    <t>F221916</t>
  </si>
  <si>
    <t>CH-100263</t>
  </si>
  <si>
    <t>F809794</t>
  </si>
  <si>
    <t>TR-100302</t>
  </si>
  <si>
    <t>F641593</t>
  </si>
  <si>
    <t>TR-100303</t>
  </si>
  <si>
    <t>F518309</t>
  </si>
  <si>
    <t>TR-100304</t>
  </si>
  <si>
    <t>F599704</t>
  </si>
  <si>
    <t>CH-100264</t>
  </si>
  <si>
    <t>F816289</t>
  </si>
  <si>
    <t>RE-100273</t>
  </si>
  <si>
    <t>F316823</t>
  </si>
  <si>
    <t>RE-100274</t>
  </si>
  <si>
    <t>F263573</t>
  </si>
  <si>
    <t>RE-100275</t>
  </si>
  <si>
    <t>F616596</t>
  </si>
  <si>
    <t>TR-100305</t>
  </si>
  <si>
    <t>F750817</t>
  </si>
  <si>
    <t>CH-100265</t>
  </si>
  <si>
    <t>F291755</t>
  </si>
  <si>
    <t>TR-100306</t>
  </si>
  <si>
    <t>F156778</t>
  </si>
  <si>
    <t>TR-100307</t>
  </si>
  <si>
    <t>F464158</t>
  </si>
  <si>
    <t>CH-100266</t>
  </si>
  <si>
    <t>F643377</t>
  </si>
  <si>
    <t>CH-100267</t>
  </si>
  <si>
    <t>F709231</t>
  </si>
  <si>
    <t>RE-100276</t>
  </si>
  <si>
    <t>F675210</t>
  </si>
  <si>
    <t>CH-100268</t>
  </si>
  <si>
    <t>F622998</t>
  </si>
  <si>
    <t>CH-100269</t>
  </si>
  <si>
    <t>F995825</t>
  </si>
  <si>
    <t>CH-100270</t>
  </si>
  <si>
    <t>F819335</t>
  </si>
  <si>
    <t>RE-100277</t>
  </si>
  <si>
    <t>F997904</t>
  </si>
  <si>
    <t>CH-100271</t>
  </si>
  <si>
    <t>F285186</t>
  </si>
  <si>
    <t>CH-100272</t>
  </si>
  <si>
    <t>F431064</t>
  </si>
  <si>
    <t>CH-100273</t>
  </si>
  <si>
    <t>F517754</t>
  </si>
  <si>
    <t>RE-100278</t>
  </si>
  <si>
    <t>F979725</t>
  </si>
  <si>
    <t>TR-100308</t>
  </si>
  <si>
    <t>F684572</t>
  </si>
  <si>
    <t>CH-100274</t>
  </si>
  <si>
    <t>F734992</t>
  </si>
  <si>
    <t>RE-100279</t>
  </si>
  <si>
    <t>F472358</t>
  </si>
  <si>
    <t>CH-100275</t>
  </si>
  <si>
    <t>F586279</t>
  </si>
  <si>
    <t>TR-100309</t>
  </si>
  <si>
    <t>F542306</t>
  </si>
  <si>
    <t>TR-100310</t>
  </si>
  <si>
    <t>F339303</t>
  </si>
  <si>
    <t>CH-100276</t>
  </si>
  <si>
    <t>F775958</t>
  </si>
  <si>
    <t>CH-100277</t>
  </si>
  <si>
    <t>F534098</t>
  </si>
  <si>
    <t>RE-100280</t>
  </si>
  <si>
    <t>F363871</t>
  </si>
  <si>
    <t>TR-100311</t>
  </si>
  <si>
    <t>F200195</t>
  </si>
  <si>
    <t>RE-100281</t>
  </si>
  <si>
    <t>F649435</t>
  </si>
  <si>
    <t>RE-100282</t>
  </si>
  <si>
    <t>F508783</t>
  </si>
  <si>
    <t>CH-100278</t>
  </si>
  <si>
    <t>F237654</t>
  </si>
  <si>
    <t>TR-100312</t>
  </si>
  <si>
    <t>F440998</t>
  </si>
  <si>
    <t>CH-100279</t>
  </si>
  <si>
    <t>F831510</t>
  </si>
  <si>
    <t>TR-100313</t>
  </si>
  <si>
    <t>F691380</t>
  </si>
  <si>
    <t>CH-100280</t>
  </si>
  <si>
    <t>F605048</t>
  </si>
  <si>
    <t>TR-100314</t>
  </si>
  <si>
    <t>RE-100283</t>
  </si>
  <si>
    <t>F460589</t>
  </si>
  <si>
    <t>CH-100281</t>
  </si>
  <si>
    <t>F414164</t>
  </si>
  <si>
    <t>RE-100284</t>
  </si>
  <si>
    <t>F674842</t>
  </si>
  <si>
    <t>CH-100282</t>
  </si>
  <si>
    <t>F271200</t>
  </si>
  <si>
    <t>TR-100315</t>
  </si>
  <si>
    <t>F351198</t>
  </si>
  <si>
    <t>TR-100316</t>
  </si>
  <si>
    <t>F398505</t>
  </si>
  <si>
    <t>TR-100317</t>
  </si>
  <si>
    <t>F243260</t>
  </si>
  <si>
    <t>CH-100283</t>
  </si>
  <si>
    <t>F834498</t>
  </si>
  <si>
    <t>TR-100318</t>
  </si>
  <si>
    <t>F123205</t>
  </si>
  <si>
    <t>RE-100285</t>
  </si>
  <si>
    <t>F344119</t>
  </si>
  <si>
    <t>RE-100286</t>
  </si>
  <si>
    <t>F426711</t>
  </si>
  <si>
    <t>CH-100284</t>
  </si>
  <si>
    <t>F184120</t>
  </si>
  <si>
    <t>RE-100287</t>
  </si>
  <si>
    <t>F301528</t>
  </si>
  <si>
    <t>CH-100285</t>
  </si>
  <si>
    <t>F361055</t>
  </si>
  <si>
    <t>CH-100286</t>
  </si>
  <si>
    <t>F308855</t>
  </si>
  <si>
    <t>CH-100287</t>
  </si>
  <si>
    <t>F595793</t>
  </si>
  <si>
    <t>CH-100288</t>
  </si>
  <si>
    <t>F759726</t>
  </si>
  <si>
    <t>TR-100319</t>
  </si>
  <si>
    <t>F604605</t>
  </si>
  <si>
    <t>TR-100320</t>
  </si>
  <si>
    <t>F328367</t>
  </si>
  <si>
    <t>RE-100288</t>
  </si>
  <si>
    <t>F932978</t>
  </si>
  <si>
    <t>CH-100289</t>
  </si>
  <si>
    <t>F144033</t>
  </si>
  <si>
    <t>TR-100321</t>
  </si>
  <si>
    <t>F908239</t>
  </si>
  <si>
    <t>RE-100289</t>
  </si>
  <si>
    <t>F162969</t>
  </si>
  <si>
    <t>RE-100290</t>
  </si>
  <si>
    <t>F231939</t>
  </si>
  <si>
    <t>CH-100290</t>
  </si>
  <si>
    <t>F944654</t>
  </si>
  <si>
    <t>CH-100291</t>
  </si>
  <si>
    <t>F362874</t>
  </si>
  <si>
    <t>RE-100291</t>
  </si>
  <si>
    <t>F830897</t>
  </si>
  <si>
    <t>CH-100292</t>
  </si>
  <si>
    <t>F591147</t>
  </si>
  <si>
    <t>CH-100293</t>
  </si>
  <si>
    <t>F172222</t>
  </si>
  <si>
    <t>TR-100322</t>
  </si>
  <si>
    <t>F100754</t>
  </si>
  <si>
    <t>TR-100323</t>
  </si>
  <si>
    <t>F913712</t>
  </si>
  <si>
    <t>TR-100324</t>
  </si>
  <si>
    <t>F299092</t>
  </si>
  <si>
    <t>TR-100325</t>
  </si>
  <si>
    <t>F438270</t>
  </si>
  <si>
    <t>CH-100294</t>
  </si>
  <si>
    <t>F169918</t>
  </si>
  <si>
    <t>RE-100292</t>
  </si>
  <si>
    <t>F608947</t>
  </si>
  <si>
    <t>RE-100293</t>
  </si>
  <si>
    <t>F789880</t>
  </si>
  <si>
    <t>CH-100295</t>
  </si>
  <si>
    <t>F484150</t>
  </si>
  <si>
    <t>RE-100294</t>
  </si>
  <si>
    <t>F787603</t>
  </si>
  <si>
    <t>CH-100296</t>
  </si>
  <si>
    <t>F478458</t>
  </si>
  <si>
    <t>TR-100326</t>
  </si>
  <si>
    <t>F161132</t>
  </si>
  <si>
    <t>TR-100327</t>
  </si>
  <si>
    <t>F181721</t>
  </si>
  <si>
    <t>RE-100295</t>
  </si>
  <si>
    <t>F504048</t>
  </si>
  <si>
    <t>RE-100296</t>
  </si>
  <si>
    <t>F287588</t>
  </si>
  <si>
    <t>TR-100328</t>
  </si>
  <si>
    <t>F704570</t>
  </si>
  <si>
    <t>CH-100297</t>
  </si>
  <si>
    <t>F274912</t>
  </si>
  <si>
    <t>RE-100297</t>
  </si>
  <si>
    <t>F659835</t>
  </si>
  <si>
    <t>TR-100329</t>
  </si>
  <si>
    <t>F440424</t>
  </si>
  <si>
    <t>CH-100298</t>
  </si>
  <si>
    <t>F439162</t>
  </si>
  <si>
    <t>TR-100330</t>
  </si>
  <si>
    <t>F880746</t>
  </si>
  <si>
    <t>CH-100299</t>
  </si>
  <si>
    <t>F100205</t>
  </si>
  <si>
    <t>TR-100331</t>
  </si>
  <si>
    <t>F241647</t>
  </si>
  <si>
    <t>CH-100300</t>
  </si>
  <si>
    <t>F122755</t>
  </si>
  <si>
    <t>TR-100332</t>
  </si>
  <si>
    <t>F262230</t>
  </si>
  <si>
    <t>RE-100298</t>
  </si>
  <si>
    <t>F484914</t>
  </si>
  <si>
    <t>TR-100333</t>
  </si>
  <si>
    <t>F698199</t>
  </si>
  <si>
    <t>CH-100301</t>
  </si>
  <si>
    <t>F440464</t>
  </si>
  <si>
    <t>CH-100302</t>
  </si>
  <si>
    <t>F724145</t>
  </si>
  <si>
    <t>TR-100334</t>
  </si>
  <si>
    <t>F908348</t>
  </si>
  <si>
    <t>CH-100303</t>
  </si>
  <si>
    <t>F907812</t>
  </si>
  <si>
    <t>RE-100299</t>
  </si>
  <si>
    <t>F762903</t>
  </si>
  <si>
    <t>CH-100304</t>
  </si>
  <si>
    <t>F692354</t>
  </si>
  <si>
    <t>RE-100300</t>
  </si>
  <si>
    <t>F806357</t>
  </si>
  <si>
    <t>TR-100335</t>
  </si>
  <si>
    <t>F403859</t>
  </si>
  <si>
    <t>CH-100305</t>
  </si>
  <si>
    <t>F151706</t>
  </si>
  <si>
    <t>TR-100336</t>
  </si>
  <si>
    <t>F911414</t>
  </si>
  <si>
    <t>TR-100337</t>
  </si>
  <si>
    <t>F611559</t>
  </si>
  <si>
    <t>CH-100306</t>
  </si>
  <si>
    <t>F649713</t>
  </si>
  <si>
    <t>RE-100301</t>
  </si>
  <si>
    <t>F217996</t>
  </si>
  <si>
    <t>TR-100338</t>
  </si>
  <si>
    <t>F461260</t>
  </si>
  <si>
    <t>TR-100339</t>
  </si>
  <si>
    <t>F746154</t>
  </si>
  <si>
    <t>CH-100307</t>
  </si>
  <si>
    <t>F309385</t>
  </si>
  <si>
    <t>TR-100340</t>
  </si>
  <si>
    <t>F354854</t>
  </si>
  <si>
    <t>TR-100341</t>
  </si>
  <si>
    <t>F216683</t>
  </si>
  <si>
    <t>CH-100308</t>
  </si>
  <si>
    <t>F322167</t>
  </si>
  <si>
    <t>RE-100302</t>
  </si>
  <si>
    <t>F865380</t>
  </si>
  <si>
    <t>RE-100303</t>
  </si>
  <si>
    <t>F795759</t>
  </si>
  <si>
    <t>TR-100342</t>
  </si>
  <si>
    <t>F747983</t>
  </si>
  <si>
    <t>CH-100309</t>
  </si>
  <si>
    <t>F507523</t>
  </si>
  <si>
    <t>TR-100343</t>
  </si>
  <si>
    <t>F120005</t>
  </si>
  <si>
    <t>CH-100310</t>
  </si>
  <si>
    <t>F844162</t>
  </si>
  <si>
    <t>RE-100304</t>
  </si>
  <si>
    <t>F580233</t>
  </si>
  <si>
    <t>TR-100344</t>
  </si>
  <si>
    <t>F449773</t>
  </si>
  <si>
    <t>CH-100311</t>
  </si>
  <si>
    <t>F472640</t>
  </si>
  <si>
    <t>TR-100345</t>
  </si>
  <si>
    <t>F370196</t>
  </si>
  <si>
    <t>CH-100312</t>
  </si>
  <si>
    <t>F336540</t>
  </si>
  <si>
    <t>RE-100305</t>
  </si>
  <si>
    <t>F865344</t>
  </si>
  <si>
    <t>CH-100313</t>
  </si>
  <si>
    <t>F338475</t>
  </si>
  <si>
    <t>CH-100314</t>
  </si>
  <si>
    <t>F734775</t>
  </si>
  <si>
    <t>CH-100315</t>
  </si>
  <si>
    <t>F667650</t>
  </si>
  <si>
    <t>TR-100346</t>
  </si>
  <si>
    <t>F649249</t>
  </si>
  <si>
    <t>RE-100306</t>
  </si>
  <si>
    <t>F432918</t>
  </si>
  <si>
    <t>RE-100307</t>
  </si>
  <si>
    <t>F862398</t>
  </si>
  <si>
    <t>RE-100308</t>
  </si>
  <si>
    <t>F881828</t>
  </si>
  <si>
    <t>TR-100347</t>
  </si>
  <si>
    <t>F237935</t>
  </si>
  <si>
    <t>RE-100309</t>
  </si>
  <si>
    <t>F694587</t>
  </si>
  <si>
    <t>TR-100348</t>
  </si>
  <si>
    <t>F476712</t>
  </si>
  <si>
    <t>RE-100310</t>
  </si>
  <si>
    <t>F591534</t>
  </si>
  <si>
    <t>TR-100349</t>
  </si>
  <si>
    <t>F271742</t>
  </si>
  <si>
    <t>RE-100311</t>
  </si>
  <si>
    <t>F382967</t>
  </si>
  <si>
    <t>CH-100316</t>
  </si>
  <si>
    <t>F169348</t>
  </si>
  <si>
    <t>RE-100312</t>
  </si>
  <si>
    <t>F440677</t>
  </si>
  <si>
    <t>CH-100317</t>
  </si>
  <si>
    <t>F871051</t>
  </si>
  <si>
    <t>CH-100318</t>
  </si>
  <si>
    <t>F722650</t>
  </si>
  <si>
    <t>TR-100350</t>
  </si>
  <si>
    <t>F579094</t>
  </si>
  <si>
    <t>RE-100313</t>
  </si>
  <si>
    <t>F870881</t>
  </si>
  <si>
    <t>RE-100314</t>
  </si>
  <si>
    <t>F299072</t>
  </si>
  <si>
    <t>CH-100319</t>
  </si>
  <si>
    <t>F583757</t>
  </si>
  <si>
    <t>RE-100315</t>
  </si>
  <si>
    <t>F642081</t>
  </si>
  <si>
    <t>RE-100316</t>
  </si>
  <si>
    <t>F624977</t>
  </si>
  <si>
    <t>RE-100317</t>
  </si>
  <si>
    <t>F672949</t>
  </si>
  <si>
    <t>RE-100318</t>
  </si>
  <si>
    <t>F718990</t>
  </si>
  <si>
    <t>TR-100351</t>
  </si>
  <si>
    <t>F780081</t>
  </si>
  <si>
    <t>TR-100352</t>
  </si>
  <si>
    <t>F764873</t>
  </si>
  <si>
    <t>CH-100320</t>
  </si>
  <si>
    <t>F741804</t>
  </si>
  <si>
    <t>RE-100319</t>
  </si>
  <si>
    <t>F451475</t>
  </si>
  <si>
    <t>TR-100353</t>
  </si>
  <si>
    <t>F906519</t>
  </si>
  <si>
    <t>TR-100354</t>
  </si>
  <si>
    <t>F237962</t>
  </si>
  <si>
    <t>RE-100320</t>
  </si>
  <si>
    <t>F669902</t>
  </si>
  <si>
    <t>RE-100321</t>
  </si>
  <si>
    <t>F791505</t>
  </si>
  <si>
    <t>CH-100321</t>
  </si>
  <si>
    <t>F106892</t>
  </si>
  <si>
    <t>RE-100322</t>
  </si>
  <si>
    <t>F965339</t>
  </si>
  <si>
    <t>RE-100323</t>
  </si>
  <si>
    <t>F138504</t>
  </si>
  <si>
    <t>RE-100324</t>
  </si>
  <si>
    <t>F447195</t>
  </si>
  <si>
    <t>RE-100325</t>
  </si>
  <si>
    <t>F740774</t>
  </si>
  <si>
    <t>TR-100355</t>
  </si>
  <si>
    <t>F577456</t>
  </si>
  <si>
    <t>TR-100356</t>
  </si>
  <si>
    <t>F486473</t>
  </si>
  <si>
    <t>CH-100322</t>
  </si>
  <si>
    <t>F593687</t>
  </si>
  <si>
    <t>RE-100326</t>
  </si>
  <si>
    <t>F650131</t>
  </si>
  <si>
    <t>RE-100327</t>
  </si>
  <si>
    <t>F759531</t>
  </si>
  <si>
    <t>TR-100357</t>
  </si>
  <si>
    <t>F926471</t>
  </si>
  <si>
    <t>TR-100358</t>
  </si>
  <si>
    <t>F753518</t>
  </si>
  <si>
    <t>CH-100323</t>
  </si>
  <si>
    <t>F762550</t>
  </si>
  <si>
    <t>CH-100324</t>
  </si>
  <si>
    <t>F843007</t>
  </si>
  <si>
    <t>CH-100325</t>
  </si>
  <si>
    <t>F935434</t>
  </si>
  <si>
    <t>RE-100328</t>
  </si>
  <si>
    <t>F534153</t>
  </si>
  <si>
    <t>RE-100329</t>
  </si>
  <si>
    <t>F111846</t>
  </si>
  <si>
    <t>TR-100359</t>
  </si>
  <si>
    <t>F676710</t>
  </si>
  <si>
    <t>CH-100326</t>
  </si>
  <si>
    <t>F859584</t>
  </si>
  <si>
    <t>TR-100360</t>
  </si>
  <si>
    <t>F446569</t>
  </si>
  <si>
    <t>CH-100327</t>
  </si>
  <si>
    <t>F777015</t>
  </si>
  <si>
    <t>RE-100330</t>
  </si>
  <si>
    <t>F451387</t>
  </si>
  <si>
    <t>CH-100328</t>
  </si>
  <si>
    <t>F646384</t>
  </si>
  <si>
    <t>CH-100329</t>
  </si>
  <si>
    <t>F318379</t>
  </si>
  <si>
    <t>TR-100361</t>
  </si>
  <si>
    <t>F394083</t>
  </si>
  <si>
    <t>RE-100331</t>
  </si>
  <si>
    <t>F698717</t>
  </si>
  <si>
    <t>TR-100362</t>
  </si>
  <si>
    <t>F533973</t>
  </si>
  <si>
    <t>RE-100332</t>
  </si>
  <si>
    <t>F326639</t>
  </si>
  <si>
    <t>TR-100363</t>
  </si>
  <si>
    <t>F915572</t>
  </si>
  <si>
    <t>RE-100333</t>
  </si>
  <si>
    <t>F624344</t>
  </si>
  <si>
    <t>RE-100334</t>
  </si>
  <si>
    <t>F425434</t>
  </si>
  <si>
    <t>CH-100330</t>
  </si>
  <si>
    <t>F809589</t>
  </si>
  <si>
    <t>RE-100335</t>
  </si>
  <si>
    <t>F221462</t>
  </si>
  <si>
    <t>RE-100336</t>
  </si>
  <si>
    <t>F191305</t>
  </si>
  <si>
    <t>CH-100331</t>
  </si>
  <si>
    <t>F881770</t>
  </si>
  <si>
    <t>CH-100332</t>
  </si>
  <si>
    <t>F436467</t>
  </si>
  <si>
    <t>RE-100337</t>
  </si>
  <si>
    <t>F803724</t>
  </si>
  <si>
    <t>RE-100338</t>
  </si>
  <si>
    <t>F686810</t>
  </si>
  <si>
    <t>TR-100364</t>
  </si>
  <si>
    <t>F838568</t>
  </si>
  <si>
    <t>CH-100333</t>
  </si>
  <si>
    <t>F666836</t>
  </si>
  <si>
    <t>CH-100334</t>
  </si>
  <si>
    <t>F152906</t>
  </si>
  <si>
    <t>RE-100339</t>
  </si>
  <si>
    <t>F838908</t>
  </si>
  <si>
    <t>TR-100365</t>
  </si>
  <si>
    <t>F746253</t>
  </si>
  <si>
    <t>CH-100335</t>
  </si>
  <si>
    <t>F892453</t>
  </si>
  <si>
    <t>CH-100336</t>
  </si>
  <si>
    <t>F591022</t>
  </si>
  <si>
    <t>RE-100340</t>
  </si>
  <si>
    <t>F593403</t>
  </si>
  <si>
    <t>RE-100341</t>
  </si>
  <si>
    <t>F292259</t>
  </si>
  <si>
    <t>TR-100366</t>
  </si>
  <si>
    <t>F575301</t>
  </si>
  <si>
    <t>CH-100337</t>
  </si>
  <si>
    <t>F583646</t>
  </si>
  <si>
    <t>RE-100342</t>
  </si>
  <si>
    <t>F207932</t>
  </si>
  <si>
    <t>CH-100338</t>
  </si>
  <si>
    <t>F930924</t>
  </si>
  <si>
    <t>CH-100339</t>
  </si>
  <si>
    <t>F751034</t>
  </si>
  <si>
    <t>RE-100343</t>
  </si>
  <si>
    <t>F318353</t>
  </si>
  <si>
    <t>TR-100367</t>
  </si>
  <si>
    <t>F670977</t>
  </si>
  <si>
    <t>TR-100368</t>
  </si>
  <si>
    <t>F702080</t>
  </si>
  <si>
    <t>CH-100340</t>
  </si>
  <si>
    <t>F961953</t>
  </si>
  <si>
    <t>CH-100341</t>
  </si>
  <si>
    <t>F953610</t>
  </si>
  <si>
    <t>TR-100369</t>
  </si>
  <si>
    <t>F164468</t>
  </si>
  <si>
    <t>RE-100344</t>
  </si>
  <si>
    <t>F949178</t>
  </si>
  <si>
    <t>RE-100345</t>
  </si>
  <si>
    <t>F508926</t>
  </si>
  <si>
    <t>TR-100370</t>
  </si>
  <si>
    <t>F414295</t>
  </si>
  <si>
    <t>TR-100371</t>
  </si>
  <si>
    <t>F852658</t>
  </si>
  <si>
    <t>CH-100342</t>
  </si>
  <si>
    <t>F233751</t>
  </si>
  <si>
    <t>CH-100343</t>
  </si>
  <si>
    <t>F837520</t>
  </si>
  <si>
    <t>TR-100372</t>
  </si>
  <si>
    <t>F132699</t>
  </si>
  <si>
    <t>RE-100346</t>
  </si>
  <si>
    <t>F846348</t>
  </si>
  <si>
    <t>CH-100344</t>
  </si>
  <si>
    <t>F281833</t>
  </si>
  <si>
    <t>CH-100345</t>
  </si>
  <si>
    <t>F980764</t>
  </si>
  <si>
    <t>CH-100346</t>
  </si>
  <si>
    <t>F175231</t>
  </si>
  <si>
    <t>TR-100373</t>
  </si>
  <si>
    <t>F188776</t>
  </si>
  <si>
    <t>RE-100347</t>
  </si>
  <si>
    <t>F733790</t>
  </si>
  <si>
    <t>CH-100347</t>
  </si>
  <si>
    <t>F959907</t>
  </si>
  <si>
    <t>CH-100348</t>
  </si>
  <si>
    <t>F622355</t>
  </si>
  <si>
    <t>TR-100374</t>
  </si>
  <si>
    <t>F484795</t>
  </si>
  <si>
    <t>RE-100348</t>
  </si>
  <si>
    <t>F604923</t>
  </si>
  <si>
    <t>TR-100375</t>
  </si>
  <si>
    <t>F739705</t>
  </si>
  <si>
    <t>RE-100349</t>
  </si>
  <si>
    <t>F181874</t>
  </si>
  <si>
    <t>TR-100376</t>
  </si>
  <si>
    <t>F460234</t>
  </si>
  <si>
    <t>TR-100377</t>
  </si>
  <si>
    <t>F701846</t>
  </si>
  <si>
    <t>TR-100378</t>
  </si>
  <si>
    <t>F403257</t>
  </si>
  <si>
    <t>RE-100350</t>
  </si>
  <si>
    <t>F373094</t>
  </si>
  <si>
    <t>RE-100351</t>
  </si>
  <si>
    <t>F788201</t>
  </si>
  <si>
    <t>CH-100349</t>
  </si>
  <si>
    <t>F630155</t>
  </si>
  <si>
    <t>RE-100352</t>
  </si>
  <si>
    <t>F388586</t>
  </si>
  <si>
    <t>CH-100350</t>
  </si>
  <si>
    <t>F874863</t>
  </si>
  <si>
    <t>RE-100353</t>
  </si>
  <si>
    <t>F920539</t>
  </si>
  <si>
    <t>TR-100379</t>
  </si>
  <si>
    <t>F459502</t>
  </si>
  <si>
    <t>RE-100354</t>
  </si>
  <si>
    <t>F533007</t>
  </si>
  <si>
    <t>CH-100351</t>
  </si>
  <si>
    <t>F321099</t>
  </si>
  <si>
    <t>TR-100380</t>
  </si>
  <si>
    <t>F959340</t>
  </si>
  <si>
    <t>RE-100355</t>
  </si>
  <si>
    <t>F599401</t>
  </si>
  <si>
    <t>TR-100381</t>
  </si>
  <si>
    <t>F509018</t>
  </si>
  <si>
    <t>CH-100352</t>
  </si>
  <si>
    <t>F402820</t>
  </si>
  <si>
    <t>CH-100353</t>
  </si>
  <si>
    <t>F143010</t>
  </si>
  <si>
    <t>RE-100356</t>
  </si>
  <si>
    <t>F783740</t>
  </si>
  <si>
    <t>CH-100354</t>
  </si>
  <si>
    <t>F510154</t>
  </si>
  <si>
    <t>CH-100355</t>
  </si>
  <si>
    <t>F453796</t>
  </si>
  <si>
    <t>TR-100382</t>
  </si>
  <si>
    <t>F108887</t>
  </si>
  <si>
    <t>RE-100357</t>
  </si>
  <si>
    <t>F567604</t>
  </si>
  <si>
    <t>CH-100356</t>
  </si>
  <si>
    <t>F124851</t>
  </si>
  <si>
    <t>TR-100383</t>
  </si>
  <si>
    <t>F728500</t>
  </si>
  <si>
    <t>TR-100384</t>
  </si>
  <si>
    <t>F236217</t>
  </si>
  <si>
    <t>CH-100357</t>
  </si>
  <si>
    <t>F216229</t>
  </si>
  <si>
    <t>TR-100385</t>
  </si>
  <si>
    <t>F769809</t>
  </si>
  <si>
    <t>CH-100358</t>
  </si>
  <si>
    <t>F800007</t>
  </si>
  <si>
    <t>CH-100359</t>
  </si>
  <si>
    <t>F501393</t>
  </si>
  <si>
    <t>CH-100360</t>
  </si>
  <si>
    <t>F286572</t>
  </si>
  <si>
    <t>CH-100361</t>
  </si>
  <si>
    <t>F213697</t>
  </si>
  <si>
    <t>RE-100358</t>
  </si>
  <si>
    <t>F563031</t>
  </si>
  <si>
    <t>TR-100386</t>
  </si>
  <si>
    <t>F362769</t>
  </si>
  <si>
    <t>CH-100362</t>
  </si>
  <si>
    <t>F100909</t>
  </si>
  <si>
    <t>RE-100359</t>
  </si>
  <si>
    <t>F702553</t>
  </si>
  <si>
    <t>RE-100360</t>
  </si>
  <si>
    <t>F985049</t>
  </si>
  <si>
    <t>TR-100387</t>
  </si>
  <si>
    <t>F822742</t>
  </si>
  <si>
    <t>CH-100363</t>
  </si>
  <si>
    <t>F449636</t>
  </si>
  <si>
    <t>TR-100388</t>
  </si>
  <si>
    <t>F195071</t>
  </si>
  <si>
    <t>CH-100364</t>
  </si>
  <si>
    <t>F897392</t>
  </si>
  <si>
    <t>CH-100365</t>
  </si>
  <si>
    <t>F792829</t>
  </si>
  <si>
    <t>RE-100361</t>
  </si>
  <si>
    <t>F610135</t>
  </si>
  <si>
    <t>RE-100362</t>
  </si>
  <si>
    <t>F302472</t>
  </si>
  <si>
    <t>RE-100363</t>
  </si>
  <si>
    <t>F931247</t>
  </si>
  <si>
    <t>TR-100389</t>
  </si>
  <si>
    <t>F117215</t>
  </si>
  <si>
    <t>RE-100364</t>
  </si>
  <si>
    <t>F946309</t>
  </si>
  <si>
    <t>TR-100390</t>
  </si>
  <si>
    <t>F344303</t>
  </si>
  <si>
    <t>RE-100365</t>
  </si>
  <si>
    <t>F594109</t>
  </si>
  <si>
    <t>TR-100391</t>
  </si>
  <si>
    <t>F280616</t>
  </si>
  <si>
    <t>TR-100392</t>
  </si>
  <si>
    <t>F975930</t>
  </si>
  <si>
    <t>TR-100393</t>
  </si>
  <si>
    <t>F937995</t>
  </si>
  <si>
    <t>TR-100394</t>
  </si>
  <si>
    <t>F811351</t>
  </si>
  <si>
    <t>CH-100366</t>
  </si>
  <si>
    <t>F437211</t>
  </si>
  <si>
    <t>RE-100366</t>
  </si>
  <si>
    <t>F387198</t>
  </si>
  <si>
    <t>RE-100367</t>
  </si>
  <si>
    <t>F559969</t>
  </si>
  <si>
    <t>RE-100368</t>
  </si>
  <si>
    <t>F762904</t>
  </si>
  <si>
    <t>TR-100395</t>
  </si>
  <si>
    <t>F106658</t>
  </si>
  <si>
    <t>RE-100369</t>
  </si>
  <si>
    <t>F827191</t>
  </si>
  <si>
    <t>CH-100367</t>
  </si>
  <si>
    <t>F572298</t>
  </si>
  <si>
    <t>CH-100368</t>
  </si>
  <si>
    <t>F725236</t>
  </si>
  <si>
    <t>RE-100370</t>
  </si>
  <si>
    <t>F920597</t>
  </si>
  <si>
    <t>CH-100369</t>
  </si>
  <si>
    <t>F223215</t>
  </si>
  <si>
    <t>TR-100396</t>
  </si>
  <si>
    <t>F665940</t>
  </si>
  <si>
    <t>TR-100397</t>
  </si>
  <si>
    <t>F155646</t>
  </si>
  <si>
    <t>RE-100371</t>
  </si>
  <si>
    <t>F621682</t>
  </si>
  <si>
    <t>RE-100372</t>
  </si>
  <si>
    <t>F398911</t>
  </si>
  <si>
    <t>RE-100373</t>
  </si>
  <si>
    <t>F145421</t>
  </si>
  <si>
    <t>RE-100374</t>
  </si>
  <si>
    <t>F608623</t>
  </si>
  <si>
    <t>TR-100398</t>
  </si>
  <si>
    <t>F707924</t>
  </si>
  <si>
    <t>CH-100370</t>
  </si>
  <si>
    <t>F441974</t>
  </si>
  <si>
    <t>RE-100375</t>
  </si>
  <si>
    <t>F331381</t>
  </si>
  <si>
    <t>RE-100376</t>
  </si>
  <si>
    <t>F326665</t>
  </si>
  <si>
    <t>TR-100399</t>
  </si>
  <si>
    <t>F854787</t>
  </si>
  <si>
    <t>RE-100377</t>
  </si>
  <si>
    <t>F133653</t>
  </si>
  <si>
    <t>TR-100400</t>
  </si>
  <si>
    <t>F580854</t>
  </si>
  <si>
    <t>CH-100371</t>
  </si>
  <si>
    <t>F732958</t>
  </si>
  <si>
    <t>RE-100378</t>
  </si>
  <si>
    <t>F679606</t>
  </si>
  <si>
    <t>RE-100379</t>
  </si>
  <si>
    <t>F720317</t>
  </si>
  <si>
    <t>CH-100372</t>
  </si>
  <si>
    <t>F358635</t>
  </si>
  <si>
    <t>RE-100380</t>
  </si>
  <si>
    <t>F256206</t>
  </si>
  <si>
    <t>TR-100401</t>
  </si>
  <si>
    <t>F905942</t>
  </si>
  <si>
    <t>TR-100402</t>
  </si>
  <si>
    <t>F961186</t>
  </si>
  <si>
    <t>RE-100381</t>
  </si>
  <si>
    <t>TR-100403</t>
  </si>
  <si>
    <t>F350675</t>
  </si>
  <si>
    <t>TR-100404</t>
  </si>
  <si>
    <t>F837468</t>
  </si>
  <si>
    <t>CH-100373</t>
  </si>
  <si>
    <t>F245357</t>
  </si>
  <si>
    <t>TR-100405</t>
  </si>
  <si>
    <t>F764170</t>
  </si>
  <si>
    <t>RE-100382</t>
  </si>
  <si>
    <t>F656710</t>
  </si>
  <si>
    <t>RE-100383</t>
  </si>
  <si>
    <t>F668784</t>
  </si>
  <si>
    <t>TR-100406</t>
  </si>
  <si>
    <t>F871501</t>
  </si>
  <si>
    <t>RE-100384</t>
  </si>
  <si>
    <t>F216356</t>
  </si>
  <si>
    <t>CH-100374</t>
  </si>
  <si>
    <t>F283781</t>
  </si>
  <si>
    <t>TR-100407</t>
  </si>
  <si>
    <t>F245129</t>
  </si>
  <si>
    <t>CH-100375</t>
  </si>
  <si>
    <t>F888819</t>
  </si>
  <si>
    <t>TR-100408</t>
  </si>
  <si>
    <t>F336388</t>
  </si>
  <si>
    <t>CH-100376</t>
  </si>
  <si>
    <t>F157105</t>
  </si>
  <si>
    <t>RE-100385</t>
  </si>
  <si>
    <t>F969856</t>
  </si>
  <si>
    <t>RE-100386</t>
  </si>
  <si>
    <t>F406461</t>
  </si>
  <si>
    <t>CH-100377</t>
  </si>
  <si>
    <t>F297503</t>
  </si>
  <si>
    <t>CH-100378</t>
  </si>
  <si>
    <t>F214677</t>
  </si>
  <si>
    <t>RE-100387</t>
  </si>
  <si>
    <t>F314178</t>
  </si>
  <si>
    <t>TR-100409</t>
  </si>
  <si>
    <t>F463541</t>
  </si>
  <si>
    <t>CH-100379</t>
  </si>
  <si>
    <t>F166007</t>
  </si>
  <si>
    <t>RE-100388</t>
  </si>
  <si>
    <t>F452192</t>
  </si>
  <si>
    <t>CH-100380</t>
  </si>
  <si>
    <t>F609763</t>
  </si>
  <si>
    <t>TR-100410</t>
  </si>
  <si>
    <t>F580255</t>
  </si>
  <si>
    <t>CH-100381</t>
  </si>
  <si>
    <t>CH-100382</t>
  </si>
  <si>
    <t>F255544</t>
  </si>
  <si>
    <t>CH-100383</t>
  </si>
  <si>
    <t>F846389</t>
  </si>
  <si>
    <t>TR-100411</t>
  </si>
  <si>
    <t>F798724</t>
  </si>
  <si>
    <t>RE-100389</t>
  </si>
  <si>
    <t>F232617</t>
  </si>
  <si>
    <t>CH-100384</t>
  </si>
  <si>
    <t>F797883</t>
  </si>
  <si>
    <t>CH-100385</t>
  </si>
  <si>
    <t>F270495</t>
  </si>
  <si>
    <t>TR-100412</t>
  </si>
  <si>
    <t>F905849</t>
  </si>
  <si>
    <t>RE-100390</t>
  </si>
  <si>
    <t>F672675</t>
  </si>
  <si>
    <t>TR-100413</t>
  </si>
  <si>
    <t>F799282</t>
  </si>
  <si>
    <t>RE-100391</t>
  </si>
  <si>
    <t>F602248</t>
  </si>
  <si>
    <t>RE-100392</t>
  </si>
  <si>
    <t>F521139</t>
  </si>
  <si>
    <t>TR-100414</t>
  </si>
  <si>
    <t>F772465</t>
  </si>
  <si>
    <t>RE-100393</t>
  </si>
  <si>
    <t>F305222</t>
  </si>
  <si>
    <t>RE-100394</t>
  </si>
  <si>
    <t>F513583</t>
  </si>
  <si>
    <t>RE-100395</t>
  </si>
  <si>
    <t>F799155</t>
  </si>
  <si>
    <t>CH-100386</t>
  </si>
  <si>
    <t>F112782</t>
  </si>
  <si>
    <t>CH-100387</t>
  </si>
  <si>
    <t>F565798</t>
  </si>
  <si>
    <t>TR-100415</t>
  </si>
  <si>
    <t>F544420</t>
  </si>
  <si>
    <t>TR-100416</t>
  </si>
  <si>
    <t>F250616</t>
  </si>
  <si>
    <t>RE-100396</t>
  </si>
  <si>
    <t>F719371</t>
  </si>
  <si>
    <t>CH-100388</t>
  </si>
  <si>
    <t>F534649</t>
  </si>
  <si>
    <t>RE-100397</t>
  </si>
  <si>
    <t>F308936</t>
  </si>
  <si>
    <t>RE-100398</t>
  </si>
  <si>
    <t>F966384</t>
  </si>
  <si>
    <t>CH-100389</t>
  </si>
  <si>
    <t>F335426</t>
  </si>
  <si>
    <t>RE-100399</t>
  </si>
  <si>
    <t>F974767</t>
  </si>
  <si>
    <t>TR-100417</t>
  </si>
  <si>
    <t>F537420</t>
  </si>
  <si>
    <t>RE-100400</t>
  </si>
  <si>
    <t>F225152</t>
  </si>
  <si>
    <t>CH-100390</t>
  </si>
  <si>
    <t>F709291</t>
  </si>
  <si>
    <t>CH-100391</t>
  </si>
  <si>
    <t>F827968</t>
  </si>
  <si>
    <t>RE-100401</t>
  </si>
  <si>
    <t>F270757</t>
  </si>
  <si>
    <t>TR-100418</t>
  </si>
  <si>
    <t>F242079</t>
  </si>
  <si>
    <t>CH-100392</t>
  </si>
  <si>
    <t>F473276</t>
  </si>
  <si>
    <t>RE-100402</t>
  </si>
  <si>
    <t>F638828</t>
  </si>
  <si>
    <t>RE-100403</t>
  </si>
  <si>
    <t>F275254</t>
  </si>
  <si>
    <t>TR-100419</t>
  </si>
  <si>
    <t>F938732</t>
  </si>
  <si>
    <t>CH-100393</t>
  </si>
  <si>
    <t>F660380</t>
  </si>
  <si>
    <t>TR-100420</t>
  </si>
  <si>
    <t>F491133</t>
  </si>
  <si>
    <t>CH-100394</t>
  </si>
  <si>
    <t>F627835</t>
  </si>
  <si>
    <t>RE-100404</t>
  </si>
  <si>
    <t>F651186</t>
  </si>
  <si>
    <t>TR-100421</t>
  </si>
  <si>
    <t>F582860</t>
  </si>
  <si>
    <t>RE-100405</t>
  </si>
  <si>
    <t>F824619</t>
  </si>
  <si>
    <t>CH-100395</t>
  </si>
  <si>
    <t>F648532</t>
  </si>
  <si>
    <t>CH-100396</t>
  </si>
  <si>
    <t>F333159</t>
  </si>
  <si>
    <t>RE-100406</t>
  </si>
  <si>
    <t>F320034</t>
  </si>
  <si>
    <t>RE-100407</t>
  </si>
  <si>
    <t>F181511</t>
  </si>
  <si>
    <t>RE-100408</t>
  </si>
  <si>
    <t>F791838</t>
  </si>
  <si>
    <t>TR-100422</t>
  </si>
  <si>
    <t>F145383</t>
  </si>
  <si>
    <t>RE-100409</t>
  </si>
  <si>
    <t>F731024</t>
  </si>
  <si>
    <t>RE-100410</t>
  </si>
  <si>
    <t>F252627</t>
  </si>
  <si>
    <t>TR-100423</t>
  </si>
  <si>
    <t>F624953</t>
  </si>
  <si>
    <t>TR-100424</t>
  </si>
  <si>
    <t>F959398</t>
  </si>
  <si>
    <t>TR-100425</t>
  </si>
  <si>
    <t>F280117</t>
  </si>
  <si>
    <t>TR-100426</t>
  </si>
  <si>
    <t>F992649</t>
  </si>
  <si>
    <t>TR-100427</t>
  </si>
  <si>
    <t>F806242</t>
  </si>
  <si>
    <t>RE-100411</t>
  </si>
  <si>
    <t>F324682</t>
  </si>
  <si>
    <t>TR-100428</t>
  </si>
  <si>
    <t>F229620</t>
  </si>
  <si>
    <t>CH-100397</t>
  </si>
  <si>
    <t>F838963</t>
  </si>
  <si>
    <t>CH-100398</t>
  </si>
  <si>
    <t>F221343</t>
  </si>
  <si>
    <t>CH-100399</t>
  </si>
  <si>
    <t>F981946</t>
  </si>
  <si>
    <t>CH-100400</t>
  </si>
  <si>
    <t>F297955</t>
  </si>
  <si>
    <t>RE-100412</t>
  </si>
  <si>
    <t>F113406</t>
  </si>
  <si>
    <t>TR-100429</t>
  </si>
  <si>
    <t>F809381</t>
  </si>
  <si>
    <t>RE-100413</t>
  </si>
  <si>
    <t>F206663</t>
  </si>
  <si>
    <t>TR-100430</t>
  </si>
  <si>
    <t>F455081</t>
  </si>
  <si>
    <t>RE-100414</t>
  </si>
  <si>
    <t>F860427</t>
  </si>
  <si>
    <t>CH-100401</t>
  </si>
  <si>
    <t>F519677</t>
  </si>
  <si>
    <t>CH-100402</t>
  </si>
  <si>
    <t>F636256</t>
  </si>
  <si>
    <t>CH-100403</t>
  </si>
  <si>
    <t>F613111</t>
  </si>
  <si>
    <t>CH-100404</t>
  </si>
  <si>
    <t>F155419</t>
  </si>
  <si>
    <t>RE-100415</t>
  </si>
  <si>
    <t>F733952</t>
  </si>
  <si>
    <t>TR-100431</t>
  </si>
  <si>
    <t>RE-100416</t>
  </si>
  <si>
    <t>F311740</t>
  </si>
  <si>
    <t>CH-100405</t>
  </si>
  <si>
    <t>F460307</t>
  </si>
  <si>
    <t>TR-100432</t>
  </si>
  <si>
    <t>F502265</t>
  </si>
  <si>
    <t>CH-100406</t>
  </si>
  <si>
    <t>F285460</t>
  </si>
  <si>
    <t>TR-100433</t>
  </si>
  <si>
    <t>F615353</t>
  </si>
  <si>
    <t>CH-100407</t>
  </si>
  <si>
    <t>F792142</t>
  </si>
  <si>
    <t>TR-100434</t>
  </si>
  <si>
    <t>F995852</t>
  </si>
  <si>
    <t>RE-100417</t>
  </si>
  <si>
    <t>F746908</t>
  </si>
  <si>
    <t>TR-100435</t>
  </si>
  <si>
    <t>RE-100418</t>
  </si>
  <si>
    <t>F712333</t>
  </si>
  <si>
    <t>RE-100419</t>
  </si>
  <si>
    <t>F461908</t>
  </si>
  <si>
    <t>CH-100408</t>
  </si>
  <si>
    <t>F346019</t>
  </si>
  <si>
    <t>TR-100436</t>
  </si>
  <si>
    <t>F419723</t>
  </si>
  <si>
    <t>RE-100420</t>
  </si>
  <si>
    <t>F789719</t>
  </si>
  <si>
    <t>CH-100409</t>
  </si>
  <si>
    <t>F592516</t>
  </si>
  <si>
    <t>TR-100437</t>
  </si>
  <si>
    <t>F438083</t>
  </si>
  <si>
    <t>TR-100438</t>
  </si>
  <si>
    <t>F315910</t>
  </si>
  <si>
    <t>CH-100410</t>
  </si>
  <si>
    <t>F414070</t>
  </si>
  <si>
    <t>CH-100411</t>
  </si>
  <si>
    <t>F925386</t>
  </si>
  <si>
    <t>RE-100421</t>
  </si>
  <si>
    <t>F411762</t>
  </si>
  <si>
    <t>TR-100439</t>
  </si>
  <si>
    <t>F199335</t>
  </si>
  <si>
    <t>TR-100440</t>
  </si>
  <si>
    <t>F598355</t>
  </si>
  <si>
    <t>CH-100412</t>
  </si>
  <si>
    <t>F553939</t>
  </si>
  <si>
    <t>TR-100441</t>
  </si>
  <si>
    <t>F640403</t>
  </si>
  <si>
    <t>CH-100413</t>
  </si>
  <si>
    <t>F758342</t>
  </si>
  <si>
    <t>TR-100442</t>
  </si>
  <si>
    <t>F963930</t>
  </si>
  <si>
    <t>TR-100443</t>
  </si>
  <si>
    <t>F554793</t>
  </si>
  <si>
    <t>TR-100444</t>
  </si>
  <si>
    <t>F254920</t>
  </si>
  <si>
    <t>RE-100422</t>
  </si>
  <si>
    <t>F530189</t>
  </si>
  <si>
    <t>CH-100414</t>
  </si>
  <si>
    <t>F963723</t>
  </si>
  <si>
    <t>CH-100415</t>
  </si>
  <si>
    <t>F525581</t>
  </si>
  <si>
    <t>RE-100423</t>
  </si>
  <si>
    <t>F586706</t>
  </si>
  <si>
    <t>CH-100416</t>
  </si>
  <si>
    <t>F311802</t>
  </si>
  <si>
    <t>RE-100424</t>
  </si>
  <si>
    <t>F790666</t>
  </si>
  <si>
    <t>TR-100445</t>
  </si>
  <si>
    <t>F920231</t>
  </si>
  <si>
    <t>RE-100425</t>
  </si>
  <si>
    <t>F166670</t>
  </si>
  <si>
    <t>CH-100417</t>
  </si>
  <si>
    <t>F980605</t>
  </si>
  <si>
    <t>TR-100446</t>
  </si>
  <si>
    <t>F226502</t>
  </si>
  <si>
    <t>TR-100447</t>
  </si>
  <si>
    <t>F349641</t>
  </si>
  <si>
    <t>TR-100448</t>
  </si>
  <si>
    <t>F873048</t>
  </si>
  <si>
    <t>CH-100418</t>
  </si>
  <si>
    <t>F212002</t>
  </si>
  <si>
    <t>RE-100426</t>
  </si>
  <si>
    <t>F718115</t>
  </si>
  <si>
    <t>RE-100427</t>
  </si>
  <si>
    <t>F431863</t>
  </si>
  <si>
    <t>TR-100449</t>
  </si>
  <si>
    <t>F922370</t>
  </si>
  <si>
    <t>RE-100428</t>
  </si>
  <si>
    <t>F776748</t>
  </si>
  <si>
    <t>TR-100450</t>
  </si>
  <si>
    <t>F351318</t>
  </si>
  <si>
    <t>CH-100419</t>
  </si>
  <si>
    <t>F951706</t>
  </si>
  <si>
    <t>TR-100451</t>
  </si>
  <si>
    <t>F108248</t>
  </si>
  <si>
    <t>CH-100420</t>
  </si>
  <si>
    <t>F346898</t>
  </si>
  <si>
    <t>CH-100421</t>
  </si>
  <si>
    <t>F432591</t>
  </si>
  <si>
    <t>TR-100452</t>
  </si>
  <si>
    <t>F593975</t>
  </si>
  <si>
    <t>TR-100453</t>
  </si>
  <si>
    <t>F964446</t>
  </si>
  <si>
    <t>RE-100429</t>
  </si>
  <si>
    <t>F864654</t>
  </si>
  <si>
    <t>TR-100454</t>
  </si>
  <si>
    <t>F772528</t>
  </si>
  <si>
    <t>TR-100455</t>
  </si>
  <si>
    <t>F309794</t>
  </si>
  <si>
    <t>TR-100456</t>
  </si>
  <si>
    <t>F361728</t>
  </si>
  <si>
    <t>TR-100457</t>
  </si>
  <si>
    <t>F573421</t>
  </si>
  <si>
    <t>CH-100422</t>
  </si>
  <si>
    <t>F966929</t>
  </si>
  <si>
    <t>CH-100423</t>
  </si>
  <si>
    <t>F495648</t>
  </si>
  <si>
    <t>TR-100458</t>
  </si>
  <si>
    <t>F339816</t>
  </si>
  <si>
    <t>RE-100430</t>
  </si>
  <si>
    <t>F520515</t>
  </si>
  <si>
    <t>TR-100459</t>
  </si>
  <si>
    <t>F278386</t>
  </si>
  <si>
    <t>TR-100460</t>
  </si>
  <si>
    <t>F967442</t>
  </si>
  <si>
    <t>TR-100461</t>
  </si>
  <si>
    <t>F952924</t>
  </si>
  <si>
    <t>CH-100424</t>
  </si>
  <si>
    <t>F997935</t>
  </si>
  <si>
    <t>RE-100431</t>
  </si>
  <si>
    <t>F930958</t>
  </si>
  <si>
    <t>RE-100432</t>
  </si>
  <si>
    <t>F360380</t>
  </si>
  <si>
    <t>CH-100425</t>
  </si>
  <si>
    <t>RE-100433</t>
  </si>
  <si>
    <t>F842866</t>
  </si>
  <si>
    <t>CH-100426</t>
  </si>
  <si>
    <t>F154644</t>
  </si>
  <si>
    <t>CH-100427</t>
  </si>
  <si>
    <t>F941218</t>
  </si>
  <si>
    <t>TR-100462</t>
  </si>
  <si>
    <t>F499442</t>
  </si>
  <si>
    <t>CH-100428</t>
  </si>
  <si>
    <t>F686741</t>
  </si>
  <si>
    <t>RE-100434</t>
  </si>
  <si>
    <t>F455652</t>
  </si>
  <si>
    <t>CH-100429</t>
  </si>
  <si>
    <t>F248683</t>
  </si>
  <si>
    <t>CH-100430</t>
  </si>
  <si>
    <t>F975355</t>
  </si>
  <si>
    <t>CH-100431</t>
  </si>
  <si>
    <t>F376570</t>
  </si>
  <si>
    <t>TR-100463</t>
  </si>
  <si>
    <t>F900771</t>
  </si>
  <si>
    <t>RE-100435</t>
  </si>
  <si>
    <t>F155807</t>
  </si>
  <si>
    <t>RE-100436</t>
  </si>
  <si>
    <t>F372864</t>
  </si>
  <si>
    <t>RE-100437</t>
  </si>
  <si>
    <t>F618951</t>
  </si>
  <si>
    <t>RE-100438</t>
  </si>
  <si>
    <t>F616935</t>
  </si>
  <si>
    <t>RE-100439</t>
  </si>
  <si>
    <t>F397917</t>
  </si>
  <si>
    <t>RE-100440</t>
  </si>
  <si>
    <t>F795350</t>
  </si>
  <si>
    <t>TR-100464</t>
  </si>
  <si>
    <t>F289340</t>
  </si>
  <si>
    <t>CH-100432</t>
  </si>
  <si>
    <t>F444622</t>
  </si>
  <si>
    <t>RE-100441</t>
  </si>
  <si>
    <t>F719014</t>
  </si>
  <si>
    <t>RE-100442</t>
  </si>
  <si>
    <t>F842084</t>
  </si>
  <si>
    <t>TR-100465</t>
  </si>
  <si>
    <t>F789969</t>
  </si>
  <si>
    <t>RE-100443</t>
  </si>
  <si>
    <t>F440698</t>
  </si>
  <si>
    <t>TR-100466</t>
  </si>
  <si>
    <t>F879930</t>
  </si>
  <si>
    <t>RE-100444</t>
  </si>
  <si>
    <t>F367558</t>
  </si>
  <si>
    <t>RE-100445</t>
  </si>
  <si>
    <t>F270855</t>
  </si>
  <si>
    <t>CH-100433</t>
  </si>
  <si>
    <t>F261621</t>
  </si>
  <si>
    <t>RE-100446</t>
  </si>
  <si>
    <t>F797848</t>
  </si>
  <si>
    <t>RE-100447</t>
  </si>
  <si>
    <t>F381521</t>
  </si>
  <si>
    <t>TR-100467</t>
  </si>
  <si>
    <t>F295408</t>
  </si>
  <si>
    <t>CH-100434</t>
  </si>
  <si>
    <t>F586041</t>
  </si>
  <si>
    <t>TR-100468</t>
  </si>
  <si>
    <t>F652891</t>
  </si>
  <si>
    <t>TR-100469</t>
  </si>
  <si>
    <t>F183029</t>
  </si>
  <si>
    <t>CH-100435</t>
  </si>
  <si>
    <t>F982416</t>
  </si>
  <si>
    <t>RE-100448</t>
  </si>
  <si>
    <t>F638354</t>
  </si>
  <si>
    <t>RE-100449</t>
  </si>
  <si>
    <t>F855299</t>
  </si>
  <si>
    <t>TR-100470</t>
  </si>
  <si>
    <t>F627899</t>
  </si>
  <si>
    <t>RE-100450</t>
  </si>
  <si>
    <t>F983855</t>
  </si>
  <si>
    <t>CH-100436</t>
  </si>
  <si>
    <t>F577100</t>
  </si>
  <si>
    <t>TR-100471</t>
  </si>
  <si>
    <t>F321321</t>
  </si>
  <si>
    <t>RE-100451</t>
  </si>
  <si>
    <t>F211495</t>
  </si>
  <si>
    <t>CH-100437</t>
  </si>
  <si>
    <t>F280077</t>
  </si>
  <si>
    <t>TR-100472</t>
  </si>
  <si>
    <t>F861173</t>
  </si>
  <si>
    <t>CH-100438</t>
  </si>
  <si>
    <t>F823825</t>
  </si>
  <si>
    <t>TR-100473</t>
  </si>
  <si>
    <t>F114549</t>
  </si>
  <si>
    <t>RE-100452</t>
  </si>
  <si>
    <t>F128117</t>
  </si>
  <si>
    <t>RE-100453</t>
  </si>
  <si>
    <t>F300188</t>
  </si>
  <si>
    <t>RE-100454</t>
  </si>
  <si>
    <t>F122876</t>
  </si>
  <si>
    <t>RE-100455</t>
  </si>
  <si>
    <t>F608608</t>
  </si>
  <si>
    <t>CH-100439</t>
  </si>
  <si>
    <t>F409153</t>
  </si>
  <si>
    <t>TR-100474</t>
  </si>
  <si>
    <t>F988803</t>
  </si>
  <si>
    <t>TR-100475</t>
  </si>
  <si>
    <t>F706770</t>
  </si>
  <si>
    <t>TR-100476</t>
  </si>
  <si>
    <t>F638292</t>
  </si>
  <si>
    <t>TR-100477</t>
  </si>
  <si>
    <t>F542503</t>
  </si>
  <si>
    <t>TR-100478</t>
  </si>
  <si>
    <t>F222621</t>
  </si>
  <si>
    <t>CH-100440</t>
  </si>
  <si>
    <t>F557420</t>
  </si>
  <si>
    <t>RE-100456</t>
  </si>
  <si>
    <t>F343377</t>
  </si>
  <si>
    <t>TR-100479</t>
  </si>
  <si>
    <t>F994911</t>
  </si>
  <si>
    <t>TR-100480</t>
  </si>
  <si>
    <t>F973548</t>
  </si>
  <si>
    <t>TR-100481</t>
  </si>
  <si>
    <t>F752048</t>
  </si>
  <si>
    <t>RE-100457</t>
  </si>
  <si>
    <t>F281708</t>
  </si>
  <si>
    <t>RE-100458</t>
  </si>
  <si>
    <t>F617708</t>
  </si>
  <si>
    <t>CH-100441</t>
  </si>
  <si>
    <t>F476215</t>
  </si>
  <si>
    <t>CH-100442</t>
  </si>
  <si>
    <t>F133522</t>
  </si>
  <si>
    <t>RE-100459</t>
  </si>
  <si>
    <t>F689280</t>
  </si>
  <si>
    <t>RE-100460</t>
  </si>
  <si>
    <t>F907503</t>
  </si>
  <si>
    <t>TR-100482</t>
  </si>
  <si>
    <t>F733643</t>
  </si>
  <si>
    <t>TR-100483</t>
  </si>
  <si>
    <t>F211035</t>
  </si>
  <si>
    <t>TR-100484</t>
  </si>
  <si>
    <t>F275160</t>
  </si>
  <si>
    <t>TR-100485</t>
  </si>
  <si>
    <t>F863729</t>
  </si>
  <si>
    <t>CH-100443</t>
  </si>
  <si>
    <t>F261790</t>
  </si>
  <si>
    <t>TR-100486</t>
  </si>
  <si>
    <t>F560438</t>
  </si>
  <si>
    <t>CH-100444</t>
  </si>
  <si>
    <t>F400687</t>
  </si>
  <si>
    <t>TR-100487</t>
  </si>
  <si>
    <t>F478162</t>
  </si>
  <si>
    <t>TR-100488</t>
  </si>
  <si>
    <t>F542207</t>
  </si>
  <si>
    <t>RE-100461</t>
  </si>
  <si>
    <t>F581037</t>
  </si>
  <si>
    <t>TR-100489</t>
  </si>
  <si>
    <t>F852485</t>
  </si>
  <si>
    <t>TR-100490</t>
  </si>
  <si>
    <t>F909891</t>
  </si>
  <si>
    <t>RE-100462</t>
  </si>
  <si>
    <t>F772625</t>
  </si>
  <si>
    <t>RE-100463</t>
  </si>
  <si>
    <t>F937886</t>
  </si>
  <si>
    <t>TR-100491</t>
  </si>
  <si>
    <t>F419105</t>
  </si>
  <si>
    <t>TR-100492</t>
  </si>
  <si>
    <t>F653429</t>
  </si>
  <si>
    <t>TR-100493</t>
  </si>
  <si>
    <t>F670871</t>
  </si>
  <si>
    <t>TR-100494</t>
  </si>
  <si>
    <t>F919528</t>
  </si>
  <si>
    <t>TR-100495</t>
  </si>
  <si>
    <t>F450741</t>
  </si>
  <si>
    <t>CH-100445</t>
  </si>
  <si>
    <t>F324116</t>
  </si>
  <si>
    <t>RE-100464</t>
  </si>
  <si>
    <t>F267800</t>
  </si>
  <si>
    <t>RE-100465</t>
  </si>
  <si>
    <t>F861800</t>
  </si>
  <si>
    <t>CH-100446</t>
  </si>
  <si>
    <t>F372374</t>
  </si>
  <si>
    <t>TR-100496</t>
  </si>
  <si>
    <t>F230809</t>
  </si>
  <si>
    <t>CH-100447</t>
  </si>
  <si>
    <t>F944510</t>
  </si>
  <si>
    <t>TR-100497</t>
  </si>
  <si>
    <t>TR-100498</t>
  </si>
  <si>
    <t>F922911</t>
  </si>
  <si>
    <t>TR-100499</t>
  </si>
  <si>
    <t>F873337</t>
  </si>
  <si>
    <t>RE-100466</t>
  </si>
  <si>
    <t>F576378</t>
  </si>
  <si>
    <t>RE-100467</t>
  </si>
  <si>
    <t>F196729</t>
  </si>
  <si>
    <t>RE-100468</t>
  </si>
  <si>
    <t>F487233</t>
  </si>
  <si>
    <t>TR-100500</t>
  </si>
  <si>
    <t>F376502</t>
  </si>
  <si>
    <t>TR-100501</t>
  </si>
  <si>
    <t>F613321</t>
  </si>
  <si>
    <t>TR-100502</t>
  </si>
  <si>
    <t>F845695</t>
  </si>
  <si>
    <t>CH-100448</t>
  </si>
  <si>
    <t>F134191</t>
  </si>
  <si>
    <t>TR-100503</t>
  </si>
  <si>
    <t>F730823</t>
  </si>
  <si>
    <t>CH-100449</t>
  </si>
  <si>
    <t>F648171</t>
  </si>
  <si>
    <t>RE-100469</t>
  </si>
  <si>
    <t>F408261</t>
  </si>
  <si>
    <t>CH-100450</t>
  </si>
  <si>
    <t>F151014</t>
  </si>
  <si>
    <t>CH-100451</t>
  </si>
  <si>
    <t>F102187</t>
  </si>
  <si>
    <t>RE-100470</t>
  </si>
  <si>
    <t>F604550</t>
  </si>
  <si>
    <t>TR-100504</t>
  </si>
  <si>
    <t>F598312</t>
  </si>
  <si>
    <t>TR-100505</t>
  </si>
  <si>
    <t>F571785</t>
  </si>
  <si>
    <t>TR-100506</t>
  </si>
  <si>
    <t>F796781</t>
  </si>
  <si>
    <t>TR-100507</t>
  </si>
  <si>
    <t>F667273</t>
  </si>
  <si>
    <t>RE-100471</t>
  </si>
  <si>
    <t>F273659</t>
  </si>
  <si>
    <t>TR-100508</t>
  </si>
  <si>
    <t>F423850</t>
  </si>
  <si>
    <t>TR-100509</t>
  </si>
  <si>
    <t>F748758</t>
  </si>
  <si>
    <t>TR-100510</t>
  </si>
  <si>
    <t>F298595</t>
  </si>
  <si>
    <t>CH-100452</t>
  </si>
  <si>
    <t>F288474</t>
  </si>
  <si>
    <t>RE-100472</t>
  </si>
  <si>
    <t>F979668</t>
  </si>
  <si>
    <t>TR-100511</t>
  </si>
  <si>
    <t>F717499</t>
  </si>
  <si>
    <t>RE-100473</t>
  </si>
  <si>
    <t>F125225</t>
  </si>
  <si>
    <t>TR-100512</t>
  </si>
  <si>
    <t>F668096</t>
  </si>
  <si>
    <t>RE-100474</t>
  </si>
  <si>
    <t>F261719</t>
  </si>
  <si>
    <t>CH-100453</t>
  </si>
  <si>
    <t>F290272</t>
  </si>
  <si>
    <t>RE-100475</t>
  </si>
  <si>
    <t>F532876</t>
  </si>
  <si>
    <t>CH-100454</t>
  </si>
  <si>
    <t>F888669</t>
  </si>
  <si>
    <t>TR-100513</t>
  </si>
  <si>
    <t>F503752</t>
  </si>
  <si>
    <t>RE-100476</t>
  </si>
  <si>
    <t>F168637</t>
  </si>
  <si>
    <t>CH-100455</t>
  </si>
  <si>
    <t>F382234</t>
  </si>
  <si>
    <t>TR-100514</t>
  </si>
  <si>
    <t>F783200</t>
  </si>
  <si>
    <t>RE-100477</t>
  </si>
  <si>
    <t>F624741</t>
  </si>
  <si>
    <t>RE-100478</t>
  </si>
  <si>
    <t>F920011</t>
  </si>
  <si>
    <t>RE-100479</t>
  </si>
  <si>
    <t>F573685</t>
  </si>
  <si>
    <t>RE-100480</t>
  </si>
  <si>
    <t>F403300</t>
  </si>
  <si>
    <t>TR-100515</t>
  </si>
  <si>
    <t>F386578</t>
  </si>
  <si>
    <t>TR-100516</t>
  </si>
  <si>
    <t>F983360</t>
  </si>
  <si>
    <t>TR-100517</t>
  </si>
  <si>
    <t>F875089</t>
  </si>
  <si>
    <t>TR-100518</t>
  </si>
  <si>
    <t>F228950</t>
  </si>
  <si>
    <t>RE-100481</t>
  </si>
  <si>
    <t>F433765</t>
  </si>
  <si>
    <t>TR-100519</t>
  </si>
  <si>
    <t>F386275</t>
  </si>
  <si>
    <t>RE-100482</t>
  </si>
  <si>
    <t>F444412</t>
  </si>
  <si>
    <t>RE-100483</t>
  </si>
  <si>
    <t>F599676</t>
  </si>
  <si>
    <t>RE-100484</t>
  </si>
  <si>
    <t>F830322</t>
  </si>
  <si>
    <t>TR-100520</t>
  </si>
  <si>
    <t>F782902</t>
  </si>
  <si>
    <t>RE-100485</t>
  </si>
  <si>
    <t>F470141</t>
  </si>
  <si>
    <t>CH-100456</t>
  </si>
  <si>
    <t>F951307</t>
  </si>
  <si>
    <t>TR-100521</t>
  </si>
  <si>
    <t>F566173</t>
  </si>
  <si>
    <t>RE-100486</t>
  </si>
  <si>
    <t>F300814</t>
  </si>
  <si>
    <t>RE-100487</t>
  </si>
  <si>
    <t>F345637</t>
  </si>
  <si>
    <t>CH-100457</t>
  </si>
  <si>
    <t>F319242</t>
  </si>
  <si>
    <t>RE-100488</t>
  </si>
  <si>
    <t>F696746</t>
  </si>
  <si>
    <t>TR-100522</t>
  </si>
  <si>
    <t>F693186</t>
  </si>
  <si>
    <t>TR-100523</t>
  </si>
  <si>
    <t>F234476</t>
  </si>
  <si>
    <t>TR-100524</t>
  </si>
  <si>
    <t>F648489</t>
  </si>
  <si>
    <t>TR-100525</t>
  </si>
  <si>
    <t>F826648</t>
  </si>
  <si>
    <t>TR-100526</t>
  </si>
  <si>
    <t>F102049</t>
  </si>
  <si>
    <t>CH-100458</t>
  </si>
  <si>
    <t>F553559</t>
  </si>
  <si>
    <t>CH-100459</t>
  </si>
  <si>
    <t>F479030</t>
  </si>
  <si>
    <t>TR-100527</t>
  </si>
  <si>
    <t>F658272</t>
  </si>
  <si>
    <t>CH-100460</t>
  </si>
  <si>
    <t>F946906</t>
  </si>
  <si>
    <t>RE-100489</t>
  </si>
  <si>
    <t>F306440</t>
  </si>
  <si>
    <t>RE-100490</t>
  </si>
  <si>
    <t>F603281</t>
  </si>
  <si>
    <t>CH-100461</t>
  </si>
  <si>
    <t>F981336</t>
  </si>
  <si>
    <t>CH-100462</t>
  </si>
  <si>
    <t>F644918</t>
  </si>
  <si>
    <t>RE-100491</t>
  </si>
  <si>
    <t>F755725</t>
  </si>
  <si>
    <t>CH-100463</t>
  </si>
  <si>
    <t>F495727</t>
  </si>
  <si>
    <t>CH-100464</t>
  </si>
  <si>
    <t>F941363</t>
  </si>
  <si>
    <t>CH-100465</t>
  </si>
  <si>
    <t>F810477</t>
  </si>
  <si>
    <t>RE-100492</t>
  </si>
  <si>
    <t>F888490</t>
  </si>
  <si>
    <t>CH-100466</t>
  </si>
  <si>
    <t>F111121</t>
  </si>
  <si>
    <t>CH-100467</t>
  </si>
  <si>
    <t>F206197</t>
  </si>
  <si>
    <t>CH-100468</t>
  </si>
  <si>
    <t>F642337</t>
  </si>
  <si>
    <t>CH-100469</t>
  </si>
  <si>
    <t>F847948</t>
  </si>
  <si>
    <t>RE-100493</t>
  </si>
  <si>
    <t>F768324</t>
  </si>
  <si>
    <t>TR-100528</t>
  </si>
  <si>
    <t>F566222</t>
  </si>
  <si>
    <t>RE-100494</t>
  </si>
  <si>
    <t>F712916</t>
  </si>
  <si>
    <t>CH-100470</t>
  </si>
  <si>
    <t>F913166</t>
  </si>
  <si>
    <t>RE-100495</t>
  </si>
  <si>
    <t>F108474</t>
  </si>
  <si>
    <t>TR-100529</t>
  </si>
  <si>
    <t>F157259</t>
  </si>
  <si>
    <t>CH-100471</t>
  </si>
  <si>
    <t>F458143</t>
  </si>
  <si>
    <t>RE-100496</t>
  </si>
  <si>
    <t>F728896</t>
  </si>
  <si>
    <t>TR-100530</t>
  </si>
  <si>
    <t>F746030</t>
  </si>
  <si>
    <t>CH-100472</t>
  </si>
  <si>
    <t>RE-100497</t>
  </si>
  <si>
    <t>F754227</t>
  </si>
  <si>
    <t>RE-100498</t>
  </si>
  <si>
    <t>F315289</t>
  </si>
  <si>
    <t>CH-100473</t>
  </si>
  <si>
    <t>F681636</t>
  </si>
  <si>
    <t>RE-100499</t>
  </si>
  <si>
    <t>F902719</t>
  </si>
  <si>
    <t>CH-100474</t>
  </si>
  <si>
    <t>F282605</t>
  </si>
  <si>
    <t>RE-100500</t>
  </si>
  <si>
    <t>F287214</t>
  </si>
  <si>
    <t>RE-100501</t>
  </si>
  <si>
    <t>F971834</t>
  </si>
  <si>
    <t>TR-100531</t>
  </si>
  <si>
    <t>F454820</t>
  </si>
  <si>
    <t>RE-100502</t>
  </si>
  <si>
    <t>F279683</t>
  </si>
  <si>
    <t>TR-100532</t>
  </si>
  <si>
    <t>F251448</t>
  </si>
  <si>
    <t>RE-100503</t>
  </si>
  <si>
    <t>F433396</t>
  </si>
  <si>
    <t>TR-100533</t>
  </si>
  <si>
    <t>F715855</t>
  </si>
  <si>
    <t>RE-100504</t>
  </si>
  <si>
    <t>F934259</t>
  </si>
  <si>
    <t>CH-100475</t>
  </si>
  <si>
    <t>F319401</t>
  </si>
  <si>
    <t>TR-100534</t>
  </si>
  <si>
    <t>F168024</t>
  </si>
  <si>
    <t>RE-100505</t>
  </si>
  <si>
    <t>F622807</t>
  </si>
  <si>
    <t>TR-100535</t>
  </si>
  <si>
    <t>F606773</t>
  </si>
  <si>
    <t>TR-100536</t>
  </si>
  <si>
    <t>F781298</t>
  </si>
  <si>
    <t>RE-100506</t>
  </si>
  <si>
    <t>F515131</t>
  </si>
  <si>
    <t>RE-100507</t>
  </si>
  <si>
    <t>F366893</t>
  </si>
  <si>
    <t>TR-100537</t>
  </si>
  <si>
    <t>F468653</t>
  </si>
  <si>
    <t>RE-100508</t>
  </si>
  <si>
    <t>F546800</t>
  </si>
  <si>
    <t>CH-100476</t>
  </si>
  <si>
    <t>F432420</t>
  </si>
  <si>
    <t>CH-100477</t>
  </si>
  <si>
    <t>F776703</t>
  </si>
  <si>
    <t>RE-100509</t>
  </si>
  <si>
    <t>F637700</t>
  </si>
  <si>
    <t>TR-100538</t>
  </si>
  <si>
    <t>F224348</t>
  </si>
  <si>
    <t>RE-100510</t>
  </si>
  <si>
    <t>F807901</t>
  </si>
  <si>
    <t>CH-100478</t>
  </si>
  <si>
    <t>F839919</t>
  </si>
  <si>
    <t>TR-100539</t>
  </si>
  <si>
    <t>F414021</t>
  </si>
  <si>
    <t>CH-100479</t>
  </si>
  <si>
    <t>F785864</t>
  </si>
  <si>
    <t>TR-100540</t>
  </si>
  <si>
    <t>F858472</t>
  </si>
  <si>
    <t>TR-100541</t>
  </si>
  <si>
    <t>F894423</t>
  </si>
  <si>
    <t>CH-100480</t>
  </si>
  <si>
    <t>F986887</t>
  </si>
  <si>
    <t>RE-100511</t>
  </si>
  <si>
    <t>F571829</t>
  </si>
  <si>
    <t>TR-100542</t>
  </si>
  <si>
    <t>F420415</t>
  </si>
  <si>
    <t>TR-100543</t>
  </si>
  <si>
    <t>F336444</t>
  </si>
  <si>
    <t>CH-100481</t>
  </si>
  <si>
    <t>F124368</t>
  </si>
  <si>
    <t>TR-100544</t>
  </si>
  <si>
    <t>F446292</t>
  </si>
  <si>
    <t>TR-100545</t>
  </si>
  <si>
    <t>F509873</t>
  </si>
  <si>
    <t>CH-100482</t>
  </si>
  <si>
    <t>F213915</t>
  </si>
  <si>
    <t>CH-100483</t>
  </si>
  <si>
    <t>F197770</t>
  </si>
  <si>
    <t>RE-100512</t>
  </si>
  <si>
    <t>F732672</t>
  </si>
  <si>
    <t>CH-100484</t>
  </si>
  <si>
    <t>F397604</t>
  </si>
  <si>
    <t>RE-100513</t>
  </si>
  <si>
    <t>F160244</t>
  </si>
  <si>
    <t>CH-100485</t>
  </si>
  <si>
    <t>F510103</t>
  </si>
  <si>
    <t>RE-100514</t>
  </si>
  <si>
    <t>F507888</t>
  </si>
  <si>
    <t>RE-100515</t>
  </si>
  <si>
    <t>F797085</t>
  </si>
  <si>
    <t>CH-100486</t>
  </si>
  <si>
    <t>F312832</t>
  </si>
  <si>
    <t>TR-100546</t>
  </si>
  <si>
    <t>F567383</t>
  </si>
  <si>
    <t>RE-100516</t>
  </si>
  <si>
    <t>F696879</t>
  </si>
  <si>
    <t>CH-100487</t>
  </si>
  <si>
    <t>F401897</t>
  </si>
  <si>
    <t>TR-100547</t>
  </si>
  <si>
    <t>F930835</t>
  </si>
  <si>
    <t>CH-100488</t>
  </si>
  <si>
    <t>F747743</t>
  </si>
  <si>
    <t>TR-100548</t>
  </si>
  <si>
    <t>F832453</t>
  </si>
  <si>
    <t>TR-100549</t>
  </si>
  <si>
    <t>F265603</t>
  </si>
  <si>
    <t>CH-100489</t>
  </si>
  <si>
    <t>F831952</t>
  </si>
  <si>
    <t>TR-100550</t>
  </si>
  <si>
    <t>F898868</t>
  </si>
  <si>
    <t>TR-100551</t>
  </si>
  <si>
    <t>F628896</t>
  </si>
  <si>
    <t>CH-100490</t>
  </si>
  <si>
    <t>F146803</t>
  </si>
  <si>
    <t>CH-100491</t>
  </si>
  <si>
    <t>F584341</t>
  </si>
  <si>
    <t>CH-100492</t>
  </si>
  <si>
    <t>F139609</t>
  </si>
  <si>
    <t>RE-100517</t>
  </si>
  <si>
    <t>F802855</t>
  </si>
  <si>
    <t>TR-100552</t>
  </si>
  <si>
    <t>F788938</t>
  </si>
  <si>
    <t>RE-100518</t>
  </si>
  <si>
    <t>F982442</t>
  </si>
  <si>
    <t>RE-100519</t>
  </si>
  <si>
    <t>F408433</t>
  </si>
  <si>
    <t>RE-100520</t>
  </si>
  <si>
    <t>F810287</t>
  </si>
  <si>
    <t>CH-100493</t>
  </si>
  <si>
    <t>F136118</t>
  </si>
  <si>
    <t>TR-100553</t>
  </si>
  <si>
    <t>F950931</t>
  </si>
  <si>
    <t>TR-100554</t>
  </si>
  <si>
    <t>F823880</t>
  </si>
  <si>
    <t>CH-100494</t>
  </si>
  <si>
    <t>F904377</t>
  </si>
  <si>
    <t>RE-100521</t>
  </si>
  <si>
    <t>F116817</t>
  </si>
  <si>
    <t>CH-100495</t>
  </si>
  <si>
    <t>F812989</t>
  </si>
  <si>
    <t>TR-100555</t>
  </si>
  <si>
    <t>F276037</t>
  </si>
  <si>
    <t>TR-100556</t>
  </si>
  <si>
    <t>F438354</t>
  </si>
  <si>
    <t>TR-100557</t>
  </si>
  <si>
    <t>F548665</t>
  </si>
  <si>
    <t>RE-100522</t>
  </si>
  <si>
    <t>F115722</t>
  </si>
  <si>
    <t>CH-100496</t>
  </si>
  <si>
    <t>F330787</t>
  </si>
  <si>
    <t>RE-100523</t>
  </si>
  <si>
    <t>F146073</t>
  </si>
  <si>
    <t>RE-100524</t>
  </si>
  <si>
    <t>F206759</t>
  </si>
  <si>
    <t>TR-100558</t>
  </si>
  <si>
    <t>F440110</t>
  </si>
  <si>
    <t>TR-100559</t>
  </si>
  <si>
    <t>F898717</t>
  </si>
  <si>
    <t>TR-100560</t>
  </si>
  <si>
    <t>F118506</t>
  </si>
  <si>
    <t>TR-100561</t>
  </si>
  <si>
    <t>F343715</t>
  </si>
  <si>
    <t>TR-100562</t>
  </si>
  <si>
    <t>F895807</t>
  </si>
  <si>
    <t>RE-100525</t>
  </si>
  <si>
    <t>F183246</t>
  </si>
  <si>
    <t>RE-100526</t>
  </si>
  <si>
    <t>F773226</t>
  </si>
  <si>
    <t>RE-100527</t>
  </si>
  <si>
    <t>F875165</t>
  </si>
  <si>
    <t>CH-100497</t>
  </si>
  <si>
    <t>F646174</t>
  </si>
  <si>
    <t>CH-100498</t>
  </si>
  <si>
    <t>F988075</t>
  </si>
  <si>
    <t>TR-100563</t>
  </si>
  <si>
    <t>F797309</t>
  </si>
  <si>
    <t>RE-100528</t>
  </si>
  <si>
    <t>F500016</t>
  </si>
  <si>
    <t>TR-100564</t>
  </si>
  <si>
    <t>F615524</t>
  </si>
  <si>
    <t>RE-100529</t>
  </si>
  <si>
    <t>F314140</t>
  </si>
  <si>
    <t>RE-100530</t>
  </si>
  <si>
    <t>F347789</t>
  </si>
  <si>
    <t>TR-100565</t>
  </si>
  <si>
    <t>F307131</t>
  </si>
  <si>
    <t>RE-100531</t>
  </si>
  <si>
    <t>F704422</t>
  </si>
  <si>
    <t>CH-100499</t>
  </si>
  <si>
    <t>F183902</t>
  </si>
  <si>
    <t>CH-100500</t>
  </si>
  <si>
    <t>F629837</t>
  </si>
  <si>
    <t>TR-100566</t>
  </si>
  <si>
    <t>F120773</t>
  </si>
  <si>
    <t>CH-100501</t>
  </si>
  <si>
    <t>F724094</t>
  </si>
  <si>
    <t>TR-100567</t>
  </si>
  <si>
    <t>F420704</t>
  </si>
  <si>
    <t>CH-100502</t>
  </si>
  <si>
    <t>F449421</t>
  </si>
  <si>
    <t>RE-100532</t>
  </si>
  <si>
    <t>F113457</t>
  </si>
  <si>
    <t>TR-100568</t>
  </si>
  <si>
    <t>F513820</t>
  </si>
  <si>
    <t>TR-100569</t>
  </si>
  <si>
    <t>F174694</t>
  </si>
  <si>
    <t>CH-100503</t>
  </si>
  <si>
    <t>F303663</t>
  </si>
  <si>
    <t>CH-100504</t>
  </si>
  <si>
    <t>F486065</t>
  </si>
  <si>
    <t>TR-100570</t>
  </si>
  <si>
    <t>F358779</t>
  </si>
  <si>
    <t>RE-100533</t>
  </si>
  <si>
    <t>F831351</t>
  </si>
  <si>
    <t>TR-100571</t>
  </si>
  <si>
    <t>F254525</t>
  </si>
  <si>
    <t>CH-100505</t>
  </si>
  <si>
    <t>F112936</t>
  </si>
  <si>
    <t>RE-100534</t>
  </si>
  <si>
    <t>F840367</t>
  </si>
  <si>
    <t>TR-100572</t>
  </si>
  <si>
    <t>F543489</t>
  </si>
  <si>
    <t>RE-100535</t>
  </si>
  <si>
    <t>F501382</t>
  </si>
  <si>
    <t>TR-100573</t>
  </si>
  <si>
    <t>F193190</t>
  </si>
  <si>
    <t>RE-100536</t>
  </si>
  <si>
    <t>F885100</t>
  </si>
  <si>
    <t>RE-100537</t>
  </si>
  <si>
    <t>F276578</t>
  </si>
  <si>
    <t>CH-100506</t>
  </si>
  <si>
    <t>F650462</t>
  </si>
  <si>
    <t>CH-100507</t>
  </si>
  <si>
    <t>F240857</t>
  </si>
  <si>
    <t>RE-100538</t>
  </si>
  <si>
    <t>F694639</t>
  </si>
  <si>
    <t>RE-100539</t>
  </si>
  <si>
    <t>F371950</t>
  </si>
  <si>
    <t>CH-100508</t>
  </si>
  <si>
    <t>F183686</t>
  </si>
  <si>
    <t>CH-100509</t>
  </si>
  <si>
    <t>F131107</t>
  </si>
  <si>
    <t>TR-100574</t>
  </si>
  <si>
    <t>F164022</t>
  </si>
  <si>
    <t>CH-100510</t>
  </si>
  <si>
    <t>F107614</t>
  </si>
  <si>
    <t>CH-100511</t>
  </si>
  <si>
    <t>F814982</t>
  </si>
  <si>
    <t>CH-100512</t>
  </si>
  <si>
    <t>F160022</t>
  </si>
  <si>
    <t>CH-100513</t>
  </si>
  <si>
    <t>F521326</t>
  </si>
  <si>
    <t>TR-100575</t>
  </si>
  <si>
    <t>F656405</t>
  </si>
  <si>
    <t>CH-100514</t>
  </si>
  <si>
    <t>F790881</t>
  </si>
  <si>
    <t>CH-100515</t>
  </si>
  <si>
    <t>F952092</t>
  </si>
  <si>
    <t>CH-100516</t>
  </si>
  <si>
    <t>F441337</t>
  </si>
  <si>
    <t>TR-100576</t>
  </si>
  <si>
    <t>F742349</t>
  </si>
  <si>
    <t>RE-100540</t>
  </si>
  <si>
    <t>F205335</t>
  </si>
  <si>
    <t>TR-100577</t>
  </si>
  <si>
    <t>F645316</t>
  </si>
  <si>
    <t>TR-100578</t>
  </si>
  <si>
    <t>F191320</t>
  </si>
  <si>
    <t>CH-100517</t>
  </si>
  <si>
    <t>F567965</t>
  </si>
  <si>
    <t>RE-100541</t>
  </si>
  <si>
    <t>F833907</t>
  </si>
  <si>
    <t>RE-100542</t>
  </si>
  <si>
    <t>F502118</t>
  </si>
  <si>
    <t>CH-100518</t>
  </si>
  <si>
    <t>F229077</t>
  </si>
  <si>
    <t>TR-100579</t>
  </si>
  <si>
    <t>F194835</t>
  </si>
  <si>
    <t>TR-100580</t>
  </si>
  <si>
    <t>F167808</t>
  </si>
  <si>
    <t>TR-100581</t>
  </si>
  <si>
    <t>F997728</t>
  </si>
  <si>
    <t>CH-100519</t>
  </si>
  <si>
    <t>F216793</t>
  </si>
  <si>
    <t>RE-100543</t>
  </si>
  <si>
    <t>F221746</t>
  </si>
  <si>
    <t>TR-100582</t>
  </si>
  <si>
    <t>F872714</t>
  </si>
  <si>
    <t>RE-100544</t>
  </si>
  <si>
    <t>F544280</t>
  </si>
  <si>
    <t>CH-100520</t>
  </si>
  <si>
    <t>F332932</t>
  </si>
  <si>
    <t>RE-100545</t>
  </si>
  <si>
    <t>F251729</t>
  </si>
  <si>
    <t>CH-100521</t>
  </si>
  <si>
    <t>F252956</t>
  </si>
  <si>
    <t>TR-100583</t>
  </si>
  <si>
    <t>F423896</t>
  </si>
  <si>
    <t>TR-100584</t>
  </si>
  <si>
    <t>F701853</t>
  </si>
  <si>
    <t>CH-100522</t>
  </si>
  <si>
    <t>F495007</t>
  </si>
  <si>
    <t>RE-100546</t>
  </si>
  <si>
    <t>F989265</t>
  </si>
  <si>
    <t>TR-100585</t>
  </si>
  <si>
    <t>F913735</t>
  </si>
  <si>
    <t>RE-100547</t>
  </si>
  <si>
    <t>F989735</t>
  </si>
  <si>
    <t>RE-100548</t>
  </si>
  <si>
    <t>F596418</t>
  </si>
  <si>
    <t>CH-100523</t>
  </si>
  <si>
    <t>F830203</t>
  </si>
  <si>
    <t>RE-100549</t>
  </si>
  <si>
    <t>F888808</t>
  </si>
  <si>
    <t>TR-100586</t>
  </si>
  <si>
    <t>F579757</t>
  </si>
  <si>
    <t>TR-100587</t>
  </si>
  <si>
    <t>F405221</t>
  </si>
  <si>
    <t>RE-100550</t>
  </si>
  <si>
    <t>F479821</t>
  </si>
  <si>
    <t>TR-100588</t>
  </si>
  <si>
    <t>F812449</t>
  </si>
  <si>
    <t>RE-100551</t>
  </si>
  <si>
    <t>F155021</t>
  </si>
  <si>
    <t>RE-100552</t>
  </si>
  <si>
    <t>F757428</t>
  </si>
  <si>
    <t>TR-100589</t>
  </si>
  <si>
    <t>F725114</t>
  </si>
  <si>
    <t>RE-100553</t>
  </si>
  <si>
    <t>F957939</t>
  </si>
  <si>
    <t>TR-100590</t>
  </si>
  <si>
    <t>F112166</t>
  </si>
  <si>
    <t>RE-100554</t>
  </si>
  <si>
    <t>F634510</t>
  </si>
  <si>
    <t>RE-100555</t>
  </si>
  <si>
    <t>F387021</t>
  </si>
  <si>
    <t>TR-100591</t>
  </si>
  <si>
    <t>F775908</t>
  </si>
  <si>
    <t>TR-100592</t>
  </si>
  <si>
    <t>F166582</t>
  </si>
  <si>
    <t>TR-100593</t>
  </si>
  <si>
    <t>F120705</t>
  </si>
  <si>
    <t>CH-100524</t>
  </si>
  <si>
    <t>F612295</t>
  </si>
  <si>
    <t>RE-100556</t>
  </si>
  <si>
    <t>F230117</t>
  </si>
  <si>
    <t>RE-100557</t>
  </si>
  <si>
    <t>F105582</t>
  </si>
  <si>
    <t>TR-100594</t>
  </si>
  <si>
    <t>F703016</t>
  </si>
  <si>
    <t>RE-100558</t>
  </si>
  <si>
    <t>F188720</t>
  </si>
  <si>
    <t>RE-100559</t>
  </si>
  <si>
    <t>F100089</t>
  </si>
  <si>
    <t>RE-100560</t>
  </si>
  <si>
    <t>F791176</t>
  </si>
  <si>
    <t>TR-100595</t>
  </si>
  <si>
    <t>F648055</t>
  </si>
  <si>
    <t>CH-100525</t>
  </si>
  <si>
    <t>F794804</t>
  </si>
  <si>
    <t>RE-100561</t>
  </si>
  <si>
    <t>F240727</t>
  </si>
  <si>
    <t>TR-100596</t>
  </si>
  <si>
    <t>F864521</t>
  </si>
  <si>
    <t>TR-100597</t>
  </si>
  <si>
    <t>F781332</t>
  </si>
  <si>
    <t>RE-100562</t>
  </si>
  <si>
    <t>F546004</t>
  </si>
  <si>
    <t>TR-100598</t>
  </si>
  <si>
    <t>F382486</t>
  </si>
  <si>
    <t>TR-100599</t>
  </si>
  <si>
    <t>F779237</t>
  </si>
  <si>
    <t>TR-100600</t>
  </si>
  <si>
    <t>F497349</t>
  </si>
  <si>
    <t>RE-100563</t>
  </si>
  <si>
    <t>F215333</t>
  </si>
  <si>
    <t>TR-100601</t>
  </si>
  <si>
    <t>F480443</t>
  </si>
  <si>
    <t>CH-100526</t>
  </si>
  <si>
    <t>F333020</t>
  </si>
  <si>
    <t>CH-100527</t>
  </si>
  <si>
    <t>F421440</t>
  </si>
  <si>
    <t>TR-100602</t>
  </si>
  <si>
    <t>F699951</t>
  </si>
  <si>
    <t>CH-100528</t>
  </si>
  <si>
    <t>F433443</t>
  </si>
  <si>
    <t>CH-100529</t>
  </si>
  <si>
    <t>F600025</t>
  </si>
  <si>
    <t>TR-100603</t>
  </si>
  <si>
    <t>F789504</t>
  </si>
  <si>
    <t>RE-100564</t>
  </si>
  <si>
    <t>F488131</t>
  </si>
  <si>
    <t>TR-100604</t>
  </si>
  <si>
    <t>F591431</t>
  </si>
  <si>
    <t>TR-100605</t>
  </si>
  <si>
    <t>F953565</t>
  </si>
  <si>
    <t>RE-100565</t>
  </si>
  <si>
    <t>F908010</t>
  </si>
  <si>
    <t>CH-100530</t>
  </si>
  <si>
    <t>F198181</t>
  </si>
  <si>
    <t>RE-100566</t>
  </si>
  <si>
    <t>F616791</t>
  </si>
  <si>
    <t>RE-100567</t>
  </si>
  <si>
    <t>F243055</t>
  </si>
  <si>
    <t>CH-100531</t>
  </si>
  <si>
    <t>F831782</t>
  </si>
  <si>
    <t>RE-100568</t>
  </si>
  <si>
    <t>F107644</t>
  </si>
  <si>
    <t>TR-100606</t>
  </si>
  <si>
    <t>F874879</t>
  </si>
  <si>
    <t>TR-100607</t>
  </si>
  <si>
    <t>F276718</t>
  </si>
  <si>
    <t>TR-100608</t>
  </si>
  <si>
    <t>F484880</t>
  </si>
  <si>
    <t>RE-100569</t>
  </si>
  <si>
    <t>F278765</t>
  </si>
  <si>
    <t>CH-100532</t>
  </si>
  <si>
    <t>F665307</t>
  </si>
  <si>
    <t>RE-100570</t>
  </si>
  <si>
    <t>F102342</t>
  </si>
  <si>
    <t>TR-100609</t>
  </si>
  <si>
    <t>F774206</t>
  </si>
  <si>
    <t>TR-100610</t>
  </si>
  <si>
    <t>F160289</t>
  </si>
  <si>
    <t>CH-100533</t>
  </si>
  <si>
    <t>F105404</t>
  </si>
  <si>
    <t>CH-100534</t>
  </si>
  <si>
    <t>F615947</t>
  </si>
  <si>
    <t>RE-100571</t>
  </si>
  <si>
    <t>F107246</t>
  </si>
  <si>
    <t>RE-100572</t>
  </si>
  <si>
    <t>F413823</t>
  </si>
  <si>
    <t>CH-100535</t>
  </si>
  <si>
    <t>F213974</t>
  </si>
  <si>
    <t>CH-100536</t>
  </si>
  <si>
    <t>F883381</t>
  </si>
  <si>
    <t>CH-100537</t>
  </si>
  <si>
    <t>F398739</t>
  </si>
  <si>
    <t>RE-100573</t>
  </si>
  <si>
    <t>F268099</t>
  </si>
  <si>
    <t>TR-100611</t>
  </si>
  <si>
    <t>F224562</t>
  </si>
  <si>
    <t>CH-100538</t>
  </si>
  <si>
    <t>F233624</t>
  </si>
  <si>
    <t>CH-100539</t>
  </si>
  <si>
    <t>F984015</t>
  </si>
  <si>
    <t>CH-100540</t>
  </si>
  <si>
    <t>F263097</t>
  </si>
  <si>
    <t>CH-100541</t>
  </si>
  <si>
    <t>F970145</t>
  </si>
  <si>
    <t>CH-100542</t>
  </si>
  <si>
    <t>F609533</t>
  </si>
  <si>
    <t>RE-100574</t>
  </si>
  <si>
    <t>F295937</t>
  </si>
  <si>
    <t>RE-100575</t>
  </si>
  <si>
    <t>F359369</t>
  </si>
  <si>
    <t>TR-100612</t>
  </si>
  <si>
    <t>F297833</t>
  </si>
  <si>
    <t>TR-100613</t>
  </si>
  <si>
    <t>F520775</t>
  </si>
  <si>
    <t>RE-100576</t>
  </si>
  <si>
    <t>F118519</t>
  </si>
  <si>
    <t>TR-100614</t>
  </si>
  <si>
    <t>F421331</t>
  </si>
  <si>
    <t>TR-100615</t>
  </si>
  <si>
    <t>F602472</t>
  </si>
  <si>
    <t>RE-100577</t>
  </si>
  <si>
    <t>F382324</t>
  </si>
  <si>
    <t>CH-100543</t>
  </si>
  <si>
    <t>F149866</t>
  </si>
  <si>
    <t>RE-100578</t>
  </si>
  <si>
    <t>F322274</t>
  </si>
  <si>
    <t>CH-100544</t>
  </si>
  <si>
    <t>F364516</t>
  </si>
  <si>
    <t>CH-100545</t>
  </si>
  <si>
    <t>F114325</t>
  </si>
  <si>
    <t>TR-100616</t>
  </si>
  <si>
    <t>F879020</t>
  </si>
  <si>
    <t>TR-100617</t>
  </si>
  <si>
    <t>F320235</t>
  </si>
  <si>
    <t>TR-100618</t>
  </si>
  <si>
    <t>F731069</t>
  </si>
  <si>
    <t>RE-100579</t>
  </si>
  <si>
    <t>F838889</t>
  </si>
  <si>
    <t>CH-100546</t>
  </si>
  <si>
    <t>F597233</t>
  </si>
  <si>
    <t>RE-100580</t>
  </si>
  <si>
    <t>F538527</t>
  </si>
  <si>
    <t>TR-100619</t>
  </si>
  <si>
    <t>F570267</t>
  </si>
  <si>
    <t>TR-100620</t>
  </si>
  <si>
    <t>F628345</t>
  </si>
  <si>
    <t>RE-100581</t>
  </si>
  <si>
    <t>F403726</t>
  </si>
  <si>
    <t>RE-100582</t>
  </si>
  <si>
    <t>F619072</t>
  </si>
  <si>
    <t>TR-100621</t>
  </si>
  <si>
    <t>F502810</t>
  </si>
  <si>
    <t>TR-100622</t>
  </si>
  <si>
    <t>F103775</t>
  </si>
  <si>
    <t>RE-100583</t>
  </si>
  <si>
    <t>F577564</t>
  </si>
  <si>
    <t>TR-100623</t>
  </si>
  <si>
    <t>F410759</t>
  </si>
  <si>
    <t>TR-100624</t>
  </si>
  <si>
    <t>F406019</t>
  </si>
  <si>
    <t>RE-100584</t>
  </si>
  <si>
    <t>F929026</t>
  </si>
  <si>
    <t>RE-100585</t>
  </si>
  <si>
    <t>F660563</t>
  </si>
  <si>
    <t>RE-100586</t>
  </si>
  <si>
    <t>F440327</t>
  </si>
  <si>
    <t>RE-100587</t>
  </si>
  <si>
    <t>F741185</t>
  </si>
  <si>
    <t>CH-100547</t>
  </si>
  <si>
    <t>F963955</t>
  </si>
  <si>
    <t>CH-100548</t>
  </si>
  <si>
    <t>F663492</t>
  </si>
  <si>
    <t>TR-100625</t>
  </si>
  <si>
    <t>F785584</t>
  </si>
  <si>
    <t>CH-100549</t>
  </si>
  <si>
    <t>F563664</t>
  </si>
  <si>
    <t>RE-100588</t>
  </si>
  <si>
    <t>F263201</t>
  </si>
  <si>
    <t>CH-100550</t>
  </si>
  <si>
    <t>F198242</t>
  </si>
  <si>
    <t>CH-100551</t>
  </si>
  <si>
    <t>F864915</t>
  </si>
  <si>
    <t>RE-100589</t>
  </si>
  <si>
    <t>F820756</t>
  </si>
  <si>
    <t>TR-100626</t>
  </si>
  <si>
    <t>F776456</t>
  </si>
  <si>
    <t>CH-100552</t>
  </si>
  <si>
    <t>F732599</t>
  </si>
  <si>
    <t>RE-100590</t>
  </si>
  <si>
    <t>F145864</t>
  </si>
  <si>
    <t>RE-100591</t>
  </si>
  <si>
    <t>F728765</t>
  </si>
  <si>
    <t>RE-100592</t>
  </si>
  <si>
    <t>F994141</t>
  </si>
  <si>
    <t>TR-100627</t>
  </si>
  <si>
    <t>F565909</t>
  </si>
  <si>
    <t>RE-100593</t>
  </si>
  <si>
    <t>F669928</t>
  </si>
  <si>
    <t>TR-100628</t>
  </si>
  <si>
    <t>F207809</t>
  </si>
  <si>
    <t>TR-100629</t>
  </si>
  <si>
    <t>F248724</t>
  </si>
  <si>
    <t>RE-100594</t>
  </si>
  <si>
    <t>F470472</t>
  </si>
  <si>
    <t>TR-100630</t>
  </si>
  <si>
    <t>F962752</t>
  </si>
  <si>
    <t>RE-100595</t>
  </si>
  <si>
    <t>F474664</t>
  </si>
  <si>
    <t>RE-100596</t>
  </si>
  <si>
    <t>F145452</t>
  </si>
  <si>
    <t>TR-100631</t>
  </si>
  <si>
    <t>F290175</t>
  </si>
  <si>
    <t>TR-100632</t>
  </si>
  <si>
    <t>F957276</t>
  </si>
  <si>
    <t>CH-100553</t>
  </si>
  <si>
    <t>CH-100554</t>
  </si>
  <si>
    <t>F255863</t>
  </si>
  <si>
    <t>TR-100633</t>
  </si>
  <si>
    <t>F935558</t>
  </si>
  <si>
    <t>CH-100555</t>
  </si>
  <si>
    <t>F392003</t>
  </si>
  <si>
    <t>RE-100597</t>
  </si>
  <si>
    <t>F469737</t>
  </si>
  <si>
    <t>CH-100556</t>
  </si>
  <si>
    <t>F730973</t>
  </si>
  <si>
    <t>TR-100634</t>
  </si>
  <si>
    <t>F538996</t>
  </si>
  <si>
    <t>TR-100635</t>
  </si>
  <si>
    <t>F961304</t>
  </si>
  <si>
    <t>RE-100598</t>
  </si>
  <si>
    <t>F950701</t>
  </si>
  <si>
    <t>TR-100636</t>
  </si>
  <si>
    <t>F313154</t>
  </si>
  <si>
    <t>RE-100599</t>
  </si>
  <si>
    <t>F466317</t>
  </si>
  <si>
    <t>CH-100557</t>
  </si>
  <si>
    <t>F994762</t>
  </si>
  <si>
    <t>TR-100637</t>
  </si>
  <si>
    <t>F158579</t>
  </si>
  <si>
    <t>TR-100638</t>
  </si>
  <si>
    <t>F868691</t>
  </si>
  <si>
    <t>RE-100600</t>
  </si>
  <si>
    <t>F794940</t>
  </si>
  <si>
    <t>TR-100639</t>
  </si>
  <si>
    <t>F182830</t>
  </si>
  <si>
    <t>RE-100601</t>
  </si>
  <si>
    <t>F879677</t>
  </si>
  <si>
    <t>RE-100602</t>
  </si>
  <si>
    <t>F857656</t>
  </si>
  <si>
    <t>CH-100558</t>
  </si>
  <si>
    <t>F216671</t>
  </si>
  <si>
    <t>RE-100603</t>
  </si>
  <si>
    <t>F627743</t>
  </si>
  <si>
    <t>RE-100604</t>
  </si>
  <si>
    <t>F681074</t>
  </si>
  <si>
    <t>TR-100640</t>
  </si>
  <si>
    <t>F544250</t>
  </si>
  <si>
    <t>RE-100605</t>
  </si>
  <si>
    <t>F879233</t>
  </si>
  <si>
    <t>RE-100606</t>
  </si>
  <si>
    <t>F962458</t>
  </si>
  <si>
    <t>TR-100641</t>
  </si>
  <si>
    <t>F591190</t>
  </si>
  <si>
    <t>CH-100559</t>
  </si>
  <si>
    <t>F272830</t>
  </si>
  <si>
    <t>RE-100607</t>
  </si>
  <si>
    <t>F209471</t>
  </si>
  <si>
    <t>RE-100608</t>
  </si>
  <si>
    <t>F667875</t>
  </si>
  <si>
    <t>RE-100609</t>
  </si>
  <si>
    <t>F296863</t>
  </si>
  <si>
    <t>TR-100642</t>
  </si>
  <si>
    <t>F697817</t>
  </si>
  <si>
    <t>TR-100643</t>
  </si>
  <si>
    <t>F197738</t>
  </si>
  <si>
    <t>CH-100560</t>
  </si>
  <si>
    <t>F624514</t>
  </si>
  <si>
    <t>RE-100610</t>
  </si>
  <si>
    <t>F807459</t>
  </si>
  <si>
    <t>RE-100611</t>
  </si>
  <si>
    <t>F124835</t>
  </si>
  <si>
    <t>TR-100644</t>
  </si>
  <si>
    <t>F404212</t>
  </si>
  <si>
    <t>RE-100612</t>
  </si>
  <si>
    <t>F197822</t>
  </si>
  <si>
    <t>TR-100645</t>
  </si>
  <si>
    <t>F247705</t>
  </si>
  <si>
    <t>TR-100646</t>
  </si>
  <si>
    <t>F783037</t>
  </si>
  <si>
    <t>TR-100647</t>
  </si>
  <si>
    <t>F404969</t>
  </si>
  <si>
    <t>CH-100561</t>
  </si>
  <si>
    <t>F506463</t>
  </si>
  <si>
    <t>RE-100613</t>
  </si>
  <si>
    <t>F694438</t>
  </si>
  <si>
    <t>TR-100648</t>
  </si>
  <si>
    <t>F424578</t>
  </si>
  <si>
    <t>TR-100649</t>
  </si>
  <si>
    <t>F277961</t>
  </si>
  <si>
    <t>CH-100562</t>
  </si>
  <si>
    <t>F174589</t>
  </si>
  <si>
    <t>RE-100614</t>
  </si>
  <si>
    <t>F900216</t>
  </si>
  <si>
    <t>CH-100563</t>
  </si>
  <si>
    <t>F611976</t>
  </si>
  <si>
    <t>RE-100615</t>
  </si>
  <si>
    <t>F813644</t>
  </si>
  <si>
    <t>RE-100616</t>
  </si>
  <si>
    <t>F533265</t>
  </si>
  <si>
    <t>TR-100650</t>
  </si>
  <si>
    <t>F159830</t>
  </si>
  <si>
    <t>TR-100651</t>
  </si>
  <si>
    <t>F994498</t>
  </si>
  <si>
    <t>RE-100617</t>
  </si>
  <si>
    <t>F507081</t>
  </si>
  <si>
    <t>CH-100564</t>
  </si>
  <si>
    <t>F958038</t>
  </si>
  <si>
    <t>CH-100565</t>
  </si>
  <si>
    <t>F905533</t>
  </si>
  <si>
    <t>CH-100566</t>
  </si>
  <si>
    <t>F733727</t>
  </si>
  <si>
    <t>CH-100567</t>
  </si>
  <si>
    <t>F140141</t>
  </si>
  <si>
    <t>TR-100652</t>
  </si>
  <si>
    <t>F435740</t>
  </si>
  <si>
    <t>TR-100653</t>
  </si>
  <si>
    <t>F947808</t>
  </si>
  <si>
    <t>CH-100568</t>
  </si>
  <si>
    <t>F895466</t>
  </si>
  <si>
    <t>TR-100654</t>
  </si>
  <si>
    <t>F387210</t>
  </si>
  <si>
    <t>CH-100569</t>
  </si>
  <si>
    <t>F650269</t>
  </si>
  <si>
    <t>RE-100618</t>
  </si>
  <si>
    <t>F196931</t>
  </si>
  <si>
    <t>CH-100570</t>
  </si>
  <si>
    <t>F539459</t>
  </si>
  <si>
    <t>CH-100571</t>
  </si>
  <si>
    <t>F558001</t>
  </si>
  <si>
    <t>CH-100572</t>
  </si>
  <si>
    <t>F921110</t>
  </si>
  <si>
    <t>TR-100655</t>
  </si>
  <si>
    <t>F439458</t>
  </si>
  <si>
    <t>TR-100656</t>
  </si>
  <si>
    <t>F254650</t>
  </si>
  <si>
    <t>CH-100573</t>
  </si>
  <si>
    <t>F375568</t>
  </si>
  <si>
    <t>TR-100657</t>
  </si>
  <si>
    <t>F765104</t>
  </si>
  <si>
    <t>CH-100574</t>
  </si>
  <si>
    <t>F881931</t>
  </si>
  <si>
    <t>RE-100619</t>
  </si>
  <si>
    <t>RE-100620</t>
  </si>
  <si>
    <t>F115069</t>
  </si>
  <si>
    <t>CH-100575</t>
  </si>
  <si>
    <t>F958837</t>
  </si>
  <si>
    <t>RE-100621</t>
  </si>
  <si>
    <t>F968415</t>
  </si>
  <si>
    <t>TR-100658</t>
  </si>
  <si>
    <t>F549192</t>
  </si>
  <si>
    <t>CH-100576</t>
  </si>
  <si>
    <t>F398873</t>
  </si>
  <si>
    <t>TR-100659</t>
  </si>
  <si>
    <t>F750511</t>
  </si>
  <si>
    <t>RE-100622</t>
  </si>
  <si>
    <t>F620518</t>
  </si>
  <si>
    <t>TR-100660</t>
  </si>
  <si>
    <t>F709467</t>
  </si>
  <si>
    <t>RE-100623</t>
  </si>
  <si>
    <t>F678381</t>
  </si>
  <si>
    <t>CH-100577</t>
  </si>
  <si>
    <t>F932308</t>
  </si>
  <si>
    <t>CH-100578</t>
  </si>
  <si>
    <t>F515035</t>
  </si>
  <si>
    <t>RE-100624</t>
  </si>
  <si>
    <t>F790677</t>
  </si>
  <si>
    <t>CH-100579</t>
  </si>
  <si>
    <t>F534694</t>
  </si>
  <si>
    <t>RE-100625</t>
  </si>
  <si>
    <t>F959868</t>
  </si>
  <si>
    <t>TR-100661</t>
  </si>
  <si>
    <t>F682735</t>
  </si>
  <si>
    <t>CH-100580</t>
  </si>
  <si>
    <t>F940257</t>
  </si>
  <si>
    <t>TR-100662</t>
  </si>
  <si>
    <t>F342189</t>
  </si>
  <si>
    <t>RE-100626</t>
  </si>
  <si>
    <t>F922378</t>
  </si>
  <si>
    <t>CH-100581</t>
  </si>
  <si>
    <t>F266779</t>
  </si>
  <si>
    <t>CH-100582</t>
  </si>
  <si>
    <t>F759443</t>
  </si>
  <si>
    <t>TR-100663</t>
  </si>
  <si>
    <t>F699569</t>
  </si>
  <si>
    <t>CH-100583</t>
  </si>
  <si>
    <t>F295617</t>
  </si>
  <si>
    <t>RE-100627</t>
  </si>
  <si>
    <t>F981282</t>
  </si>
  <si>
    <t>RE-100628</t>
  </si>
  <si>
    <t>F250753</t>
  </si>
  <si>
    <t>TR-100664</t>
  </si>
  <si>
    <t>F581430</t>
  </si>
  <si>
    <t>TR-100665</t>
  </si>
  <si>
    <t>F197283</t>
  </si>
  <si>
    <t>RE-100629</t>
  </si>
  <si>
    <t>F934080</t>
  </si>
  <si>
    <t>RE-100630</t>
  </si>
  <si>
    <t>F540304</t>
  </si>
  <si>
    <t>CH-100584</t>
  </si>
  <si>
    <t>F288540</t>
  </si>
  <si>
    <t>CH-100585</t>
  </si>
  <si>
    <t>F736123</t>
  </si>
  <si>
    <t>RE-100631</t>
  </si>
  <si>
    <t>F743830</t>
  </si>
  <si>
    <t>TR-100666</t>
  </si>
  <si>
    <t>F302212</t>
  </si>
  <si>
    <t>TR-100667</t>
  </si>
  <si>
    <t>F326813</t>
  </si>
  <si>
    <t>CH-100586</t>
  </si>
  <si>
    <t>F330436</t>
  </si>
  <si>
    <t>RE-100632</t>
  </si>
  <si>
    <t>F196437</t>
  </si>
  <si>
    <t>CH-100587</t>
  </si>
  <si>
    <t>F637559</t>
  </si>
  <si>
    <t>CH-100588</t>
  </si>
  <si>
    <t>F852244</t>
  </si>
  <si>
    <t>CH-100589</t>
  </si>
  <si>
    <t>F857135</t>
  </si>
  <si>
    <t>CH-100590</t>
  </si>
  <si>
    <t>F955524</t>
  </si>
  <si>
    <t>CH-100591</t>
  </si>
  <si>
    <t>F694691</t>
  </si>
  <si>
    <t>CH-100592</t>
  </si>
  <si>
    <t>F275373</t>
  </si>
  <si>
    <t>RE-100633</t>
  </si>
  <si>
    <t>F776434</t>
  </si>
  <si>
    <t>TR-100668</t>
  </si>
  <si>
    <t>F550244</t>
  </si>
  <si>
    <t>RE-100634</t>
  </si>
  <si>
    <t>F490032</t>
  </si>
  <si>
    <t>RE-100635</t>
  </si>
  <si>
    <t>F851622</t>
  </si>
  <si>
    <t>CH-100593</t>
  </si>
  <si>
    <t>F397391</t>
  </si>
  <si>
    <t>TR-100669</t>
  </si>
  <si>
    <t>F851058</t>
  </si>
  <si>
    <t>TR-100670</t>
  </si>
  <si>
    <t>F542237</t>
  </si>
  <si>
    <t>TR-100671</t>
  </si>
  <si>
    <t>F152072</t>
  </si>
  <si>
    <t>CH-100594</t>
  </si>
  <si>
    <t>F574779</t>
  </si>
  <si>
    <t>RE-100636</t>
  </si>
  <si>
    <t>F122301</t>
  </si>
  <si>
    <t>CH-100595</t>
  </si>
  <si>
    <t>F398179</t>
  </si>
  <si>
    <t>RE-100637</t>
  </si>
  <si>
    <t>F776096</t>
  </si>
  <si>
    <t>RE-100638</t>
  </si>
  <si>
    <t>F858386</t>
  </si>
  <si>
    <t>CH-100596</t>
  </si>
  <si>
    <t>F912241</t>
  </si>
  <si>
    <t>CH-100597</t>
  </si>
  <si>
    <t>F617300</t>
  </si>
  <si>
    <t>TR-100672</t>
  </si>
  <si>
    <t>F207734</t>
  </si>
  <si>
    <t>RE-100639</t>
  </si>
  <si>
    <t>F820999</t>
  </si>
  <si>
    <t>TR-100673</t>
  </si>
  <si>
    <t>F955792</t>
  </si>
  <si>
    <t>TR-100674</t>
  </si>
  <si>
    <t>F923073</t>
  </si>
  <si>
    <t>RE-100640</t>
  </si>
  <si>
    <t>F821338</t>
  </si>
  <si>
    <t>TR-100675</t>
  </si>
  <si>
    <t>F244455</t>
  </si>
  <si>
    <t>TR-100676</t>
  </si>
  <si>
    <t>F889614</t>
  </si>
  <si>
    <t>TR-100677</t>
  </si>
  <si>
    <t>F647108</t>
  </si>
  <si>
    <t>TR-100678</t>
  </si>
  <si>
    <t>F437548</t>
  </si>
  <si>
    <t>TR-100679</t>
  </si>
  <si>
    <t>F845937</t>
  </si>
  <si>
    <t>RE-100641</t>
  </si>
  <si>
    <t>F997437</t>
  </si>
  <si>
    <t>RE-100642</t>
  </si>
  <si>
    <t>F326634</t>
  </si>
  <si>
    <t>CH-100598</t>
  </si>
  <si>
    <t>F953536</t>
  </si>
  <si>
    <t>TR-100680</t>
  </si>
  <si>
    <t>F576076</t>
  </si>
  <si>
    <t>TR-100681</t>
  </si>
  <si>
    <t>F329412</t>
  </si>
  <si>
    <t>CH-100599</t>
  </si>
  <si>
    <t>F312882</t>
  </si>
  <si>
    <t>CH-100600</t>
  </si>
  <si>
    <t>F422066</t>
  </si>
  <si>
    <t>TR-100682</t>
  </si>
  <si>
    <t>F881216</t>
  </si>
  <si>
    <t>RE-100643</t>
  </si>
  <si>
    <t>F574628</t>
  </si>
  <si>
    <t>CH-100601</t>
  </si>
  <si>
    <t>F322367</t>
  </si>
  <si>
    <t>RE-100644</t>
  </si>
  <si>
    <t>F385830</t>
  </si>
  <si>
    <t>CH-100602</t>
  </si>
  <si>
    <t>F303352</t>
  </si>
  <si>
    <t>CH-100603</t>
  </si>
  <si>
    <t>F736955</t>
  </si>
  <si>
    <t>CH-100604</t>
  </si>
  <si>
    <t>F361036</t>
  </si>
  <si>
    <t>RE-100645</t>
  </si>
  <si>
    <t>F379108</t>
  </si>
  <si>
    <t>RE-100646</t>
  </si>
  <si>
    <t>F833491</t>
  </si>
  <si>
    <t>TR-100683</t>
  </si>
  <si>
    <t>F964098</t>
  </si>
  <si>
    <t>TR-100684</t>
  </si>
  <si>
    <t>F464519</t>
  </si>
  <si>
    <t>TR-100685</t>
  </si>
  <si>
    <t>F294069</t>
  </si>
  <si>
    <t>TR-100686</t>
  </si>
  <si>
    <t>F821353</t>
  </si>
  <si>
    <t>RE-100647</t>
  </si>
  <si>
    <t>F448290</t>
  </si>
  <si>
    <t>CH-100605</t>
  </si>
  <si>
    <t>F450281</t>
  </si>
  <si>
    <t>RE-100648</t>
  </si>
  <si>
    <t>F812195</t>
  </si>
  <si>
    <t>RE-100649</t>
  </si>
  <si>
    <t>F595523</t>
  </si>
  <si>
    <t>RE-100650</t>
  </si>
  <si>
    <t>F975937</t>
  </si>
  <si>
    <t>RE-100651</t>
  </si>
  <si>
    <t>F204849</t>
  </si>
  <si>
    <t>CH-100606</t>
  </si>
  <si>
    <t>F672223</t>
  </si>
  <si>
    <t>CH-100607</t>
  </si>
  <si>
    <t>F844653</t>
  </si>
  <si>
    <t>CH-100608</t>
  </si>
  <si>
    <t>F863589</t>
  </si>
  <si>
    <t>TR-100687</t>
  </si>
  <si>
    <t>F248513</t>
  </si>
  <si>
    <t>CH-100609</t>
  </si>
  <si>
    <t>F551643</t>
  </si>
  <si>
    <t>CH-100610</t>
  </si>
  <si>
    <t>F769760</t>
  </si>
  <si>
    <t>RE-100652</t>
  </si>
  <si>
    <t>F571093</t>
  </si>
  <si>
    <t>TR-100688</t>
  </si>
  <si>
    <t>F389666</t>
  </si>
  <si>
    <t>CH-100611</t>
  </si>
  <si>
    <t>F974692</t>
  </si>
  <si>
    <t>TR-100689</t>
  </si>
  <si>
    <t>F402418</t>
  </si>
  <si>
    <t>RE-100653</t>
  </si>
  <si>
    <t>F648600</t>
  </si>
  <si>
    <t>CH-100612</t>
  </si>
  <si>
    <t>F167755</t>
  </si>
  <si>
    <t>CH-100613</t>
  </si>
  <si>
    <t>F229431</t>
  </si>
  <si>
    <t>RE-100654</t>
  </si>
  <si>
    <t>F974627</t>
  </si>
  <si>
    <t>RE-100655</t>
  </si>
  <si>
    <t>F923408</t>
  </si>
  <si>
    <t>TR-100690</t>
  </si>
  <si>
    <t>F847841</t>
  </si>
  <si>
    <t>CH-100614</t>
  </si>
  <si>
    <t>F404928</t>
  </si>
  <si>
    <t>RE-100656</t>
  </si>
  <si>
    <t>F767989</t>
  </si>
  <si>
    <t>CH-100615</t>
  </si>
  <si>
    <t>F726040</t>
  </si>
  <si>
    <t>CH-100616</t>
  </si>
  <si>
    <t>F943453</t>
  </si>
  <si>
    <t>TR-100691</t>
  </si>
  <si>
    <t>F309215</t>
  </si>
  <si>
    <t>CH-100617</t>
  </si>
  <si>
    <t>F583555</t>
  </si>
  <si>
    <t>TR-100692</t>
  </si>
  <si>
    <t>F563367</t>
  </si>
  <si>
    <t>TR-100693</t>
  </si>
  <si>
    <t>F471399</t>
  </si>
  <si>
    <t>CH-100618</t>
  </si>
  <si>
    <t>F127705</t>
  </si>
  <si>
    <t>CH-100619</t>
  </si>
  <si>
    <t>F924843</t>
  </si>
  <si>
    <t>RE-100657</t>
  </si>
  <si>
    <t>F693047</t>
  </si>
  <si>
    <t>CH-100620</t>
  </si>
  <si>
    <t>F106242</t>
  </si>
  <si>
    <t>CH-100621</t>
  </si>
  <si>
    <t>F157349</t>
  </si>
  <si>
    <t>CH-100622</t>
  </si>
  <si>
    <t>F404691</t>
  </si>
  <si>
    <t>TR-100694</t>
  </si>
  <si>
    <t>F876442</t>
  </si>
  <si>
    <t>TR-100695</t>
  </si>
  <si>
    <t>F251154</t>
  </si>
  <si>
    <t>TR-100696</t>
  </si>
  <si>
    <t>F770740</t>
  </si>
  <si>
    <t>RE-100658</t>
  </si>
  <si>
    <t>F944750</t>
  </si>
  <si>
    <t>CH-100623</t>
  </si>
  <si>
    <t>F733120</t>
  </si>
  <si>
    <t>RE-100659</t>
  </si>
  <si>
    <t>F125854</t>
  </si>
  <si>
    <t>TR-100697</t>
  </si>
  <si>
    <t>F524209</t>
  </si>
  <si>
    <t>CH-100624</t>
  </si>
  <si>
    <t>F961600</t>
  </si>
  <si>
    <t>TR-100698</t>
  </si>
  <si>
    <t>F253350</t>
  </si>
  <si>
    <t>TR-100699</t>
  </si>
  <si>
    <t>F352373</t>
  </si>
  <si>
    <t>RE-100660</t>
  </si>
  <si>
    <t>F603805</t>
  </si>
  <si>
    <t>CH-100625</t>
  </si>
  <si>
    <t>F485183</t>
  </si>
  <si>
    <t>TR-100700</t>
  </si>
  <si>
    <t>F586501</t>
  </si>
  <si>
    <t>CH-100626</t>
  </si>
  <si>
    <t>F691616</t>
  </si>
  <si>
    <t>CH-100627</t>
  </si>
  <si>
    <t>F789115</t>
  </si>
  <si>
    <t>TR-100701</t>
  </si>
  <si>
    <t>F858188</t>
  </si>
  <si>
    <t>CH-100628</t>
  </si>
  <si>
    <t>F321018</t>
  </si>
  <si>
    <t>CH-100629</t>
  </si>
  <si>
    <t>F787781</t>
  </si>
  <si>
    <t>RE-100661</t>
  </si>
  <si>
    <t>F924911</t>
  </si>
  <si>
    <t>RE-100662</t>
  </si>
  <si>
    <t>F171523</t>
  </si>
  <si>
    <t>TR-100702</t>
  </si>
  <si>
    <t>F842916</t>
  </si>
  <si>
    <t>TR-100703</t>
  </si>
  <si>
    <t>F708934</t>
  </si>
  <si>
    <t>CH-100630</t>
  </si>
  <si>
    <t>F266911</t>
  </si>
  <si>
    <t>RE-100663</t>
  </si>
  <si>
    <t>F599555</t>
  </si>
  <si>
    <t>CH-100631</t>
  </si>
  <si>
    <t>F863534</t>
  </si>
  <si>
    <t>CH-100632</t>
  </si>
  <si>
    <t>F362651</t>
  </si>
  <si>
    <t>RE-100664</t>
  </si>
  <si>
    <t>F735996</t>
  </si>
  <si>
    <t>TR-100704</t>
  </si>
  <si>
    <t>F495972</t>
  </si>
  <si>
    <t>RE-100665</t>
  </si>
  <si>
    <t>F614958</t>
  </si>
  <si>
    <t>CH-100633</t>
  </si>
  <si>
    <t>F953370</t>
  </si>
  <si>
    <t>TR-100705</t>
  </si>
  <si>
    <t>F801138</t>
  </si>
  <si>
    <t>RE-100666</t>
  </si>
  <si>
    <t>F912002</t>
  </si>
  <si>
    <t>CH-100634</t>
  </si>
  <si>
    <t>F865436</t>
  </si>
  <si>
    <t>TR-100706</t>
  </si>
  <si>
    <t>F698076</t>
  </si>
  <si>
    <t>CH-100635</t>
  </si>
  <si>
    <t>F994877</t>
  </si>
  <si>
    <t>RE-100667</t>
  </si>
  <si>
    <t>F174310</t>
  </si>
  <si>
    <t>TR-100707</t>
  </si>
  <si>
    <t>F622937</t>
  </si>
  <si>
    <t>RE-100668</t>
  </si>
  <si>
    <t>F968376</t>
  </si>
  <si>
    <t>CH-100636</t>
  </si>
  <si>
    <t>F402062</t>
  </si>
  <si>
    <t>RE-100669</t>
  </si>
  <si>
    <t>F427406</t>
  </si>
  <si>
    <t>CH-100637</t>
  </si>
  <si>
    <t>F711081</t>
  </si>
  <si>
    <t>CH-100638</t>
  </si>
  <si>
    <t>F541875</t>
  </si>
  <si>
    <t>CH-100639</t>
  </si>
  <si>
    <t>F956437</t>
  </si>
  <si>
    <t>TR-100708</t>
  </si>
  <si>
    <t>F739633</t>
  </si>
  <si>
    <t>TR-100709</t>
  </si>
  <si>
    <t>F727203</t>
  </si>
  <si>
    <t>TR-100710</t>
  </si>
  <si>
    <t>F235753</t>
  </si>
  <si>
    <t>CH-100640</t>
  </si>
  <si>
    <t>F552476</t>
  </si>
  <si>
    <t>CH-100641</t>
  </si>
  <si>
    <t>F660134</t>
  </si>
  <si>
    <t>TR-100711</t>
  </si>
  <si>
    <t>F605595</t>
  </si>
  <si>
    <t>RE-100670</t>
  </si>
  <si>
    <t>F547567</t>
  </si>
  <si>
    <t>TR-100712</t>
  </si>
  <si>
    <t>F485570</t>
  </si>
  <si>
    <t>CH-100642</t>
  </si>
  <si>
    <t>F343304</t>
  </si>
  <si>
    <t>RE-100671</t>
  </si>
  <si>
    <t>F695642</t>
  </si>
  <si>
    <t>RE-100672</t>
  </si>
  <si>
    <t>F159646</t>
  </si>
  <si>
    <t>RE-100673</t>
  </si>
  <si>
    <t>F429384</t>
  </si>
  <si>
    <t>CH-100643</t>
  </si>
  <si>
    <t>F735566</t>
  </si>
  <si>
    <t>CH-100644</t>
  </si>
  <si>
    <t>F362352</t>
  </si>
  <si>
    <t>TR-100713</t>
  </si>
  <si>
    <t>F565087</t>
  </si>
  <si>
    <t>TR-100714</t>
  </si>
  <si>
    <t>F785395</t>
  </si>
  <si>
    <t>RE-100674</t>
  </si>
  <si>
    <t>F209448</t>
  </si>
  <si>
    <t>RE-100675</t>
  </si>
  <si>
    <t>F609825</t>
  </si>
  <si>
    <t>CH-100645</t>
  </si>
  <si>
    <t>F341734</t>
  </si>
  <si>
    <t>CH-100646</t>
  </si>
  <si>
    <t>F926215</t>
  </si>
  <si>
    <t>RE-100676</t>
  </si>
  <si>
    <t>F901313</t>
  </si>
  <si>
    <t>CH-100647</t>
  </si>
  <si>
    <t>F967359</t>
  </si>
  <si>
    <t>RE-100677</t>
  </si>
  <si>
    <t>F503348</t>
  </si>
  <si>
    <t>CH-100648</t>
  </si>
  <si>
    <t>F552025</t>
  </si>
  <si>
    <t>TR-100715</t>
  </si>
  <si>
    <t>F127254</t>
  </si>
  <si>
    <t>TR-100716</t>
  </si>
  <si>
    <t>F894036</t>
  </si>
  <si>
    <t>RE-100678</t>
  </si>
  <si>
    <t>F871137</t>
  </si>
  <si>
    <t>RE-100679</t>
  </si>
  <si>
    <t>F401380</t>
  </si>
  <si>
    <t>TR-100717</t>
  </si>
  <si>
    <t>F372735</t>
  </si>
  <si>
    <t>RE-100680</t>
  </si>
  <si>
    <t>F238278</t>
  </si>
  <si>
    <t>RE-100681</t>
  </si>
  <si>
    <t>F362073</t>
  </si>
  <si>
    <t>TR-100718</t>
  </si>
  <si>
    <t>F387592</t>
  </si>
  <si>
    <t>CH-100649</t>
  </si>
  <si>
    <t>F112938</t>
  </si>
  <si>
    <t>RE-100682</t>
  </si>
  <si>
    <t>F988765</t>
  </si>
  <si>
    <t>RE-100683</t>
  </si>
  <si>
    <t>F138801</t>
  </si>
  <si>
    <t>CH-100650</t>
  </si>
  <si>
    <t>F183410</t>
  </si>
  <si>
    <t>CH-100651</t>
  </si>
  <si>
    <t>F288538</t>
  </si>
  <si>
    <t>CH-100652</t>
  </si>
  <si>
    <t>F338466</t>
  </si>
  <si>
    <t>TR-100719</t>
  </si>
  <si>
    <t>F220005</t>
  </si>
  <si>
    <t>TR-100720</t>
  </si>
  <si>
    <t>F708059</t>
  </si>
  <si>
    <t>CH-100653</t>
  </si>
  <si>
    <t>F811341</t>
  </si>
  <si>
    <t>CH-100654</t>
  </si>
  <si>
    <t>F214466</t>
  </si>
  <si>
    <t>RE-100684</t>
  </si>
  <si>
    <t>F313953</t>
  </si>
  <si>
    <t>CH-100655</t>
  </si>
  <si>
    <t>F547191</t>
  </si>
  <si>
    <t>CH-100656</t>
  </si>
  <si>
    <t>F451258</t>
  </si>
  <si>
    <t>CH-100657</t>
  </si>
  <si>
    <t>F752126</t>
  </si>
  <si>
    <t>RE-100685</t>
  </si>
  <si>
    <t>F719946</t>
  </si>
  <si>
    <t>RE-100686</t>
  </si>
  <si>
    <t>F632867</t>
  </si>
  <si>
    <t>TR-100721</t>
  </si>
  <si>
    <t>F788976</t>
  </si>
  <si>
    <t>TR-100722</t>
  </si>
  <si>
    <t>F692867</t>
  </si>
  <si>
    <t>TR-100723</t>
  </si>
  <si>
    <t>F868654</t>
  </si>
  <si>
    <t>RE-100687</t>
  </si>
  <si>
    <t>F645611</t>
  </si>
  <si>
    <t>CH-100658</t>
  </si>
  <si>
    <t>F355882</t>
  </si>
  <si>
    <t>CH-100659</t>
  </si>
  <si>
    <t>F221023</t>
  </si>
  <si>
    <t>TR-100724</t>
  </si>
  <si>
    <t>F687681</t>
  </si>
  <si>
    <t>TR-100725</t>
  </si>
  <si>
    <t>F570777</t>
  </si>
  <si>
    <t>CH-100660</t>
  </si>
  <si>
    <t>F914165</t>
  </si>
  <si>
    <t>CH-100661</t>
  </si>
  <si>
    <t>F458163</t>
  </si>
  <si>
    <t>CH-100662</t>
  </si>
  <si>
    <t>F703992</t>
  </si>
  <si>
    <t>CH-100663</t>
  </si>
  <si>
    <t>F274872</t>
  </si>
  <si>
    <t>RE-100688</t>
  </si>
  <si>
    <t>F205901</t>
  </si>
  <si>
    <t>RE-100689</t>
  </si>
  <si>
    <t>F238808</t>
  </si>
  <si>
    <t>TR-100726</t>
  </si>
  <si>
    <t>F521860</t>
  </si>
  <si>
    <t>TR-100727</t>
  </si>
  <si>
    <t>F964776</t>
  </si>
  <si>
    <t>CH-100664</t>
  </si>
  <si>
    <t>F147435</t>
  </si>
  <si>
    <t>RE-100690</t>
  </si>
  <si>
    <t>F761475</t>
  </si>
  <si>
    <t>CH-100665</t>
  </si>
  <si>
    <t>F241144</t>
  </si>
  <si>
    <t>TR-100728</t>
  </si>
  <si>
    <t>F187859</t>
  </si>
  <si>
    <t>RE-100691</t>
  </si>
  <si>
    <t>F575557</t>
  </si>
  <si>
    <t>CH-100666</t>
  </si>
  <si>
    <t>F392866</t>
  </si>
  <si>
    <t>RE-100692</t>
  </si>
  <si>
    <t>F642824</t>
  </si>
  <si>
    <t>TR-100729</t>
  </si>
  <si>
    <t>F434053</t>
  </si>
  <si>
    <t>RE-100693</t>
  </si>
  <si>
    <t>F866493</t>
  </si>
  <si>
    <t>RE-100694</t>
  </si>
  <si>
    <t>F429638</t>
  </si>
  <si>
    <t>RE-100695</t>
  </si>
  <si>
    <t>F610274</t>
  </si>
  <si>
    <t>CH-100667</t>
  </si>
  <si>
    <t>F735615</t>
  </si>
  <si>
    <t>RE-100696</t>
  </si>
  <si>
    <t>F678985</t>
  </si>
  <si>
    <t>TR-100730</t>
  </si>
  <si>
    <t>F666052</t>
  </si>
  <si>
    <t>TR-100731</t>
  </si>
  <si>
    <t>F313008</t>
  </si>
  <si>
    <t>CH-100668</t>
  </si>
  <si>
    <t>F232307</t>
  </si>
  <si>
    <t>CH-100669</t>
  </si>
  <si>
    <t>F565992</t>
  </si>
  <si>
    <t>CH-100670</t>
  </si>
  <si>
    <t>F867173</t>
  </si>
  <si>
    <t>TR-100732</t>
  </si>
  <si>
    <t>F931856</t>
  </si>
  <si>
    <t>RE-100697</t>
  </si>
  <si>
    <t>F575491</t>
  </si>
  <si>
    <t>TR-100733</t>
  </si>
  <si>
    <t>F430102</t>
  </si>
  <si>
    <t>RE-100698</t>
  </si>
  <si>
    <t>F793245</t>
  </si>
  <si>
    <t>TR-100734</t>
  </si>
  <si>
    <t>F243523</t>
  </si>
  <si>
    <t>TR-100735</t>
  </si>
  <si>
    <t>F592951</t>
  </si>
  <si>
    <t>RE-100699</t>
  </si>
  <si>
    <t>F765607</t>
  </si>
  <si>
    <t>RE-100700</t>
  </si>
  <si>
    <t>F740907</t>
  </si>
  <si>
    <t>RE-100701</t>
  </si>
  <si>
    <t>F498763</t>
  </si>
  <si>
    <t>TR-100736</t>
  </si>
  <si>
    <t>F414678</t>
  </si>
  <si>
    <t>RE-100702</t>
  </si>
  <si>
    <t>F511262</t>
  </si>
  <si>
    <t>TR-100737</t>
  </si>
  <si>
    <t>F217825</t>
  </si>
  <si>
    <t>CH-100671</t>
  </si>
  <si>
    <t>F221445</t>
  </si>
  <si>
    <t>RE-100703</t>
  </si>
  <si>
    <t>F830824</t>
  </si>
  <si>
    <t>CH-100672</t>
  </si>
  <si>
    <t>F730255</t>
  </si>
  <si>
    <t>CH-100673</t>
  </si>
  <si>
    <t>F325555</t>
  </si>
  <si>
    <t>CH-100674</t>
  </si>
  <si>
    <t>F510389</t>
  </si>
  <si>
    <t>CH-100675</t>
  </si>
  <si>
    <t>F609089</t>
  </si>
  <si>
    <t>TR-100738</t>
  </si>
  <si>
    <t>F332060</t>
  </si>
  <si>
    <t>TR-100739</t>
  </si>
  <si>
    <t>F743095</t>
  </si>
  <si>
    <t>TR-100740</t>
  </si>
  <si>
    <t>F122143</t>
  </si>
  <si>
    <t>CH-100676</t>
  </si>
  <si>
    <t>F166547</t>
  </si>
  <si>
    <t>TR-100741</t>
  </si>
  <si>
    <t>F264618</t>
  </si>
  <si>
    <t>TR-100742</t>
  </si>
  <si>
    <t>F492041</t>
  </si>
  <si>
    <t>CH-100677</t>
  </si>
  <si>
    <t>F986552</t>
  </si>
  <si>
    <t>RE-100704</t>
  </si>
  <si>
    <t>F396841</t>
  </si>
  <si>
    <t>CH-100678</t>
  </si>
  <si>
    <t>F135418</t>
  </si>
  <si>
    <t>CH-100679</t>
  </si>
  <si>
    <t>F383114</t>
  </si>
  <si>
    <t>RE-100705</t>
  </si>
  <si>
    <t>F535557</t>
  </si>
  <si>
    <t>RE-100706</t>
  </si>
  <si>
    <t>F871619</t>
  </si>
  <si>
    <t>TR-100743</t>
  </si>
  <si>
    <t>F922892</t>
  </si>
  <si>
    <t>CH-100680</t>
  </si>
  <si>
    <t>F204521</t>
  </si>
  <si>
    <t>CH-100681</t>
  </si>
  <si>
    <t>F197582</t>
  </si>
  <si>
    <t>RE-100707</t>
  </si>
  <si>
    <t>F837022</t>
  </si>
  <si>
    <t>TR-100744</t>
  </si>
  <si>
    <t>F862899</t>
  </si>
  <si>
    <t>CH-100682</t>
  </si>
  <si>
    <t>F705950</t>
  </si>
  <si>
    <t>RE-100708</t>
  </si>
  <si>
    <t>F690509</t>
  </si>
  <si>
    <t>RE-100709</t>
  </si>
  <si>
    <t>F187697</t>
  </si>
  <si>
    <t>RE-100710</t>
  </si>
  <si>
    <t>F722234</t>
  </si>
  <si>
    <t>RE-100711</t>
  </si>
  <si>
    <t>F858154</t>
  </si>
  <si>
    <t>TR-100745</t>
  </si>
  <si>
    <t>F426584</t>
  </si>
  <si>
    <t>TR-100746</t>
  </si>
  <si>
    <t>F692772</t>
  </si>
  <si>
    <t>TR-100747</t>
  </si>
  <si>
    <t>F891714</t>
  </si>
  <si>
    <t>TR-100748</t>
  </si>
  <si>
    <t>F347190</t>
  </si>
  <si>
    <t>CH-100683</t>
  </si>
  <si>
    <t>F868678</t>
  </si>
  <si>
    <t>RE-100712</t>
  </si>
  <si>
    <t>F893653</t>
  </si>
  <si>
    <t>RE-100713</t>
  </si>
  <si>
    <t>F219185</t>
  </si>
  <si>
    <t>RE-100714</t>
  </si>
  <si>
    <t>F610859</t>
  </si>
  <si>
    <t>RE-100715</t>
  </si>
  <si>
    <t>F223295</t>
  </si>
  <si>
    <t>CH-100684</t>
  </si>
  <si>
    <t>F489684</t>
  </si>
  <si>
    <t>TR-100749</t>
  </si>
  <si>
    <t>F314393</t>
  </si>
  <si>
    <t>TR-100750</t>
  </si>
  <si>
    <t>F585365</t>
  </si>
  <si>
    <t>RE-100716</t>
  </si>
  <si>
    <t>F596889</t>
  </si>
  <si>
    <t>RE-100717</t>
  </si>
  <si>
    <t>F105874</t>
  </si>
  <si>
    <t>CH-100685</t>
  </si>
  <si>
    <t>F199315</t>
  </si>
  <si>
    <t>RE-100718</t>
  </si>
  <si>
    <t>F337009</t>
  </si>
  <si>
    <t>CH-100686</t>
  </si>
  <si>
    <t>F712859</t>
  </si>
  <si>
    <t>TR-100751</t>
  </si>
  <si>
    <t>F312429</t>
  </si>
  <si>
    <t>RE-100719</t>
  </si>
  <si>
    <t>F691040</t>
  </si>
  <si>
    <t>RE-100720</t>
  </si>
  <si>
    <t>F446198</t>
  </si>
  <si>
    <t>TR-100752</t>
  </si>
  <si>
    <t>F873078</t>
  </si>
  <si>
    <t>TR-100753</t>
  </si>
  <si>
    <t>F326957</t>
  </si>
  <si>
    <t>RE-100721</t>
  </si>
  <si>
    <t>F100258</t>
  </si>
  <si>
    <t>CH-100687</t>
  </si>
  <si>
    <t>TR-100754</t>
  </si>
  <si>
    <t>F352468</t>
  </si>
  <si>
    <t>TR-100755</t>
  </si>
  <si>
    <t>F426905</t>
  </si>
  <si>
    <t>TR-100756</t>
  </si>
  <si>
    <t>F274185</t>
  </si>
  <si>
    <t>TR-100757</t>
  </si>
  <si>
    <t>F563100</t>
  </si>
  <si>
    <t>CH-100688</t>
  </si>
  <si>
    <t>F556564</t>
  </si>
  <si>
    <t>TR-100758</t>
  </si>
  <si>
    <t>F908184</t>
  </si>
  <si>
    <t>TR-100759</t>
  </si>
  <si>
    <t>F300261</t>
  </si>
  <si>
    <t>CH-100689</t>
  </si>
  <si>
    <t>F651553</t>
  </si>
  <si>
    <t>RE-100722</t>
  </si>
  <si>
    <t>F366086</t>
  </si>
  <si>
    <t>TR-100760</t>
  </si>
  <si>
    <t>F772844</t>
  </si>
  <si>
    <t>CH-100690</t>
  </si>
  <si>
    <t>F755643</t>
  </si>
  <si>
    <t>RE-100723</t>
  </si>
  <si>
    <t>F737058</t>
  </si>
  <si>
    <t>TR-100761</t>
  </si>
  <si>
    <t>F140048</t>
  </si>
  <si>
    <t>CH-100691</t>
  </si>
  <si>
    <t>F992278</t>
  </si>
  <si>
    <t>RE-100724</t>
  </si>
  <si>
    <t>F845108</t>
  </si>
  <si>
    <t>RE-100725</t>
  </si>
  <si>
    <t>F786927</t>
  </si>
  <si>
    <t>TR-100762</t>
  </si>
  <si>
    <t>F431853</t>
  </si>
  <si>
    <t>TR-100763</t>
  </si>
  <si>
    <t>F641422</t>
  </si>
  <si>
    <t>RE-100726</t>
  </si>
  <si>
    <t>F965125</t>
  </si>
  <si>
    <t>TR-100764</t>
  </si>
  <si>
    <t>F388909</t>
  </si>
  <si>
    <t>TR-100765</t>
  </si>
  <si>
    <t>F883106</t>
  </si>
  <si>
    <t>RE-100727</t>
  </si>
  <si>
    <t>F588900</t>
  </si>
  <si>
    <t>TR-100766</t>
  </si>
  <si>
    <t>F221909</t>
  </si>
  <si>
    <t>RE-100728</t>
  </si>
  <si>
    <t>F757063</t>
  </si>
  <si>
    <t>RE-100729</t>
  </si>
  <si>
    <t>F185222</t>
  </si>
  <si>
    <t>TR-100767</t>
  </si>
  <si>
    <t>F300368</t>
  </si>
  <si>
    <t>TR-100768</t>
  </si>
  <si>
    <t>F392514</t>
  </si>
  <si>
    <t>RE-100730</t>
  </si>
  <si>
    <t>F386050</t>
  </si>
  <si>
    <t>RE-100731</t>
  </si>
  <si>
    <t>F196901</t>
  </si>
  <si>
    <t>CH-100692</t>
  </si>
  <si>
    <t>F820413</t>
  </si>
  <si>
    <t>RE-100732</t>
  </si>
  <si>
    <t>F696337</t>
  </si>
  <si>
    <t>RE-100733</t>
  </si>
  <si>
    <t>F934951</t>
  </si>
  <si>
    <t>CH-100693</t>
  </si>
  <si>
    <t>F970168</t>
  </si>
  <si>
    <t>TR-100769</t>
  </si>
  <si>
    <t>F132975</t>
  </si>
  <si>
    <t>RE-100734</t>
  </si>
  <si>
    <t>F589943</t>
  </si>
  <si>
    <t>TR-100770</t>
  </si>
  <si>
    <t>F135494</t>
  </si>
  <si>
    <t>CH-100694</t>
  </si>
  <si>
    <t>F266461</t>
  </si>
  <si>
    <t>CH-100695</t>
  </si>
  <si>
    <t>F475394</t>
  </si>
  <si>
    <t>CH-100696</t>
  </si>
  <si>
    <t>F560333</t>
  </si>
  <si>
    <t>TR-100771</t>
  </si>
  <si>
    <t>F518731</t>
  </si>
  <si>
    <t>CH-100697</t>
  </si>
  <si>
    <t>F520639</t>
  </si>
  <si>
    <t>CH-100698</t>
  </si>
  <si>
    <t>F213094</t>
  </si>
  <si>
    <t>CH-100699</t>
  </si>
  <si>
    <t>F271993</t>
  </si>
  <si>
    <t>TR-100772</t>
  </si>
  <si>
    <t>F649543</t>
  </si>
  <si>
    <t>RE-100735</t>
  </si>
  <si>
    <t>F156413</t>
  </si>
  <si>
    <t>RE-100736</t>
  </si>
  <si>
    <t>F515229</t>
  </si>
  <si>
    <t>RE-100737</t>
  </si>
  <si>
    <t>F415917</t>
  </si>
  <si>
    <t>CH-100700</t>
  </si>
  <si>
    <t>F194546</t>
  </si>
  <si>
    <t>TR-100773</t>
  </si>
  <si>
    <t>F105184</t>
  </si>
  <si>
    <t>CH-100701</t>
  </si>
  <si>
    <t>F513188</t>
  </si>
  <si>
    <t>TR-100774</t>
  </si>
  <si>
    <t>F840529</t>
  </si>
  <si>
    <t>RE-100738</t>
  </si>
  <si>
    <t>F240012</t>
  </si>
  <si>
    <t>CH-100702</t>
  </si>
  <si>
    <t>F512982</t>
  </si>
  <si>
    <t>TR-100775</t>
  </si>
  <si>
    <t>F128202</t>
  </si>
  <si>
    <t>RE-100739</t>
  </si>
  <si>
    <t>F456359</t>
  </si>
  <si>
    <t>TR-100776</t>
  </si>
  <si>
    <t>F776936</t>
  </si>
  <si>
    <t>RE-100740</t>
  </si>
  <si>
    <t>F556550</t>
  </si>
  <si>
    <t>RE-100741</t>
  </si>
  <si>
    <t>F398806</t>
  </si>
  <si>
    <t>CH-100703</t>
  </si>
  <si>
    <t>F288238</t>
  </si>
  <si>
    <t>RE-100742</t>
  </si>
  <si>
    <t>F945392</t>
  </si>
  <si>
    <t>RE-100743</t>
  </si>
  <si>
    <t>F942583</t>
  </si>
  <si>
    <t>RE-100744</t>
  </si>
  <si>
    <t>F819636</t>
  </si>
  <si>
    <t>CH-100704</t>
  </si>
  <si>
    <t>F542978</t>
  </si>
  <si>
    <t>RE-100745</t>
  </si>
  <si>
    <t>CH-100705</t>
  </si>
  <si>
    <t>F482585</t>
  </si>
  <si>
    <t>RE-100746</t>
  </si>
  <si>
    <t>F807494</t>
  </si>
  <si>
    <t>RE-100747</t>
  </si>
  <si>
    <t>F639907</t>
  </si>
  <si>
    <t>TR-100777</t>
  </si>
  <si>
    <t>F141779</t>
  </si>
  <si>
    <t>RE-100748</t>
  </si>
  <si>
    <t>F487235</t>
  </si>
  <si>
    <t>CH-100706</t>
  </si>
  <si>
    <t>F669113</t>
  </si>
  <si>
    <t>CH-100707</t>
  </si>
  <si>
    <t>F440401</t>
  </si>
  <si>
    <t>CH-100708</t>
  </si>
  <si>
    <t>F657075</t>
  </si>
  <si>
    <t>TR-100778</t>
  </si>
  <si>
    <t>F232177</t>
  </si>
  <si>
    <t>TR-100779</t>
  </si>
  <si>
    <t>F462163</t>
  </si>
  <si>
    <t>CH-100709</t>
  </si>
  <si>
    <t>F960341</t>
  </si>
  <si>
    <t>TR-100780</t>
  </si>
  <si>
    <t>F140147</t>
  </si>
  <si>
    <t>RE-100749</t>
  </si>
  <si>
    <t>F182590</t>
  </si>
  <si>
    <t>CH-100710</t>
  </si>
  <si>
    <t>F883041</t>
  </si>
  <si>
    <t>CH-100711</t>
  </si>
  <si>
    <t>F222080</t>
  </si>
  <si>
    <t>RE-100750</t>
  </si>
  <si>
    <t>F995739</t>
  </si>
  <si>
    <t>RE-100751</t>
  </si>
  <si>
    <t>F558170</t>
  </si>
  <si>
    <t>CH-100712</t>
  </si>
  <si>
    <t>F518036</t>
  </si>
  <si>
    <t>RE-100752</t>
  </si>
  <si>
    <t>F119628</t>
  </si>
  <si>
    <t>CH-100713</t>
  </si>
  <si>
    <t>F928645</t>
  </si>
  <si>
    <t>TR-100781</t>
  </si>
  <si>
    <t>F440377</t>
  </si>
  <si>
    <t>RE-100753</t>
  </si>
  <si>
    <t>F967146</t>
  </si>
  <si>
    <t>CH-100714</t>
  </si>
  <si>
    <t>F684745</t>
  </si>
  <si>
    <t>RE-100754</t>
  </si>
  <si>
    <t>F259151</t>
  </si>
  <si>
    <t>CH-100715</t>
  </si>
  <si>
    <t>F509008</t>
  </si>
  <si>
    <t>CH-100716</t>
  </si>
  <si>
    <t>F762054</t>
  </si>
  <si>
    <t>CH-100717</t>
  </si>
  <si>
    <t>F655317</t>
  </si>
  <si>
    <t>CH-100718</t>
  </si>
  <si>
    <t>F131000</t>
  </si>
  <si>
    <t>RE-100755</t>
  </si>
  <si>
    <t>F552492</t>
  </si>
  <si>
    <t>CH-100719</t>
  </si>
  <si>
    <t>F346120</t>
  </si>
  <si>
    <t>CH-100720</t>
  </si>
  <si>
    <t>F514973</t>
  </si>
  <si>
    <t>RE-100756</t>
  </si>
  <si>
    <t>F266846</t>
  </si>
  <si>
    <t>TR-100782</t>
  </si>
  <si>
    <t>F538493</t>
  </si>
  <si>
    <t>TR-100783</t>
  </si>
  <si>
    <t>F763877</t>
  </si>
  <si>
    <t>TR-100784</t>
  </si>
  <si>
    <t>F523589</t>
  </si>
  <si>
    <t>CH-100721</t>
  </si>
  <si>
    <t>F286255</t>
  </si>
  <si>
    <t>CH-100722</t>
  </si>
  <si>
    <t>F788065</t>
  </si>
  <si>
    <t>RE-100757</t>
  </si>
  <si>
    <t>F538409</t>
  </si>
  <si>
    <t>CH-100723</t>
  </si>
  <si>
    <t>F739323</t>
  </si>
  <si>
    <t>TR-100785</t>
  </si>
  <si>
    <t>F528631</t>
  </si>
  <si>
    <t>RE-100758</t>
  </si>
  <si>
    <t>F594837</t>
  </si>
  <si>
    <t>TR-100786</t>
  </si>
  <si>
    <t>F928249</t>
  </si>
  <si>
    <t>TR-100787</t>
  </si>
  <si>
    <t>F580005</t>
  </si>
  <si>
    <t>CH-100724</t>
  </si>
  <si>
    <t>F309490</t>
  </si>
  <si>
    <t>CH-100725</t>
  </si>
  <si>
    <t>F705659</t>
  </si>
  <si>
    <t>CH-100726</t>
  </si>
  <si>
    <t>F935456</t>
  </si>
  <si>
    <t>RE-100759</t>
  </si>
  <si>
    <t>F447350</t>
  </si>
  <si>
    <t>RE-100760</t>
  </si>
  <si>
    <t>F815153</t>
  </si>
  <si>
    <t>TR-100788</t>
  </si>
  <si>
    <t>F173783</t>
  </si>
  <si>
    <t>CH-100727</t>
  </si>
  <si>
    <t>F778522</t>
  </si>
  <si>
    <t>TR-100789</t>
  </si>
  <si>
    <t>F407194</t>
  </si>
  <si>
    <t>CH-100728</t>
  </si>
  <si>
    <t>F636409</t>
  </si>
  <si>
    <t>TR-100790</t>
  </si>
  <si>
    <t>F253075</t>
  </si>
  <si>
    <t>CH-100729</t>
  </si>
  <si>
    <t>F277160</t>
  </si>
  <si>
    <t>CH-100730</t>
  </si>
  <si>
    <t>F934197</t>
  </si>
  <si>
    <t>CH-100731</t>
  </si>
  <si>
    <t>F177667</t>
  </si>
  <si>
    <t>CH-100732</t>
  </si>
  <si>
    <t>F459077</t>
  </si>
  <si>
    <t>CH-100733</t>
  </si>
  <si>
    <t>F370450</t>
  </si>
  <si>
    <t>TR-100791</t>
  </si>
  <si>
    <t>F127200</t>
  </si>
  <si>
    <t>RE-100761</t>
  </si>
  <si>
    <t>F850609</t>
  </si>
  <si>
    <t>RE-100762</t>
  </si>
  <si>
    <t>F805983</t>
  </si>
  <si>
    <t>CH-100734</t>
  </si>
  <si>
    <t>F406533</t>
  </si>
  <si>
    <t>CH-100735</t>
  </si>
  <si>
    <t>F417672</t>
  </si>
  <si>
    <t>RE-100763</t>
  </si>
  <si>
    <t>F881668</t>
  </si>
  <si>
    <t>TR-100792</t>
  </si>
  <si>
    <t>F775127</t>
  </si>
  <si>
    <t>RE-100764</t>
  </si>
  <si>
    <t>F608817</t>
  </si>
  <si>
    <t>TR-100793</t>
  </si>
  <si>
    <t>F498325</t>
  </si>
  <si>
    <t>RE-100765</t>
  </si>
  <si>
    <t>F316456</t>
  </si>
  <si>
    <t>RE-100766</t>
  </si>
  <si>
    <t>F623019</t>
  </si>
  <si>
    <t>Delta Conseil Rapide SARL</t>
  </si>
  <si>
    <t>CH-100736</t>
  </si>
  <si>
    <t>F339464</t>
  </si>
  <si>
    <t>TR-100794</t>
  </si>
  <si>
    <t>F445521</t>
  </si>
  <si>
    <t>TR-100795</t>
  </si>
  <si>
    <t>F183306</t>
  </si>
  <si>
    <t>RE-100767</t>
  </si>
  <si>
    <t>F935998</t>
  </si>
  <si>
    <t>TR-100796</t>
  </si>
  <si>
    <t>F578219</t>
  </si>
  <si>
    <t>RE-100768</t>
  </si>
  <si>
    <t>F299244</t>
  </si>
  <si>
    <t>TR-100797</t>
  </si>
  <si>
    <t>F355790</t>
  </si>
  <si>
    <t>TR-100798</t>
  </si>
  <si>
    <t>F919370</t>
  </si>
  <si>
    <t>RE-100769</t>
  </si>
  <si>
    <t>F222060</t>
  </si>
  <si>
    <t>CH-100737</t>
  </si>
  <si>
    <t>F727356</t>
  </si>
  <si>
    <t>CH-100738</t>
  </si>
  <si>
    <t>F915158</t>
  </si>
  <si>
    <t>TR-100799</t>
  </si>
  <si>
    <t>F363976</t>
  </si>
  <si>
    <t>CH-100739</t>
  </si>
  <si>
    <t>F631935</t>
  </si>
  <si>
    <t>CH-100740</t>
  </si>
  <si>
    <t>F361118</t>
  </si>
  <si>
    <t>CH-100741</t>
  </si>
  <si>
    <t>F561419</t>
  </si>
  <si>
    <t>RE-100770</t>
  </si>
  <si>
    <t>F634299</t>
  </si>
  <si>
    <t>CH-100742</t>
  </si>
  <si>
    <t>F805666</t>
  </si>
  <si>
    <t>CH-100743</t>
  </si>
  <si>
    <t>F664752</t>
  </si>
  <si>
    <t>RE-100771</t>
  </si>
  <si>
    <t>F422122</t>
  </si>
  <si>
    <t>TR-100800</t>
  </si>
  <si>
    <t>F414637</t>
  </si>
  <si>
    <t>TR-100801</t>
  </si>
  <si>
    <t>F301225</t>
  </si>
  <si>
    <t>CH-100744</t>
  </si>
  <si>
    <t>F785234</t>
  </si>
  <si>
    <t>TR-100802</t>
  </si>
  <si>
    <t>F997830</t>
  </si>
  <si>
    <t>CH-100745</t>
  </si>
  <si>
    <t>F969512</t>
  </si>
  <si>
    <t>TR-100803</t>
  </si>
  <si>
    <t>F105948</t>
  </si>
  <si>
    <t>CH-100746</t>
  </si>
  <si>
    <t>F579083</t>
  </si>
  <si>
    <t>CH-100747</t>
  </si>
  <si>
    <t>F368361</t>
  </si>
  <si>
    <t>CH-100748</t>
  </si>
  <si>
    <t>F441505</t>
  </si>
  <si>
    <t>TR-100804</t>
  </si>
  <si>
    <t>F998004</t>
  </si>
  <si>
    <t>CH-100749</t>
  </si>
  <si>
    <t>F602983</t>
  </si>
  <si>
    <t>TR-100805</t>
  </si>
  <si>
    <t>F821211</t>
  </si>
  <si>
    <t>TR-100806</t>
  </si>
  <si>
    <t>F206367</t>
  </si>
  <si>
    <t>RE-100772</t>
  </si>
  <si>
    <t>F398042</t>
  </si>
  <si>
    <t>RE-100773</t>
  </si>
  <si>
    <t>F533877</t>
  </si>
  <si>
    <t>RE-100774</t>
  </si>
  <si>
    <t>F192280</t>
  </si>
  <si>
    <t>CH-100750</t>
  </si>
  <si>
    <t>F373383</t>
  </si>
  <si>
    <t>TR-100807</t>
  </si>
  <si>
    <t>F909606</t>
  </si>
  <si>
    <t>RE-100775</t>
  </si>
  <si>
    <t>F994889</t>
  </si>
  <si>
    <t>CH-100751</t>
  </si>
  <si>
    <t>F308651</t>
  </si>
  <si>
    <t>TR-100808</t>
  </si>
  <si>
    <t>F124262</t>
  </si>
  <si>
    <t>RE-100776</t>
  </si>
  <si>
    <t>F936865</t>
  </si>
  <si>
    <t>RE-100777</t>
  </si>
  <si>
    <t>F116988</t>
  </si>
  <si>
    <t>TR-100809</t>
  </si>
  <si>
    <t>F928519</t>
  </si>
  <si>
    <t>TR-100810</t>
  </si>
  <si>
    <t>F870109</t>
  </si>
  <si>
    <t>RE-100778</t>
  </si>
  <si>
    <t>F265909</t>
  </si>
  <si>
    <t>TR-100811</t>
  </si>
  <si>
    <t>F781756</t>
  </si>
  <si>
    <t>RE-100779</t>
  </si>
  <si>
    <t>F573210</t>
  </si>
  <si>
    <t>TR-100812</t>
  </si>
  <si>
    <t>F703165</t>
  </si>
  <si>
    <t>CH-100752</t>
  </si>
  <si>
    <t>F753986</t>
  </si>
  <si>
    <t>CH-100753</t>
  </si>
  <si>
    <t>F712763</t>
  </si>
  <si>
    <t>TR-100813</t>
  </si>
  <si>
    <t>F907327</t>
  </si>
  <si>
    <t>TR-100814</t>
  </si>
  <si>
    <t>F316157</t>
  </si>
  <si>
    <t>CH-100754</t>
  </si>
  <si>
    <t>F917326</t>
  </si>
  <si>
    <t>RE-100780</t>
  </si>
  <si>
    <t>F341281</t>
  </si>
  <si>
    <t>TR-100815</t>
  </si>
  <si>
    <t>F344296</t>
  </si>
  <si>
    <t>RE-100781</t>
  </si>
  <si>
    <t>F560996</t>
  </si>
  <si>
    <t>RE-100782</t>
  </si>
  <si>
    <t>F875854</t>
  </si>
  <si>
    <t>RE-100783</t>
  </si>
  <si>
    <t>F908435</t>
  </si>
  <si>
    <t>CH-100755</t>
  </si>
  <si>
    <t>F631316</t>
  </si>
  <si>
    <t>TR-100816</t>
  </si>
  <si>
    <t>F612867</t>
  </si>
  <si>
    <t>TR-100817</t>
  </si>
  <si>
    <t>F195201</t>
  </si>
  <si>
    <t>TR-100818</t>
  </si>
  <si>
    <t>F116929</t>
  </si>
  <si>
    <t>RE-100784</t>
  </si>
  <si>
    <t>F471910</t>
  </si>
  <si>
    <t>CH-100756</t>
  </si>
  <si>
    <t>F415300</t>
  </si>
  <si>
    <t>RE-100785</t>
  </si>
  <si>
    <t>F594258</t>
  </si>
  <si>
    <t>RE-100786</t>
  </si>
  <si>
    <t>F147573</t>
  </si>
  <si>
    <t>RE-100787</t>
  </si>
  <si>
    <t>F263324</t>
  </si>
  <si>
    <t>RE-100788</t>
  </si>
  <si>
    <t>F875788</t>
  </si>
  <si>
    <t>TR-100819</t>
  </si>
  <si>
    <t>F539604</t>
  </si>
  <si>
    <t>RE-100789</t>
  </si>
  <si>
    <t>F948735</t>
  </si>
  <si>
    <t>TR-100820</t>
  </si>
  <si>
    <t>F621724</t>
  </si>
  <si>
    <t>RE-100790</t>
  </si>
  <si>
    <t>F752123</t>
  </si>
  <si>
    <t>CH-100757</t>
  </si>
  <si>
    <t>F135885</t>
  </si>
  <si>
    <t>TR-100821</t>
  </si>
  <si>
    <t>F727580</t>
  </si>
  <si>
    <t>TR-100822</t>
  </si>
  <si>
    <t>F196598</t>
  </si>
  <si>
    <t>CH-100758</t>
  </si>
  <si>
    <t>F535239</t>
  </si>
  <si>
    <t>TR-100823</t>
  </si>
  <si>
    <t>F426558</t>
  </si>
  <si>
    <t>CH-100759</t>
  </si>
  <si>
    <t>F666216</t>
  </si>
  <si>
    <t>CH-100760</t>
  </si>
  <si>
    <t>F885088</t>
  </si>
  <si>
    <t>TR-100824</t>
  </si>
  <si>
    <t>F336508</t>
  </si>
  <si>
    <t>TR-100825</t>
  </si>
  <si>
    <t>F744889</t>
  </si>
  <si>
    <t>RE-100791</t>
  </si>
  <si>
    <t>F415734</t>
  </si>
  <si>
    <t>CH-100761</t>
  </si>
  <si>
    <t>F705203</t>
  </si>
  <si>
    <t>CH-100762</t>
  </si>
  <si>
    <t>F707511</t>
  </si>
  <si>
    <t>TR-100826</t>
  </si>
  <si>
    <t>F291021</t>
  </si>
  <si>
    <t>RE-100792</t>
  </si>
  <si>
    <t>F112281</t>
  </si>
  <si>
    <t>TR-100827</t>
  </si>
  <si>
    <t>CH-100763</t>
  </si>
  <si>
    <t>F223542</t>
  </si>
  <si>
    <t>TR-100828</t>
  </si>
  <si>
    <t>F909508</t>
  </si>
  <si>
    <t>TR-100829</t>
  </si>
  <si>
    <t>F900345</t>
  </si>
  <si>
    <t>TR-100830</t>
  </si>
  <si>
    <t>F669711</t>
  </si>
  <si>
    <t>RE-100793</t>
  </si>
  <si>
    <t>F410078</t>
  </si>
  <si>
    <t>RE-100794</t>
  </si>
  <si>
    <t>F186997</t>
  </si>
  <si>
    <t>TR-100831</t>
  </si>
  <si>
    <t>F332634</t>
  </si>
  <si>
    <t>RE-100795</t>
  </si>
  <si>
    <t>F690225</t>
  </si>
  <si>
    <t>TR-100832</t>
  </si>
  <si>
    <t>F827391</t>
  </si>
  <si>
    <t>TR-100833</t>
  </si>
  <si>
    <t>F765124</t>
  </si>
  <si>
    <t>TR-100834</t>
  </si>
  <si>
    <t>F544612</t>
  </si>
  <si>
    <t>RE-100796</t>
  </si>
  <si>
    <t>CH-100764</t>
  </si>
  <si>
    <t>F100370</t>
  </si>
  <si>
    <t>RE-100797</t>
  </si>
  <si>
    <t>F742900</t>
  </si>
  <si>
    <t>TR-100835</t>
  </si>
  <si>
    <t>F604293</t>
  </si>
  <si>
    <t>RE-100798</t>
  </si>
  <si>
    <t>F539363</t>
  </si>
  <si>
    <t>CH-100765</t>
  </si>
  <si>
    <t>F337298</t>
  </si>
  <si>
    <t>CH-100766</t>
  </si>
  <si>
    <t>F714391</t>
  </si>
  <si>
    <t>TR-100836</t>
  </si>
  <si>
    <t>F111292</t>
  </si>
  <si>
    <t>TR-100837</t>
  </si>
  <si>
    <t>F727516</t>
  </si>
  <si>
    <t>CH-100767</t>
  </si>
  <si>
    <t>F667551</t>
  </si>
  <si>
    <t>TR-100838</t>
  </si>
  <si>
    <t>F457959</t>
  </si>
  <si>
    <t>CH-100768</t>
  </si>
  <si>
    <t>F218318</t>
  </si>
  <si>
    <t>TR-100839</t>
  </si>
  <si>
    <t>F825024</t>
  </si>
  <si>
    <t>CH-100769</t>
  </si>
  <si>
    <t>F732622</t>
  </si>
  <si>
    <t>TR-100840</t>
  </si>
  <si>
    <t>F542157</t>
  </si>
  <si>
    <t>RE-100799</t>
  </si>
  <si>
    <t>F632491</t>
  </si>
  <si>
    <t>CH-100770</t>
  </si>
  <si>
    <t>F113554</t>
  </si>
  <si>
    <t>RE-100800</t>
  </si>
  <si>
    <t>F554837</t>
  </si>
  <si>
    <t>TR-100841</t>
  </si>
  <si>
    <t>F978090</t>
  </si>
  <si>
    <t>TR-100842</t>
  </si>
  <si>
    <t>F501171</t>
  </si>
  <si>
    <t>RE-100801</t>
  </si>
  <si>
    <t>F203365</t>
  </si>
  <si>
    <t>TR-100843</t>
  </si>
  <si>
    <t>F733136</t>
  </si>
  <si>
    <t>CH-100771</t>
  </si>
  <si>
    <t>F993631</t>
  </si>
  <si>
    <t>CH-100772</t>
  </si>
  <si>
    <t>F952660</t>
  </si>
  <si>
    <t>TR-100844</t>
  </si>
  <si>
    <t>F289517</t>
  </si>
  <si>
    <t>RE-100802</t>
  </si>
  <si>
    <t>F940848</t>
  </si>
  <si>
    <t>RE-100803</t>
  </si>
  <si>
    <t>F360781</t>
  </si>
  <si>
    <t>CH-100773</t>
  </si>
  <si>
    <t>F375957</t>
  </si>
  <si>
    <t>RE-100804</t>
  </si>
  <si>
    <t>F520815</t>
  </si>
  <si>
    <t>CH-100774</t>
  </si>
  <si>
    <t>F944266</t>
  </si>
  <si>
    <t>RE-100805</t>
  </si>
  <si>
    <t>F194825</t>
  </si>
  <si>
    <t>TR-100845</t>
  </si>
  <si>
    <t>F311968</t>
  </si>
  <si>
    <t>CH-100775</t>
  </si>
  <si>
    <t>F276730</t>
  </si>
  <si>
    <t>CH-100776</t>
  </si>
  <si>
    <t>F834242</t>
  </si>
  <si>
    <t>TR-100846</t>
  </si>
  <si>
    <t>F748513</t>
  </si>
  <si>
    <t>TR-100847</t>
  </si>
  <si>
    <t>F795405</t>
  </si>
  <si>
    <t>CH-100777</t>
  </si>
  <si>
    <t>F503953</t>
  </si>
  <si>
    <t>RE-100806</t>
  </si>
  <si>
    <t>F335745</t>
  </si>
  <si>
    <t>CH-100778</t>
  </si>
  <si>
    <t>F387087</t>
  </si>
  <si>
    <t>RE-100807</t>
  </si>
  <si>
    <t>F336802</t>
  </si>
  <si>
    <t>CH-100779</t>
  </si>
  <si>
    <t>F355517</t>
  </si>
  <si>
    <t>RE-100808</t>
  </si>
  <si>
    <t>F678002</t>
  </si>
  <si>
    <t>TR-100848</t>
  </si>
  <si>
    <t>F703410</t>
  </si>
  <si>
    <t>CH-100780</t>
  </si>
  <si>
    <t>F346106</t>
  </si>
  <si>
    <t>CH-100781</t>
  </si>
  <si>
    <t>F358888</t>
  </si>
  <si>
    <t>TR-100849</t>
  </si>
  <si>
    <t>F842762</t>
  </si>
  <si>
    <t>CH-100782</t>
  </si>
  <si>
    <t>F852420</t>
  </si>
  <si>
    <t>TR-100850</t>
  </si>
  <si>
    <t>F977252</t>
  </si>
  <si>
    <t>RE-100809</t>
  </si>
  <si>
    <t>F167798</t>
  </si>
  <si>
    <t>RE-100810</t>
  </si>
  <si>
    <t>F464488</t>
  </si>
  <si>
    <t>CH-100783</t>
  </si>
  <si>
    <t>F853788</t>
  </si>
  <si>
    <t>CH-100784</t>
  </si>
  <si>
    <t>F551758</t>
  </si>
  <si>
    <t>TR-100851</t>
  </si>
  <si>
    <t>F574073</t>
  </si>
  <si>
    <t>CH-100785</t>
  </si>
  <si>
    <t>F697538</t>
  </si>
  <si>
    <t>TR-100852</t>
  </si>
  <si>
    <t>F739206</t>
  </si>
  <si>
    <t>RE-100811</t>
  </si>
  <si>
    <t>F174462</t>
  </si>
  <si>
    <t>TR-100853</t>
  </si>
  <si>
    <t>F304072</t>
  </si>
  <si>
    <t>RE-100812</t>
  </si>
  <si>
    <t>F619018</t>
  </si>
  <si>
    <t>TR-100854</t>
  </si>
  <si>
    <t>F834976</t>
  </si>
  <si>
    <t>TR-100855</t>
  </si>
  <si>
    <t>F245237</t>
  </si>
  <si>
    <t>CH-100786</t>
  </si>
  <si>
    <t>F551266</t>
  </si>
  <si>
    <t>CH-100787</t>
  </si>
  <si>
    <t>F468260</t>
  </si>
  <si>
    <t>TR-100856</t>
  </si>
  <si>
    <t>F649314</t>
  </si>
  <si>
    <t>CH-100788</t>
  </si>
  <si>
    <t>F162019</t>
  </si>
  <si>
    <t>TR-100857</t>
  </si>
  <si>
    <t>F113189</t>
  </si>
  <si>
    <t>RE-100813</t>
  </si>
  <si>
    <t>F690730</t>
  </si>
  <si>
    <t>CH-100789</t>
  </si>
  <si>
    <t>F661212</t>
  </si>
  <si>
    <t>RE-100814</t>
  </si>
  <si>
    <t>F728850</t>
  </si>
  <si>
    <t>CH-100790</t>
  </si>
  <si>
    <t>F631972</t>
  </si>
  <si>
    <t>RE-100815</t>
  </si>
  <si>
    <t>F932199</t>
  </si>
  <si>
    <t>RE-100816</t>
  </si>
  <si>
    <t>F816211</t>
  </si>
  <si>
    <t>RE-100817</t>
  </si>
  <si>
    <t>F302542</t>
  </si>
  <si>
    <t>TR-100858</t>
  </si>
  <si>
    <t>F790474</t>
  </si>
  <si>
    <t>TR-100859</t>
  </si>
  <si>
    <t>F168643</t>
  </si>
  <si>
    <t>CH-100791</t>
  </si>
  <si>
    <t>F297488</t>
  </si>
  <si>
    <t>CH-100792</t>
  </si>
  <si>
    <t>F950297</t>
  </si>
  <si>
    <t>TR-100860</t>
  </si>
  <si>
    <t>F795743</t>
  </si>
  <si>
    <t>TR-100861</t>
  </si>
  <si>
    <t>F647013</t>
  </si>
  <si>
    <t>CH-100793</t>
  </si>
  <si>
    <t>F569661</t>
  </si>
  <si>
    <t>RE-100818</t>
  </si>
  <si>
    <t>F495383</t>
  </si>
  <si>
    <t>RE-100819</t>
  </si>
  <si>
    <t>F607620</t>
  </si>
  <si>
    <t>TR-100862</t>
  </si>
  <si>
    <t>F908287</t>
  </si>
  <si>
    <t>TR-100863</t>
  </si>
  <si>
    <t>F716006</t>
  </si>
  <si>
    <t>TR-100864</t>
  </si>
  <si>
    <t>F129321</t>
  </si>
  <si>
    <t>RE-100820</t>
  </si>
  <si>
    <t>F154982</t>
  </si>
  <si>
    <t>TR-100865</t>
  </si>
  <si>
    <t>F488837</t>
  </si>
  <si>
    <t>TR-100866</t>
  </si>
  <si>
    <t>F332329</t>
  </si>
  <si>
    <t>TR-100867</t>
  </si>
  <si>
    <t>F771530</t>
  </si>
  <si>
    <t>TR-100868</t>
  </si>
  <si>
    <t>F221981</t>
  </si>
  <si>
    <t>CH-100794</t>
  </si>
  <si>
    <t>F285658</t>
  </si>
  <si>
    <t>CH-100795</t>
  </si>
  <si>
    <t>F263503</t>
  </si>
  <si>
    <t>RE-100821</t>
  </si>
  <si>
    <t>F813446</t>
  </si>
  <si>
    <t>TR-100869</t>
  </si>
  <si>
    <t>F785072</t>
  </si>
  <si>
    <t>TR-100870</t>
  </si>
  <si>
    <t>F533732</t>
  </si>
  <si>
    <t>CH-100796</t>
  </si>
  <si>
    <t>F365735</t>
  </si>
  <si>
    <t>TR-100871</t>
  </si>
  <si>
    <t>F235149</t>
  </si>
  <si>
    <t>TR-100872</t>
  </si>
  <si>
    <t>F266643</t>
  </si>
  <si>
    <t>CH-100797</t>
  </si>
  <si>
    <t>F368958</t>
  </si>
  <si>
    <t>TR-100873</t>
  </si>
  <si>
    <t>F398534</t>
  </si>
  <si>
    <t>TR-100874</t>
  </si>
  <si>
    <t>F190705</t>
  </si>
  <si>
    <t>TR-100875</t>
  </si>
  <si>
    <t>F602078</t>
  </si>
  <si>
    <t>RE-100822</t>
  </si>
  <si>
    <t>F187669</t>
  </si>
  <si>
    <t>TR-100876</t>
  </si>
  <si>
    <t>F249693</t>
  </si>
  <si>
    <t>CH-100798</t>
  </si>
  <si>
    <t>F904037</t>
  </si>
  <si>
    <t>RE-100823</t>
  </si>
  <si>
    <t>F260128</t>
  </si>
  <si>
    <t>CH-100799</t>
  </si>
  <si>
    <t>F310396</t>
  </si>
  <si>
    <t>TR-100877</t>
  </si>
  <si>
    <t>F630154</t>
  </si>
  <si>
    <t>RE-100824</t>
  </si>
  <si>
    <t>F856213</t>
  </si>
  <si>
    <t>CH-100800</t>
  </si>
  <si>
    <t>F730886</t>
  </si>
  <si>
    <t>TR-100878</t>
  </si>
  <si>
    <t>F159468</t>
  </si>
  <si>
    <t>RE-100825</t>
  </si>
  <si>
    <t>F748634</t>
  </si>
  <si>
    <t>TR-100879</t>
  </si>
  <si>
    <t>F817557</t>
  </si>
  <si>
    <t>RE-100826</t>
  </si>
  <si>
    <t>F906035</t>
  </si>
  <si>
    <t>TR-100880</t>
  </si>
  <si>
    <t>F691018</t>
  </si>
  <si>
    <t>TR-100881</t>
  </si>
  <si>
    <t>F504807</t>
  </si>
  <si>
    <t>CH-100801</t>
  </si>
  <si>
    <t>F349214</t>
  </si>
  <si>
    <t>TR-100882</t>
  </si>
  <si>
    <t>F577085</t>
  </si>
  <si>
    <t>CH-100802</t>
  </si>
  <si>
    <t>F334713</t>
  </si>
  <si>
    <t>RE-100827</t>
  </si>
  <si>
    <t>F369705</t>
  </si>
  <si>
    <t>RE-100828</t>
  </si>
  <si>
    <t>F530305</t>
  </si>
  <si>
    <t>TR-100883</t>
  </si>
  <si>
    <t>F318209</t>
  </si>
  <si>
    <t>CH-100803</t>
  </si>
  <si>
    <t>F586032</t>
  </si>
  <si>
    <t>CH-100804</t>
  </si>
  <si>
    <t>F315917</t>
  </si>
  <si>
    <t>RE-100829</t>
  </si>
  <si>
    <t>F791353</t>
  </si>
  <si>
    <t>TR-100884</t>
  </si>
  <si>
    <t>F493023</t>
  </si>
  <si>
    <t>TR-100885</t>
  </si>
  <si>
    <t>F669197</t>
  </si>
  <si>
    <t>TR-100886</t>
  </si>
  <si>
    <t>F454086</t>
  </si>
  <si>
    <t>TR-100887</t>
  </si>
  <si>
    <t>F289074</t>
  </si>
  <si>
    <t>CH-100805</t>
  </si>
  <si>
    <t>F280712</t>
  </si>
  <si>
    <t>CH-100806</t>
  </si>
  <si>
    <t>F521398</t>
  </si>
  <si>
    <t>TR-100888</t>
  </si>
  <si>
    <t>F874337</t>
  </si>
  <si>
    <t>RE-100830</t>
  </si>
  <si>
    <t>F656361</t>
  </si>
  <si>
    <t>TR-100889</t>
  </si>
  <si>
    <t>F122508</t>
  </si>
  <si>
    <t>RE-100831</t>
  </si>
  <si>
    <t>F474023</t>
  </si>
  <si>
    <t>RE-100832</t>
  </si>
  <si>
    <t>F711790</t>
  </si>
  <si>
    <t>CH-100807</t>
  </si>
  <si>
    <t>F941310</t>
  </si>
  <si>
    <t>TR-100890</t>
  </si>
  <si>
    <t>F658162</t>
  </si>
  <si>
    <t>TR-100891</t>
  </si>
  <si>
    <t>F833859</t>
  </si>
  <si>
    <t>CH-100808</t>
  </si>
  <si>
    <t>F253769</t>
  </si>
  <si>
    <t>CH-100809</t>
  </si>
  <si>
    <t>F595780</t>
  </si>
  <si>
    <t>CH-100810</t>
  </si>
  <si>
    <t>F562355</t>
  </si>
  <si>
    <t>TR-100892</t>
  </si>
  <si>
    <t>F804393</t>
  </si>
  <si>
    <t>TR-100893</t>
  </si>
  <si>
    <t>F172236</t>
  </si>
  <si>
    <t>RE-100833</t>
  </si>
  <si>
    <t>F216362</t>
  </si>
  <si>
    <t>TR-100894</t>
  </si>
  <si>
    <t>F931292</t>
  </si>
  <si>
    <t>RE-100834</t>
  </si>
  <si>
    <t>F538030</t>
  </si>
  <si>
    <t>RE-100835</t>
  </si>
  <si>
    <t>F124583</t>
  </si>
  <si>
    <t>CH-100811</t>
  </si>
  <si>
    <t>F834543</t>
  </si>
  <si>
    <t>CH-100812</t>
  </si>
  <si>
    <t>F580339</t>
  </si>
  <si>
    <t>TR-100895</t>
  </si>
  <si>
    <t>F111196</t>
  </si>
  <si>
    <t>TR-100896</t>
  </si>
  <si>
    <t>F498476</t>
  </si>
  <si>
    <t>CH-100813</t>
  </si>
  <si>
    <t>F451938</t>
  </si>
  <si>
    <t>CH-100814</t>
  </si>
  <si>
    <t>F463058</t>
  </si>
  <si>
    <t>TR-100897</t>
  </si>
  <si>
    <t>F187352</t>
  </si>
  <si>
    <t>CH-100815</t>
  </si>
  <si>
    <t>F633506</t>
  </si>
  <si>
    <t>RE-100836</t>
  </si>
  <si>
    <t>F354763</t>
  </si>
  <si>
    <t>RE-100837</t>
  </si>
  <si>
    <t>F916711</t>
  </si>
  <si>
    <t>RE-100838</t>
  </si>
  <si>
    <t>F747454</t>
  </si>
  <si>
    <t>RE-100839</t>
  </si>
  <si>
    <t>F761654</t>
  </si>
  <si>
    <t>CH-100816</t>
  </si>
  <si>
    <t>F245453</t>
  </si>
  <si>
    <t>RE-100840</t>
  </si>
  <si>
    <t>F196034</t>
  </si>
  <si>
    <t>RE-100841</t>
  </si>
  <si>
    <t>F851807</t>
  </si>
  <si>
    <t>RE-100842</t>
  </si>
  <si>
    <t>F957264</t>
  </si>
  <si>
    <t>RE-100843</t>
  </si>
  <si>
    <t>F402056</t>
  </si>
  <si>
    <t>TR-100898</t>
  </si>
  <si>
    <t>F183422</t>
  </si>
  <si>
    <t>RE-100844</t>
  </si>
  <si>
    <t>F298543</t>
  </si>
  <si>
    <t>TR-100899</t>
  </si>
  <si>
    <t>F893023</t>
  </si>
  <si>
    <t>RE-100845</t>
  </si>
  <si>
    <t>F631265</t>
  </si>
  <si>
    <t>TR-100900</t>
  </si>
  <si>
    <t>F871168</t>
  </si>
  <si>
    <t>RE-100846</t>
  </si>
  <si>
    <t>F363893</t>
  </si>
  <si>
    <t>CH-100817</t>
  </si>
  <si>
    <t>F868516</t>
  </si>
  <si>
    <t>RE-100847</t>
  </si>
  <si>
    <t>F567593</t>
  </si>
  <si>
    <t>RE-100848</t>
  </si>
  <si>
    <t>F479039</t>
  </si>
  <si>
    <t>TR-100901</t>
  </si>
  <si>
    <t>F980515</t>
  </si>
  <si>
    <t>CH-100818</t>
  </si>
  <si>
    <t>F900496</t>
  </si>
  <si>
    <t>CH-100819</t>
  </si>
  <si>
    <t>F144773</t>
  </si>
  <si>
    <t>TR-100902</t>
  </si>
  <si>
    <t>F934930</t>
  </si>
  <si>
    <t>CH-100820</t>
  </si>
  <si>
    <t>F873701</t>
  </si>
  <si>
    <t>CH-100821</t>
  </si>
  <si>
    <t>F499987</t>
  </si>
  <si>
    <t>TR-100903</t>
  </si>
  <si>
    <t>F281172</t>
  </si>
  <si>
    <t>RE-100849</t>
  </si>
  <si>
    <t>F595230</t>
  </si>
  <si>
    <t>RE-100850</t>
  </si>
  <si>
    <t>F970085</t>
  </si>
  <si>
    <t>TR-100904</t>
  </si>
  <si>
    <t>F623382</t>
  </si>
  <si>
    <t>CH-100822</t>
  </si>
  <si>
    <t>F170156</t>
  </si>
  <si>
    <t>CH-100823</t>
  </si>
  <si>
    <t>F618239</t>
  </si>
  <si>
    <t>RE-100851</t>
  </si>
  <si>
    <t>F266306</t>
  </si>
  <si>
    <t>CH-100824</t>
  </si>
  <si>
    <t>F227766</t>
  </si>
  <si>
    <t>TR-100905</t>
  </si>
  <si>
    <t>F234357</t>
  </si>
  <si>
    <t>CH-100825</t>
  </si>
  <si>
    <t>F358064</t>
  </si>
  <si>
    <t>RE-100852</t>
  </si>
  <si>
    <t>F427718</t>
  </si>
  <si>
    <t>TR-100906</t>
  </si>
  <si>
    <t>F705258</t>
  </si>
  <si>
    <t>CH-100826</t>
  </si>
  <si>
    <t>F700073</t>
  </si>
  <si>
    <t>RE-100853</t>
  </si>
  <si>
    <t>F690660</t>
  </si>
  <si>
    <t>CH-100827</t>
  </si>
  <si>
    <t>F886633</t>
  </si>
  <si>
    <t>RE-100854</t>
  </si>
  <si>
    <t>F731871</t>
  </si>
  <si>
    <t>TR-100907</t>
  </si>
  <si>
    <t>F929718</t>
  </si>
  <si>
    <t>CH-100828</t>
  </si>
  <si>
    <t>F103201</t>
  </si>
  <si>
    <t>CH-100829</t>
  </si>
  <si>
    <t>F921752</t>
  </si>
  <si>
    <t>CH-100830</t>
  </si>
  <si>
    <t>F964169</t>
  </si>
  <si>
    <t>TR-100908</t>
  </si>
  <si>
    <t>F163504</t>
  </si>
  <si>
    <t>TR-100909</t>
  </si>
  <si>
    <t>F929118</t>
  </si>
  <si>
    <t>CH-100831</t>
  </si>
  <si>
    <t>F251057</t>
  </si>
  <si>
    <t>CH-100832</t>
  </si>
  <si>
    <t>F486538</t>
  </si>
  <si>
    <t>CH-100833</t>
  </si>
  <si>
    <t>F264603</t>
  </si>
  <si>
    <t>TR-100910</t>
  </si>
  <si>
    <t>F578091</t>
  </si>
  <si>
    <t>CH-100834</t>
  </si>
  <si>
    <t>F714969</t>
  </si>
  <si>
    <t>RE-100855</t>
  </si>
  <si>
    <t>F679417</t>
  </si>
  <si>
    <t>CH-100835</t>
  </si>
  <si>
    <t>F676850</t>
  </si>
  <si>
    <t>RE-100856</t>
  </si>
  <si>
    <t>F442475</t>
  </si>
  <si>
    <t>TR-100911</t>
  </si>
  <si>
    <t>F696146</t>
  </si>
  <si>
    <t>RE-100857</t>
  </si>
  <si>
    <t>F620803</t>
  </si>
  <si>
    <t>RE-100858</t>
  </si>
  <si>
    <t>F848529</t>
  </si>
  <si>
    <t>RE-100859</t>
  </si>
  <si>
    <t>F185101</t>
  </si>
  <si>
    <t>CH-100836</t>
  </si>
  <si>
    <t>F165169</t>
  </si>
  <si>
    <t>TR-100912</t>
  </si>
  <si>
    <t>F962816</t>
  </si>
  <si>
    <t>RE-100860</t>
  </si>
  <si>
    <t>F373421</t>
  </si>
  <si>
    <t>RE-100861</t>
  </si>
  <si>
    <t>F155032</t>
  </si>
  <si>
    <t>TR-100913</t>
  </si>
  <si>
    <t>F343967</t>
  </si>
  <si>
    <t>RE-100862</t>
  </si>
  <si>
    <t>F892684</t>
  </si>
  <si>
    <t>TR-100914</t>
  </si>
  <si>
    <t>F616137</t>
  </si>
  <si>
    <t>RE-100863</t>
  </si>
  <si>
    <t>F142079</t>
  </si>
  <si>
    <t>RE-100864</t>
  </si>
  <si>
    <t>F107499</t>
  </si>
  <si>
    <t>CH-100837</t>
  </si>
  <si>
    <t>F516474</t>
  </si>
  <si>
    <t>RE-100865</t>
  </si>
  <si>
    <t>F378550</t>
  </si>
  <si>
    <t>TR-100915</t>
  </si>
  <si>
    <t>F890806</t>
  </si>
  <si>
    <t>TR-100916</t>
  </si>
  <si>
    <t>F511704</t>
  </si>
  <si>
    <t>RE-100866</t>
  </si>
  <si>
    <t>F783051</t>
  </si>
  <si>
    <t>TR-100917</t>
  </si>
  <si>
    <t>F506272</t>
  </si>
  <si>
    <t>RE-100867</t>
  </si>
  <si>
    <t>F883572</t>
  </si>
  <si>
    <t>CH-100838</t>
  </si>
  <si>
    <t>F418107</t>
  </si>
  <si>
    <t>CH-100839</t>
  </si>
  <si>
    <t>F984539</t>
  </si>
  <si>
    <t>CH-100840</t>
  </si>
  <si>
    <t>F969885</t>
  </si>
  <si>
    <t>RE-100868</t>
  </si>
  <si>
    <t>F854942</t>
  </si>
  <si>
    <t>CH-100841</t>
  </si>
  <si>
    <t>F603500</t>
  </si>
  <si>
    <t>TR-100918</t>
  </si>
  <si>
    <t>F181447</t>
  </si>
  <si>
    <t>TR-100919</t>
  </si>
  <si>
    <t>F152458</t>
  </si>
  <si>
    <t>RE-100869</t>
  </si>
  <si>
    <t>F695707</t>
  </si>
  <si>
    <t>RE-100870</t>
  </si>
  <si>
    <t>F543721</t>
  </si>
  <si>
    <t>TR-100920</t>
  </si>
  <si>
    <t>F225909</t>
  </si>
  <si>
    <t>CH-100842</t>
  </si>
  <si>
    <t>F226169</t>
  </si>
  <si>
    <t>TR-100921</t>
  </si>
  <si>
    <t>F599651</t>
  </si>
  <si>
    <t>RE-100871</t>
  </si>
  <si>
    <t>F707940</t>
  </si>
  <si>
    <t>TR-100922</t>
  </si>
  <si>
    <t>F603028</t>
  </si>
  <si>
    <t>RE-100872</t>
  </si>
  <si>
    <t>F495758</t>
  </si>
  <si>
    <t>RE-100873</t>
  </si>
  <si>
    <t>F704777</t>
  </si>
  <si>
    <t>RE-100874</t>
  </si>
  <si>
    <t>F312544</t>
  </si>
  <si>
    <t>CH-100843</t>
  </si>
  <si>
    <t>F346225</t>
  </si>
  <si>
    <t>TR-100923</t>
  </si>
  <si>
    <t>F690570</t>
  </si>
  <si>
    <t>CH-100844</t>
  </si>
  <si>
    <t>F850328</t>
  </si>
  <si>
    <t>TR-100924</t>
  </si>
  <si>
    <t>F671044</t>
  </si>
  <si>
    <t>RE-100875</t>
  </si>
  <si>
    <t>F252773</t>
  </si>
  <si>
    <t>CH-100845</t>
  </si>
  <si>
    <t>F490185</t>
  </si>
  <si>
    <t>CH-100846</t>
  </si>
  <si>
    <t>F618532</t>
  </si>
  <si>
    <t>TR-100925</t>
  </si>
  <si>
    <t>F731402</t>
  </si>
  <si>
    <t>CH-100847</t>
  </si>
  <si>
    <t>F572665</t>
  </si>
  <si>
    <t>TR-100926</t>
  </si>
  <si>
    <t>F755425</t>
  </si>
  <si>
    <t>RE-100876</t>
  </si>
  <si>
    <t>F992440</t>
  </si>
  <si>
    <t>TR-100927</t>
  </si>
  <si>
    <t>F185714</t>
  </si>
  <si>
    <t>CH-100848</t>
  </si>
  <si>
    <t>F104236</t>
  </si>
  <si>
    <t>CH-100849</t>
  </si>
  <si>
    <t>F925988</t>
  </si>
  <si>
    <t>CH-100850</t>
  </si>
  <si>
    <t>F675092</t>
  </si>
  <si>
    <t>CH-100851</t>
  </si>
  <si>
    <t>F886249</t>
  </si>
  <si>
    <t>CH-100852</t>
  </si>
  <si>
    <t>F575690</t>
  </si>
  <si>
    <t>RE-100877</t>
  </si>
  <si>
    <t>F629018</t>
  </si>
  <si>
    <t>RE-100878</t>
  </si>
  <si>
    <t>F353580</t>
  </si>
  <si>
    <t>CH-100853</t>
  </si>
  <si>
    <t>F954059</t>
  </si>
  <si>
    <t>RE-100879</t>
  </si>
  <si>
    <t>F294735</t>
  </si>
  <si>
    <t>TR-100928</t>
  </si>
  <si>
    <t>F474880</t>
  </si>
  <si>
    <t>TR-100929</t>
  </si>
  <si>
    <t>F506582</t>
  </si>
  <si>
    <t>CH-100854</t>
  </si>
  <si>
    <t>F766076</t>
  </si>
  <si>
    <t>TR-100930</t>
  </si>
  <si>
    <t>F435158</t>
  </si>
  <si>
    <t>CH-100855</t>
  </si>
  <si>
    <t>F889491</t>
  </si>
  <si>
    <t>TR-100931</t>
  </si>
  <si>
    <t>F468107</t>
  </si>
  <si>
    <t>TR-100932</t>
  </si>
  <si>
    <t>F895921</t>
  </si>
  <si>
    <t>RE-100880</t>
  </si>
  <si>
    <t>F859461</t>
  </si>
  <si>
    <t>TR-100933</t>
  </si>
  <si>
    <t>F453771</t>
  </si>
  <si>
    <t>RE-100881</t>
  </si>
  <si>
    <t>F679470</t>
  </si>
  <si>
    <t>TR-100934</t>
  </si>
  <si>
    <t>F817041</t>
  </si>
  <si>
    <t>RE-100882</t>
  </si>
  <si>
    <t>F566018</t>
  </si>
  <si>
    <t>RE-100883</t>
  </si>
  <si>
    <t>F507034</t>
  </si>
  <si>
    <t>TR-100935</t>
  </si>
  <si>
    <t>F614954</t>
  </si>
  <si>
    <t>RE-100884</t>
  </si>
  <si>
    <t>F547460</t>
  </si>
  <si>
    <t>RE-100885</t>
  </si>
  <si>
    <t>F506117</t>
  </si>
  <si>
    <t>TR-100936</t>
  </si>
  <si>
    <t>F291551</t>
  </si>
  <si>
    <t>RE-100886</t>
  </si>
  <si>
    <t>F339843</t>
  </si>
  <si>
    <t>TR-100937</t>
  </si>
  <si>
    <t>F206470</t>
  </si>
  <si>
    <t>RE-100887</t>
  </si>
  <si>
    <t>F620246</t>
  </si>
  <si>
    <t>CH-100856</t>
  </si>
  <si>
    <t>F765669</t>
  </si>
  <si>
    <t>TR-100938</t>
  </si>
  <si>
    <t>F542766</t>
  </si>
  <si>
    <t>RE-100888</t>
  </si>
  <si>
    <t>F475015</t>
  </si>
  <si>
    <t>CH-100857</t>
  </si>
  <si>
    <t>F226889</t>
  </si>
  <si>
    <t>RE-100889</t>
  </si>
  <si>
    <t>F567771</t>
  </si>
  <si>
    <t>TR-100939</t>
  </si>
  <si>
    <t>F928373</t>
  </si>
  <si>
    <t>TR-100940</t>
  </si>
  <si>
    <t>F343529</t>
  </si>
  <si>
    <t>RE-100890</t>
  </si>
  <si>
    <t>F111737</t>
  </si>
  <si>
    <t>CH-100858</t>
  </si>
  <si>
    <t>F378803</t>
  </si>
  <si>
    <t>TR-100941</t>
  </si>
  <si>
    <t>F435050</t>
  </si>
  <si>
    <t>RE-100891</t>
  </si>
  <si>
    <t>F324523</t>
  </si>
  <si>
    <t>RE-100892</t>
  </si>
  <si>
    <t>F253209</t>
  </si>
  <si>
    <t>TR-100942</t>
  </si>
  <si>
    <t>F600892</t>
  </si>
  <si>
    <t>TR-100943</t>
  </si>
  <si>
    <t>F890011</t>
  </si>
  <si>
    <t>CH-100859</t>
  </si>
  <si>
    <t>F144993</t>
  </si>
  <si>
    <t>CH-100860</t>
  </si>
  <si>
    <t>F491834</t>
  </si>
  <si>
    <t>CH-100861</t>
  </si>
  <si>
    <t>F526279</t>
  </si>
  <si>
    <t>TR-100944</t>
  </si>
  <si>
    <t>F178701</t>
  </si>
  <si>
    <t>CH-100862</t>
  </si>
  <si>
    <t>F914793</t>
  </si>
  <si>
    <t>RE-100893</t>
  </si>
  <si>
    <t>F587070</t>
  </si>
  <si>
    <t>TR-100945</t>
  </si>
  <si>
    <t>F442976</t>
  </si>
  <si>
    <t>CH-100863</t>
  </si>
  <si>
    <t>F980287</t>
  </si>
  <si>
    <t>TR-100946</t>
  </si>
  <si>
    <t>F728455</t>
  </si>
  <si>
    <t>TR-100947</t>
  </si>
  <si>
    <t>F613462</t>
  </si>
  <si>
    <t>CH-100864</t>
  </si>
  <si>
    <t>F759681</t>
  </si>
  <si>
    <t>CH-100865</t>
  </si>
  <si>
    <t>F439910</t>
  </si>
  <si>
    <t>RE-100894</t>
  </si>
  <si>
    <t>F642818</t>
  </si>
  <si>
    <t>TR-100948</t>
  </si>
  <si>
    <t>F791128</t>
  </si>
  <si>
    <t>RE-100895</t>
  </si>
  <si>
    <t>F299193</t>
  </si>
  <si>
    <t>TR-100949</t>
  </si>
  <si>
    <t>F314396</t>
  </si>
  <si>
    <t>CH-100866</t>
  </si>
  <si>
    <t>TR-100950</t>
  </si>
  <si>
    <t>F493214</t>
  </si>
  <si>
    <t>RE-100896</t>
  </si>
  <si>
    <t>F663513</t>
  </si>
  <si>
    <t>CH-100867</t>
  </si>
  <si>
    <t>F494853</t>
  </si>
  <si>
    <t>TR-100951</t>
  </si>
  <si>
    <t>F367188</t>
  </si>
  <si>
    <t>CH-100868</t>
  </si>
  <si>
    <t>F635946</t>
  </si>
  <si>
    <t>TR-100952</t>
  </si>
  <si>
    <t>F613340</t>
  </si>
  <si>
    <t>TR-100953</t>
  </si>
  <si>
    <t>F246514</t>
  </si>
  <si>
    <t>RE-100897</t>
  </si>
  <si>
    <t>F390828</t>
  </si>
  <si>
    <t>RE-100898</t>
  </si>
  <si>
    <t>F820082</t>
  </si>
  <si>
    <t>CH-100869</t>
  </si>
  <si>
    <t>F216844</t>
  </si>
  <si>
    <t>CH-100870</t>
  </si>
  <si>
    <t>F331145</t>
  </si>
  <si>
    <t>TR-100954</t>
  </si>
  <si>
    <t>F259072</t>
  </si>
  <si>
    <t>RE-100899</t>
  </si>
  <si>
    <t>F944848</t>
  </si>
  <si>
    <t>CH-100871</t>
  </si>
  <si>
    <t>F195606</t>
  </si>
  <si>
    <t>TR-100955</t>
  </si>
  <si>
    <t>F358152</t>
  </si>
  <si>
    <t>CH-100872</t>
  </si>
  <si>
    <t>F393046</t>
  </si>
  <si>
    <t>RE-100900</t>
  </si>
  <si>
    <t>F728848</t>
  </si>
  <si>
    <t>CH-100873</t>
  </si>
  <si>
    <t>F528379</t>
  </si>
  <si>
    <t>TR-100956</t>
  </si>
  <si>
    <t>F991904</t>
  </si>
  <si>
    <t>TR-100957</t>
  </si>
  <si>
    <t>F557861</t>
  </si>
  <si>
    <t>TR-100958</t>
  </si>
  <si>
    <t>F736017</t>
  </si>
  <si>
    <t>RE-100901</t>
  </si>
  <si>
    <t>F496009</t>
  </si>
  <si>
    <t>RE-100902</t>
  </si>
  <si>
    <t>F387458</t>
  </si>
  <si>
    <t>RE-100903</t>
  </si>
  <si>
    <t>F125455</t>
  </si>
  <si>
    <t>TR-100959</t>
  </si>
  <si>
    <t>F847707</t>
  </si>
  <si>
    <t>RE-100904</t>
  </si>
  <si>
    <t>F614806</t>
  </si>
  <si>
    <t>CH-100874</t>
  </si>
  <si>
    <t>F339659</t>
  </si>
  <si>
    <t>CH-100875</t>
  </si>
  <si>
    <t>F329781</t>
  </si>
  <si>
    <t>TR-100960</t>
  </si>
  <si>
    <t>F986993</t>
  </si>
  <si>
    <t>RE-100905</t>
  </si>
  <si>
    <t>F196864</t>
  </si>
  <si>
    <t>TR-100961</t>
  </si>
  <si>
    <t>F575110</t>
  </si>
  <si>
    <t>RE-100906</t>
  </si>
  <si>
    <t>F340216</t>
  </si>
  <si>
    <t>CH-100876</t>
  </si>
  <si>
    <t>F751107</t>
  </si>
  <si>
    <t>RE-100907</t>
  </si>
  <si>
    <t>F543824</t>
  </si>
  <si>
    <t>RE-100908</t>
  </si>
  <si>
    <t>F170655</t>
  </si>
  <si>
    <t>RE-100909</t>
  </si>
  <si>
    <t>F680322</t>
  </si>
  <si>
    <t>CH-100877</t>
  </si>
  <si>
    <t>F925133</t>
  </si>
  <si>
    <t>RE-100910</t>
  </si>
  <si>
    <t>F625245</t>
  </si>
  <si>
    <t>TR-100962</t>
  </si>
  <si>
    <t>F263482</t>
  </si>
  <si>
    <t>RE-100911</t>
  </si>
  <si>
    <t>F584867</t>
  </si>
  <si>
    <t>RE-100912</t>
  </si>
  <si>
    <t>F269960</t>
  </si>
  <si>
    <t>TR-100963</t>
  </si>
  <si>
    <t>F242505</t>
  </si>
  <si>
    <t>RE-100913</t>
  </si>
  <si>
    <t>F677047</t>
  </si>
  <si>
    <t>TR-100964</t>
  </si>
  <si>
    <t>F644898</t>
  </si>
  <si>
    <t>CH-100878</t>
  </si>
  <si>
    <t>F888142</t>
  </si>
  <si>
    <t>CH-100879</t>
  </si>
  <si>
    <t>F232372</t>
  </si>
  <si>
    <t>RE-100914</t>
  </si>
  <si>
    <t>F221148</t>
  </si>
  <si>
    <t>TR-100965</t>
  </si>
  <si>
    <t>F429824</t>
  </si>
  <si>
    <t>CH-100880</t>
  </si>
  <si>
    <t>F886796</t>
  </si>
  <si>
    <t>RE-100915</t>
  </si>
  <si>
    <t>F246638</t>
  </si>
  <si>
    <t>TR-100966</t>
  </si>
  <si>
    <t>F338101</t>
  </si>
  <si>
    <t>CH-100881</t>
  </si>
  <si>
    <t>F489616</t>
  </si>
  <si>
    <t>RE-100916</t>
  </si>
  <si>
    <t>F252607</t>
  </si>
  <si>
    <t>TR-100967</t>
  </si>
  <si>
    <t>F505334</t>
  </si>
  <si>
    <t>TR-100968</t>
  </si>
  <si>
    <t>F678401</t>
  </si>
  <si>
    <t>CH-100882</t>
  </si>
  <si>
    <t>F302877</t>
  </si>
  <si>
    <t>CH-100883</t>
  </si>
  <si>
    <t>F880494</t>
  </si>
  <si>
    <t>TR-100969</t>
  </si>
  <si>
    <t>F761310</t>
  </si>
  <si>
    <t>TR-100970</t>
  </si>
  <si>
    <t>F582650</t>
  </si>
  <si>
    <t>CH-100884</t>
  </si>
  <si>
    <t>F714068</t>
  </si>
  <si>
    <t>RE-100917</t>
  </si>
  <si>
    <t>F693861</t>
  </si>
  <si>
    <t>TR-100971</t>
  </si>
  <si>
    <t>F446189</t>
  </si>
  <si>
    <t>TR-100972</t>
  </si>
  <si>
    <t>F746839</t>
  </si>
  <si>
    <t>CH-100885</t>
  </si>
  <si>
    <t>F112703</t>
  </si>
  <si>
    <t>RE-100918</t>
  </si>
  <si>
    <t>F547649</t>
  </si>
  <si>
    <t>TR-100973</t>
  </si>
  <si>
    <t>F271328</t>
  </si>
  <si>
    <t>RE-100919</t>
  </si>
  <si>
    <t>F591055</t>
  </si>
  <si>
    <t>RE-100920</t>
  </si>
  <si>
    <t>F951118</t>
  </si>
  <si>
    <t>CH-100886</t>
  </si>
  <si>
    <t>F705073</t>
  </si>
  <si>
    <t>TR-100974</t>
  </si>
  <si>
    <t>F652294</t>
  </si>
  <si>
    <t>RE-100921</t>
  </si>
  <si>
    <t>F945350</t>
  </si>
  <si>
    <t>TR-100975</t>
  </si>
  <si>
    <t>F606877</t>
  </si>
  <si>
    <t>CH-100887</t>
  </si>
  <si>
    <t>F524368</t>
  </si>
  <si>
    <t>RE-100922</t>
  </si>
  <si>
    <t>RE-100923</t>
  </si>
  <si>
    <t>F586903</t>
  </si>
  <si>
    <t>RE-100924</t>
  </si>
  <si>
    <t>F878592</t>
  </si>
  <si>
    <t>CH-100888</t>
  </si>
  <si>
    <t>F270336</t>
  </si>
  <si>
    <t>TR-100976</t>
  </si>
  <si>
    <t>F556784</t>
  </si>
  <si>
    <t>CH-100889</t>
  </si>
  <si>
    <t>F449999</t>
  </si>
  <si>
    <t>CH-100890</t>
  </si>
  <si>
    <t>F515597</t>
  </si>
  <si>
    <t>TR-100977</t>
  </si>
  <si>
    <t>F943610</t>
  </si>
  <si>
    <t>RE-100925</t>
  </si>
  <si>
    <t>F994643</t>
  </si>
  <si>
    <t>RE-100926</t>
  </si>
  <si>
    <t>F257334</t>
  </si>
  <si>
    <t>TR-100978</t>
  </si>
  <si>
    <t>RE-100927</t>
  </si>
  <si>
    <t>F405579</t>
  </si>
  <si>
    <t>CH-100891</t>
  </si>
  <si>
    <t>F191771</t>
  </si>
  <si>
    <t>RE-100928</t>
  </si>
  <si>
    <t>F186345</t>
  </si>
  <si>
    <t>RE-100929</t>
  </si>
  <si>
    <t>F964226</t>
  </si>
  <si>
    <t>CH-100892</t>
  </si>
  <si>
    <t>F175165</t>
  </si>
  <si>
    <t>TR-100979</t>
  </si>
  <si>
    <t>F265039</t>
  </si>
  <si>
    <t>TR-100980</t>
  </si>
  <si>
    <t>F397477</t>
  </si>
  <si>
    <t>RE-100930</t>
  </si>
  <si>
    <t>F595620</t>
  </si>
  <si>
    <t>CH-100893</t>
  </si>
  <si>
    <t>F839935</t>
  </si>
  <si>
    <t>CH-100894</t>
  </si>
  <si>
    <t>F798619</t>
  </si>
  <si>
    <t>CH-100895</t>
  </si>
  <si>
    <t>F138585</t>
  </si>
  <si>
    <t>RE-100931</t>
  </si>
  <si>
    <t>F232235</t>
  </si>
  <si>
    <t>RE-100932</t>
  </si>
  <si>
    <t>F853549</t>
  </si>
  <si>
    <t>CH-100896</t>
  </si>
  <si>
    <t>F804266</t>
  </si>
  <si>
    <t>TR-100981</t>
  </si>
  <si>
    <t>F596215</t>
  </si>
  <si>
    <t>TR-100982</t>
  </si>
  <si>
    <t>CH-100897</t>
  </si>
  <si>
    <t>F921794</t>
  </si>
  <si>
    <t>TR-100983</t>
  </si>
  <si>
    <t>F841746</t>
  </si>
  <si>
    <t>CH-100898</t>
  </si>
  <si>
    <t>F362773</t>
  </si>
  <si>
    <t>CH-100899</t>
  </si>
  <si>
    <t>F351682</t>
  </si>
  <si>
    <t>TR-100984</t>
  </si>
  <si>
    <t>F289281</t>
  </si>
  <si>
    <t>CH-100900</t>
  </si>
  <si>
    <t>F939079</t>
  </si>
  <si>
    <t>TR-100985</t>
  </si>
  <si>
    <t>F311511</t>
  </si>
  <si>
    <t>RE-100933</t>
  </si>
  <si>
    <t>F880195</t>
  </si>
  <si>
    <t>TR-100986</t>
  </si>
  <si>
    <t>F306214</t>
  </si>
  <si>
    <t>CH-100901</t>
  </si>
  <si>
    <t>F673700</t>
  </si>
  <si>
    <t>CH-100902</t>
  </si>
  <si>
    <t>F118785</t>
  </si>
  <si>
    <t>CH-100903</t>
  </si>
  <si>
    <t>F699678</t>
  </si>
  <si>
    <t>RE-100934</t>
  </si>
  <si>
    <t>F783728</t>
  </si>
  <si>
    <t>RE-100935</t>
  </si>
  <si>
    <t>F378256</t>
  </si>
  <si>
    <t>RE-100936</t>
  </si>
  <si>
    <t>F350588</t>
  </si>
  <si>
    <t>CH-100904</t>
  </si>
  <si>
    <t>F536999</t>
  </si>
  <si>
    <t>RE-100937</t>
  </si>
  <si>
    <t>F795535</t>
  </si>
  <si>
    <t>RE-100938</t>
  </si>
  <si>
    <t>F917548</t>
  </si>
  <si>
    <t>RE-100939</t>
  </si>
  <si>
    <t>F787973</t>
  </si>
  <si>
    <t>RE-100940</t>
  </si>
  <si>
    <t>F357526</t>
  </si>
  <si>
    <t>CH-100905</t>
  </si>
  <si>
    <t>F804444</t>
  </si>
  <si>
    <t>CH-100906</t>
  </si>
  <si>
    <t>F478986</t>
  </si>
  <si>
    <t>RE-100941</t>
  </si>
  <si>
    <t>F675333</t>
  </si>
  <si>
    <t>TR-100987</t>
  </si>
  <si>
    <t>F351187</t>
  </si>
  <si>
    <t>RE-100942</t>
  </si>
  <si>
    <t>F573213</t>
  </si>
  <si>
    <t>CH-100907</t>
  </si>
  <si>
    <t>F604618</t>
  </si>
  <si>
    <t>TR-100988</t>
  </si>
  <si>
    <t>F470399</t>
  </si>
  <si>
    <t>RE-100943</t>
  </si>
  <si>
    <t>F860548</t>
  </si>
  <si>
    <t>RE-100944</t>
  </si>
  <si>
    <t>F190622</t>
  </si>
  <si>
    <t>RE-100945</t>
  </si>
  <si>
    <t>F660788</t>
  </si>
  <si>
    <t>RE-100946</t>
  </si>
  <si>
    <t>F994966</t>
  </si>
  <si>
    <t>CH-100908</t>
  </si>
  <si>
    <t>F911035</t>
  </si>
  <si>
    <t>TR-100989</t>
  </si>
  <si>
    <t>F975048</t>
  </si>
  <si>
    <t>TR-100990</t>
  </si>
  <si>
    <t>F437865</t>
  </si>
  <si>
    <t>TR-100991</t>
  </si>
  <si>
    <t>F103902</t>
  </si>
  <si>
    <t>TR-100992</t>
  </si>
  <si>
    <t>F886151</t>
  </si>
  <si>
    <t>RE-100947</t>
  </si>
  <si>
    <t>F723534</t>
  </si>
  <si>
    <t>TR-100993</t>
  </si>
  <si>
    <t>F680476</t>
  </si>
  <si>
    <t>TR-100994</t>
  </si>
  <si>
    <t>F924334</t>
  </si>
  <si>
    <t>TR-100995</t>
  </si>
  <si>
    <t>F407706</t>
  </si>
  <si>
    <t>RE-100948</t>
  </si>
  <si>
    <t>F243570</t>
  </si>
  <si>
    <t>TR-100996</t>
  </si>
  <si>
    <t>F456454</t>
  </si>
  <si>
    <t>CH-100909</t>
  </si>
  <si>
    <t>F874508</t>
  </si>
  <si>
    <t>CH-100910</t>
  </si>
  <si>
    <t>F293751</t>
  </si>
  <si>
    <t>TR-100997</t>
  </si>
  <si>
    <t>F728669</t>
  </si>
  <si>
    <t>RE-100949</t>
  </si>
  <si>
    <t>F433774</t>
  </si>
  <si>
    <t>RE-100950</t>
  </si>
  <si>
    <t>F426619</t>
  </si>
  <si>
    <t>TR-100998</t>
  </si>
  <si>
    <t>F705407</t>
  </si>
  <si>
    <t>TR-100999</t>
  </si>
  <si>
    <t>F523257</t>
  </si>
  <si>
    <t>RE-100951</t>
  </si>
  <si>
    <t>F382117</t>
  </si>
  <si>
    <t>TR-101000</t>
  </si>
  <si>
    <t>F104204</t>
  </si>
  <si>
    <t>RE-100952</t>
  </si>
  <si>
    <t>F668290</t>
  </si>
  <si>
    <t>RE-100953</t>
  </si>
  <si>
    <t>F185992</t>
  </si>
  <si>
    <t>CH-100911</t>
  </si>
  <si>
    <t>F951703</t>
  </si>
  <si>
    <t>RE-100954</t>
  </si>
  <si>
    <t>F962113</t>
  </si>
  <si>
    <t>TR-101001</t>
  </si>
  <si>
    <t>F386590</t>
  </si>
  <si>
    <t>TR-101002</t>
  </si>
  <si>
    <t>F550597</t>
  </si>
  <si>
    <t>RE-100955</t>
  </si>
  <si>
    <t>F406924</t>
  </si>
  <si>
    <t>CH-100912</t>
  </si>
  <si>
    <t>F401636</t>
  </si>
  <si>
    <t>CH-100913</t>
  </si>
  <si>
    <t>F779831</t>
  </si>
  <si>
    <t>TR-101003</t>
  </si>
  <si>
    <t>F883061</t>
  </si>
  <si>
    <t>CH-100914</t>
  </si>
  <si>
    <t>F225805</t>
  </si>
  <si>
    <t>TR-101004</t>
  </si>
  <si>
    <t>F881063</t>
  </si>
  <si>
    <t>RE-100956</t>
  </si>
  <si>
    <t>F389982</t>
  </si>
  <si>
    <t>RE-100957</t>
  </si>
  <si>
    <t>F114428</t>
  </si>
  <si>
    <t>CH-100915</t>
  </si>
  <si>
    <t>F859498</t>
  </si>
  <si>
    <t>TR-101005</t>
  </si>
  <si>
    <t>F791557</t>
  </si>
  <si>
    <t>TR-101006</t>
  </si>
  <si>
    <t>F316826</t>
  </si>
  <si>
    <t>CH-100916</t>
  </si>
  <si>
    <t>F558700</t>
  </si>
  <si>
    <t>RE-100958</t>
  </si>
  <si>
    <t>F884674</t>
  </si>
  <si>
    <t>CH-100917</t>
  </si>
  <si>
    <t>F247532</t>
  </si>
  <si>
    <t>CH-100918</t>
  </si>
  <si>
    <t>F923861</t>
  </si>
  <si>
    <t>TR-101007</t>
  </si>
  <si>
    <t>F335212</t>
  </si>
  <si>
    <t>CH-100919</t>
  </si>
  <si>
    <t>F382737</t>
  </si>
  <si>
    <t>RE-100959</t>
  </si>
  <si>
    <t>F918946</t>
  </si>
  <si>
    <t>RE-100960</t>
  </si>
  <si>
    <t>F634456</t>
  </si>
  <si>
    <t>TR-101008</t>
  </si>
  <si>
    <t>TR-101009</t>
  </si>
  <si>
    <t>F882660</t>
  </si>
  <si>
    <t>CH-100920</t>
  </si>
  <si>
    <t>F364344</t>
  </si>
  <si>
    <t>RE-100961</t>
  </si>
  <si>
    <t>F702316</t>
  </si>
  <si>
    <t>TR-101010</t>
  </si>
  <si>
    <t>F256338</t>
  </si>
  <si>
    <t>RE-100962</t>
  </si>
  <si>
    <t>F296473</t>
  </si>
  <si>
    <t>RE-100963</t>
  </si>
  <si>
    <t>F714667</t>
  </si>
  <si>
    <t>RE-100964</t>
  </si>
  <si>
    <t>F692671</t>
  </si>
  <si>
    <t>TR-101011</t>
  </si>
  <si>
    <t>F356779</t>
  </si>
  <si>
    <t>CH-100921</t>
  </si>
  <si>
    <t>F658352</t>
  </si>
  <si>
    <t>CH-100922</t>
  </si>
  <si>
    <t>F208205</t>
  </si>
  <si>
    <t>TR-101012</t>
  </si>
  <si>
    <t>F589771</t>
  </si>
  <si>
    <t>CH-100923</t>
  </si>
  <si>
    <t>F562716</t>
  </si>
  <si>
    <t>TR-101013</t>
  </si>
  <si>
    <t>F368914</t>
  </si>
  <si>
    <t>RE-100965</t>
  </si>
  <si>
    <t>F717219</t>
  </si>
  <si>
    <t>CH-100924</t>
  </si>
  <si>
    <t>F224548</t>
  </si>
  <si>
    <t>RE-100966</t>
  </si>
  <si>
    <t>F897872</t>
  </si>
  <si>
    <t>RE-100967</t>
  </si>
  <si>
    <t>F789225</t>
  </si>
  <si>
    <t>TR-101014</t>
  </si>
  <si>
    <t>F531813</t>
  </si>
  <si>
    <t>CH-100925</t>
  </si>
  <si>
    <t>F391158</t>
  </si>
  <si>
    <t>RE-100968</t>
  </si>
  <si>
    <t>F829744</t>
  </si>
  <si>
    <t>RE-100969</t>
  </si>
  <si>
    <t>F122399</t>
  </si>
  <si>
    <t>TR-101015</t>
  </si>
  <si>
    <t>F288105</t>
  </si>
  <si>
    <t>RE-100970</t>
  </si>
  <si>
    <t>F133020</t>
  </si>
  <si>
    <t>RE-100971</t>
  </si>
  <si>
    <t>F898063</t>
  </si>
  <si>
    <t>CH-100926</t>
  </si>
  <si>
    <t>F266795</t>
  </si>
  <si>
    <t>CH-100927</t>
  </si>
  <si>
    <t>F817686</t>
  </si>
  <si>
    <t>CH-100928</t>
  </si>
  <si>
    <t>F555730</t>
  </si>
  <si>
    <t>RE-100972</t>
  </si>
  <si>
    <t>F681956</t>
  </si>
  <si>
    <t>TR-101016</t>
  </si>
  <si>
    <t>F446081</t>
  </si>
  <si>
    <t>CH-100929</t>
  </si>
  <si>
    <t>F570872</t>
  </si>
  <si>
    <t>CH-100930</t>
  </si>
  <si>
    <t>F324549</t>
  </si>
  <si>
    <t>TR-101017</t>
  </si>
  <si>
    <t>F661457</t>
  </si>
  <si>
    <t>CH-100931</t>
  </si>
  <si>
    <t>F872804</t>
  </si>
  <si>
    <t>TR-101018</t>
  </si>
  <si>
    <t>F781212</t>
  </si>
  <si>
    <t>TR-101019</t>
  </si>
  <si>
    <t>F343060</t>
  </si>
  <si>
    <t>RE-100973</t>
  </si>
  <si>
    <t>F177775</t>
  </si>
  <si>
    <t>RE-100974</t>
  </si>
  <si>
    <t>F198080</t>
  </si>
  <si>
    <t>CH-100932</t>
  </si>
  <si>
    <t>F146156</t>
  </si>
  <si>
    <t>CH-100933</t>
  </si>
  <si>
    <t>F832719</t>
  </si>
  <si>
    <t>TR-101020</t>
  </si>
  <si>
    <t>F542627</t>
  </si>
  <si>
    <t>TR-101021</t>
  </si>
  <si>
    <t>F583287</t>
  </si>
  <si>
    <t>RE-100975</t>
  </si>
  <si>
    <t>F917939</t>
  </si>
  <si>
    <t>RE-100976</t>
  </si>
  <si>
    <t>F187696</t>
  </si>
  <si>
    <t>CH-100934</t>
  </si>
  <si>
    <t>F299671</t>
  </si>
  <si>
    <t>CH-100935</t>
  </si>
  <si>
    <t>F779002</t>
  </si>
  <si>
    <t>CH-100936</t>
  </si>
  <si>
    <t>F127096</t>
  </si>
  <si>
    <t>TR-101022</t>
  </si>
  <si>
    <t>F220751</t>
  </si>
  <si>
    <t>TR-101023</t>
  </si>
  <si>
    <t>F672286</t>
  </si>
  <si>
    <t>RE-100977</t>
  </si>
  <si>
    <t>F614996</t>
  </si>
  <si>
    <t>TR-101024</t>
  </si>
  <si>
    <t>F625772</t>
  </si>
  <si>
    <t>TR-101025</t>
  </si>
  <si>
    <t>F555805</t>
  </si>
  <si>
    <t>CH-100937</t>
  </si>
  <si>
    <t>F373977</t>
  </si>
  <si>
    <t>RE-100978</t>
  </si>
  <si>
    <t>F640950</t>
  </si>
  <si>
    <t>CH-100938</t>
  </si>
  <si>
    <t>F256524</t>
  </si>
  <si>
    <t>CH-100939</t>
  </si>
  <si>
    <t>F425191</t>
  </si>
  <si>
    <t>RE-100979</t>
  </si>
  <si>
    <t>F592588</t>
  </si>
  <si>
    <t>RE-100980</t>
  </si>
  <si>
    <t>F685380</t>
  </si>
  <si>
    <t>CH-100940</t>
  </si>
  <si>
    <t>F997744</t>
  </si>
  <si>
    <t>TR-101026</t>
  </si>
  <si>
    <t>F228356</t>
  </si>
  <si>
    <t>CH-100941</t>
  </si>
  <si>
    <t>F874379</t>
  </si>
  <si>
    <t>RE-100981</t>
  </si>
  <si>
    <t>F286064</t>
  </si>
  <si>
    <t>TR-101027</t>
  </si>
  <si>
    <t>F900957</t>
  </si>
  <si>
    <t>RE-100982</t>
  </si>
  <si>
    <t>F805691</t>
  </si>
  <si>
    <t>RE-100983</t>
  </si>
  <si>
    <t>F861255</t>
  </si>
  <si>
    <t>RE-100984</t>
  </si>
  <si>
    <t>F422433</t>
  </si>
  <si>
    <t>CH-100942</t>
  </si>
  <si>
    <t>F236850</t>
  </si>
  <si>
    <t>CH-100943</t>
  </si>
  <si>
    <t>F961968</t>
  </si>
  <si>
    <t>CH-100944</t>
  </si>
  <si>
    <t>F886739</t>
  </si>
  <si>
    <t>CH-100945</t>
  </si>
  <si>
    <t>F856153</t>
  </si>
  <si>
    <t>TR-101028</t>
  </si>
  <si>
    <t>F300982</t>
  </si>
  <si>
    <t>TR-101029</t>
  </si>
  <si>
    <t>F531165</t>
  </si>
  <si>
    <t>CH-100946</t>
  </si>
  <si>
    <t>F123584</t>
  </si>
  <si>
    <t>RE-100985</t>
  </si>
  <si>
    <t>F643945</t>
  </si>
  <si>
    <t>RE-100986</t>
  </si>
  <si>
    <t>F588303</t>
  </si>
  <si>
    <t>TR-101030</t>
  </si>
  <si>
    <t>F820190</t>
  </si>
  <si>
    <t>TR-101031</t>
  </si>
  <si>
    <t>F319086</t>
  </si>
  <si>
    <t>CH-100947</t>
  </si>
  <si>
    <t>F228115</t>
  </si>
  <si>
    <t>CH-100948</t>
  </si>
  <si>
    <t>F845857</t>
  </si>
  <si>
    <t>TR-101032</t>
  </si>
  <si>
    <t>F670821</t>
  </si>
  <si>
    <t>RE-100987</t>
  </si>
  <si>
    <t>F307607</t>
  </si>
  <si>
    <t>CH-100949</t>
  </si>
  <si>
    <t>F141115</t>
  </si>
  <si>
    <t>CH-100950</t>
  </si>
  <si>
    <t>F629411</t>
  </si>
  <si>
    <t>CH-100951</t>
  </si>
  <si>
    <t>F625004</t>
  </si>
  <si>
    <t>CH-100952</t>
  </si>
  <si>
    <t>F293807</t>
  </si>
  <si>
    <t>RE-100988</t>
  </si>
  <si>
    <t>F535182</t>
  </si>
  <si>
    <t>RE-100989</t>
  </si>
  <si>
    <t>F821836</t>
  </si>
  <si>
    <t>CH-100953</t>
  </si>
  <si>
    <t>F397427</t>
  </si>
  <si>
    <t>TR-101033</t>
  </si>
  <si>
    <t>F813158</t>
  </si>
  <si>
    <t>RE-100990</t>
  </si>
  <si>
    <t>F179955</t>
  </si>
  <si>
    <t>CH-100954</t>
  </si>
  <si>
    <t>F909361</t>
  </si>
  <si>
    <t>TR-101034</t>
  </si>
  <si>
    <t>F655628</t>
  </si>
  <si>
    <t>CH-100955</t>
  </si>
  <si>
    <t>F304163</t>
  </si>
  <si>
    <t>RE-100991</t>
  </si>
  <si>
    <t>F177071</t>
  </si>
  <si>
    <t>RE-100992</t>
  </si>
  <si>
    <t>F829197</t>
  </si>
  <si>
    <t>TR-101035</t>
  </si>
  <si>
    <t>F144935</t>
  </si>
  <si>
    <t>CH-100956</t>
  </si>
  <si>
    <t>F549492</t>
  </si>
  <si>
    <t>CH-100957</t>
  </si>
  <si>
    <t>F882597</t>
  </si>
  <si>
    <t>RE-100993</t>
  </si>
  <si>
    <t>F158077</t>
  </si>
  <si>
    <t>TR-101036</t>
  </si>
  <si>
    <t>F192672</t>
  </si>
  <si>
    <t>RE-100994</t>
  </si>
  <si>
    <t>F881358</t>
  </si>
  <si>
    <t>RE-100995</t>
  </si>
  <si>
    <t>F457075</t>
  </si>
  <si>
    <t>CH-100958</t>
  </si>
  <si>
    <t>F699828</t>
  </si>
  <si>
    <t>RE-100996</t>
  </si>
  <si>
    <t>F249522</t>
  </si>
  <si>
    <t>TR-101037</t>
  </si>
  <si>
    <t>F886078</t>
  </si>
  <si>
    <t>RE-100997</t>
  </si>
  <si>
    <t>F932371</t>
  </si>
  <si>
    <t>TR-101038</t>
  </si>
  <si>
    <t>F799512</t>
  </si>
  <si>
    <t>TR-101039</t>
  </si>
  <si>
    <t>F776473</t>
  </si>
  <si>
    <t>CH-100959</t>
  </si>
  <si>
    <t>F488563</t>
  </si>
  <si>
    <t>CH-100960</t>
  </si>
  <si>
    <t>F486130</t>
  </si>
  <si>
    <t>TR-101040</t>
  </si>
  <si>
    <t>F701974</t>
  </si>
  <si>
    <t>RE-100998</t>
  </si>
  <si>
    <t>F273645</t>
  </si>
  <si>
    <t>CH-100961</t>
  </si>
  <si>
    <t>F903868</t>
  </si>
  <si>
    <t>TR-101041</t>
  </si>
  <si>
    <t>F772922</t>
  </si>
  <si>
    <t>DOUBLON</t>
  </si>
  <si>
    <t>TESTS DE CONTRÔLE - DÉTECTION D'ANOMALIES</t>
  </si>
  <si>
    <t>Contrôle</t>
  </si>
  <si>
    <t>Objectif</t>
  </si>
  <si>
    <t>Méthode (formule)</t>
  </si>
  <si>
    <t>Résultat (nb lignes)</t>
  </si>
  <si>
    <t>Action corrective</t>
  </si>
  <si>
    <t>Doublons</t>
  </si>
  <si>
    <t>Détecter des écritures strictement identiques (même date, compte, montant, fournisseur)</t>
  </si>
  <si>
    <t>Rapprocher chaque doublon détecté avec la pièce justificative ; annuler la double comptabilisation</t>
  </si>
  <si>
    <t>Montants atypiques (&gt; 3x la moyenne du compte)</t>
  </si>
  <si>
    <t>Repérer les montants HT anormalement élevés par rapport à la moyenne du compte</t>
  </si>
  <si>
    <t>Justifier individuellement chaque montant atypique auprès du service émetteur</t>
  </si>
  <si>
    <t>Écritures le week-end (hors comptes de paie)</t>
  </si>
  <si>
    <t>Identifier des écritures saisies un samedi ou un dimanche sur des comptes normalement traités en semaine</t>
  </si>
  <si>
    <t>Vérifier l'origine de la saisie (accès système, utilisateur, horodatage)</t>
  </si>
  <si>
    <t>Vérifier qu'aucune écriture n'est datée hors de l'exercice de référence</t>
  </si>
  <si>
    <t>Reclasser sur le bon exercice ou justifier une écriture de régularisation</t>
  </si>
  <si>
    <t>Incohérence de taux de TVA</t>
  </si>
  <si>
    <t>Vérifier que le taux de TVA appliqué correspond au taux attendu pour le compte (référentiel joint)</t>
  </si>
  <si>
    <t>Corriger le taux de TVA et vérifier la déclaration de TVA associée</t>
  </si>
  <si>
    <t>Comptes comptables inhabituels</t>
  </si>
  <si>
    <t>Repérer l'usage de comptes rarement mobilisés (471, 758, 6788)</t>
  </si>
  <si>
    <t>Documenter la nature de l'opération et reclasser si besoin sur un compte usuel</t>
  </si>
  <si>
    <t>Montants arrondis suspects (multiples exacts de 1 000 €)</t>
  </si>
  <si>
    <t>Repérer les montants ronds, statistiquement peu fréquents dans une facturation réelle</t>
  </si>
  <si>
    <t>Demander la facture détaillée pour confirmer la réalité de la charge</t>
  </si>
  <si>
    <t>Factures sans référence</t>
  </si>
  <si>
    <t>Identifier les écritures d'achat/charge externe sans référence de facture</t>
  </si>
  <si>
    <t>Bloquer le paiement tant que la référence n'est pas régularisée</t>
  </si>
  <si>
    <t>Fournisseurs à risque (hors référentiel habituel)</t>
  </si>
  <si>
    <t>Repérer les tiers ne figurant pas dans la liste des fournisseurs habituels du groupe</t>
  </si>
  <si>
    <t>Vérifier l'existence légale du tiers (SIREN, RIB) avant tout nouveau paiement</t>
  </si>
  <si>
    <t>CARTOGRAPHIE DES RISQUES - PROCESSUS ACTIVITÉ → FACTURATION → COMPTABILITÉ → REPORTING → DÉCISION</t>
  </si>
  <si>
    <t>Étape du processus</t>
  </si>
  <si>
    <t>Risque</t>
  </si>
  <si>
    <t>Cause</t>
  </si>
  <si>
    <t>Conséquence</t>
  </si>
  <si>
    <t>Probabilité</t>
  </si>
  <si>
    <t>Impact</t>
  </si>
  <si>
    <t>Niveau de risque</t>
  </si>
  <si>
    <t>Contrôle existant</t>
  </si>
  <si>
    <t>Contrôle recommandé</t>
  </si>
  <si>
    <t>Activité</t>
  </si>
  <si>
    <t>Saisie incomplète ou erronée de l'acte médical</t>
  </si>
  <si>
    <t>Charge de travail soignante, interface de saisie peu ergonomique</t>
  </si>
  <si>
    <t>Sous-facturation ou sur-facturation de l'activité réelle</t>
  </si>
  <si>
    <t>Moyenne</t>
  </si>
  <si>
    <t>Moyen</t>
  </si>
  <si>
    <t>Contrôle visuel ponctuel par le cadre de service</t>
  </si>
  <si>
    <t>Contrôle de cohérence automatisé acte/dossier patient à la saisie</t>
  </si>
  <si>
    <t>Dossier patient</t>
  </si>
  <si>
    <t>Absence ou incohérence de la référence du dossier</t>
  </si>
  <si>
    <t>Processus d'admission non systématisé, interfaces multiples</t>
  </si>
  <si>
    <t>Difficulté à rapprocher l'acte, le dossier et la facture</t>
  </si>
  <si>
    <t>Vérification manuelle à l'admission</t>
  </si>
  <si>
    <t>Identifiant patient unique obligatoire et bloquant sur tous les systèmes</t>
  </si>
  <si>
    <t>Facturation</t>
  </si>
  <si>
    <t>Écart entre l'activité réalisée et la facture émise</t>
  </si>
  <si>
    <t>Défaut d'interfaçage entre le système d'activité et la facturation</t>
  </si>
  <si>
    <t>Perte de chiffre d'affaires ou facturation indue</t>
  </si>
  <si>
    <t>Élevée</t>
  </si>
  <si>
    <t>Élevé</t>
  </si>
  <si>
    <t>Rapprochement mensuel partiel, non systématique</t>
  </si>
  <si>
    <t>Rapprochement automatisé et exhaustif activité/facturation à chaque clôture</t>
  </si>
  <si>
    <t>Facture sans référence ou non traçable</t>
  </si>
  <si>
    <t>Absence de contrôle bloquant à la saisie</t>
  </si>
  <si>
    <t>Paiement d'une charge non justifiée, risque de fraude</t>
  </si>
  <si>
    <t>Aucun contrôle bloquant identifié (cf. test 02 : 20 factures sans référence détectées)</t>
  </si>
  <si>
    <t>Blocage du paiement tant que la référence de facture n'est pas renseignée</t>
  </si>
  <si>
    <t>Comptabilité</t>
  </si>
  <si>
    <t>Écriture dupliquée ou saisie en double</t>
  </si>
  <si>
    <t>Absence de contrôle d'unicité à la saisie, ressaisie manuelle</t>
  </si>
  <si>
    <t>Charge comptabilisée deux fois, résultat faussé</t>
  </si>
  <si>
    <t>Contrôle a posteriori uniquement (test 02 : 30 lignes détectées)</t>
  </si>
  <si>
    <t>Contrôle d'unicité automatique à la saisie (date + compte + montant + tiers)</t>
  </si>
  <si>
    <t>Écriture passée par un utilisateur non habilité ou hors période</t>
  </si>
  <si>
    <t>Séparation des tâches insuffisante, accès système trop larges</t>
  </si>
  <si>
    <t>Manipulation de résultat, non-conformité à l'exercice comptable</t>
  </si>
  <si>
    <t>Faible</t>
  </si>
  <si>
    <t>Contrôle de clôture mensuel</t>
  </si>
  <si>
    <t>Verrouillage système des périodes clôturées et journalisation des accès</t>
  </si>
  <si>
    <t>Incohérence de taux de TVA appliqué</t>
  </si>
  <si>
    <t>Absence de référentiel TVA imposé par compte dans le système</t>
  </si>
  <si>
    <t>Erreur de déclaration de TVA, redressement fiscal</t>
  </si>
  <si>
    <t>Contrôle déclaratif mensuel par la comptabilité</t>
  </si>
  <si>
    <t>Paramétrage du taux de TVA par défaut, non modifiable, par compte</t>
  </si>
  <si>
    <t>Reporting</t>
  </si>
  <si>
    <t>Chiffres du reporting non réconciliés avec la comptabilité</t>
  </si>
  <si>
    <t>Sources de données multiples, retraitements manuels sous Excel</t>
  </si>
  <si>
    <t>Décision prise sur une base erronée</t>
  </si>
  <si>
    <t>Contrôle ponctuel en fin de trimestre</t>
  </si>
  <si>
    <t>Contrôle de cohérence automatisé entre reporting et comptabilité à chaque clôture (cf. Étape 2, onglet Contrôle)</t>
  </si>
  <si>
    <t>Décision</t>
  </si>
  <si>
    <t>Recommandation fondée sur un indicateur erroné non détecté en amont</t>
  </si>
  <si>
    <t>Absence de traçabilité des sources utilisées pour chaque KPI</t>
  </si>
  <si>
    <t>Décision de gestion inadaptée (ex. investissement, arrêt d'activité)</t>
  </si>
  <si>
    <t>Revue de Direction mensuelle</t>
  </si>
  <si>
    <t>Documentation systématique de la source et de la méthode de calcul de chaque KPI (cf. Étape 4)</t>
  </si>
  <si>
    <t>MATRICE DE CRITICITÉ (nombre de risques par case)</t>
  </si>
  <si>
    <t>Probabilité \ Impact</t>
  </si>
  <si>
    <t>GRILLE D'ÉVALUATION DU CONTRÔLE INTERNE - RÉFÉRENTIEL COSO</t>
  </si>
  <si>
    <t>Composante COSO</t>
  </si>
  <si>
    <t>Constat CHHS</t>
  </si>
  <si>
    <t>Évaluation</t>
  </si>
  <si>
    <t>Action recommandée</t>
  </si>
  <si>
    <t>Séparation des tâches</t>
  </si>
  <si>
    <t>La même personne peut saisir une facture fournisseur et valider son paiement sur certains sites</t>
  </si>
  <si>
    <t>Insuffisant</t>
  </si>
  <si>
    <t>Séparer strictement saisie, validation et paiement ; formaliser une matrice d'habilitations</t>
  </si>
  <si>
    <t>Autorisations</t>
  </si>
  <si>
    <t>Les seuils de délégation de signature ne sont pas systématiquement appliqués dans l'outil comptable</t>
  </si>
  <si>
    <t>Partiel</t>
  </si>
  <si>
    <t>Paramétrer des seuils de validation hiérarchique bloquants dans le système</t>
  </si>
  <si>
    <t>Contrôles de supervision</t>
  </si>
  <si>
    <t>Le rapprochement activité/facturation n'est réalisé que ponctuellement, pas à chaque clôture</t>
  </si>
  <si>
    <t>Rendre le rapprochement mensuel systématique et formalisé (cf. cartographie des risques)</t>
  </si>
  <si>
    <t>Traçabilité</t>
  </si>
  <si>
    <t>Absence de référence de facture obligatoire ; 20 écritures sans référence détectées</t>
  </si>
  <si>
    <t>Rendre la référence de facture obligatoire et bloquante à la saisie</t>
  </si>
  <si>
    <t>Rapprochements</t>
  </si>
  <si>
    <t>Rapprochement bancaire réalisé mensuellement mais rapprochement budget/réalisé par activité encore manuel</t>
  </si>
  <si>
    <t>Automatiser le rapprochement budget/réalisé (cf. Étape 3)</t>
  </si>
  <si>
    <t>Accès aux systèmes</t>
  </si>
  <si>
    <t>Les droits d'accès ne sont pas revus périodiquement depuis la mise en place du système</t>
  </si>
  <si>
    <t>Mettre en place une revue annuelle des habilitations utilisateurs</t>
  </si>
  <si>
    <t>Contrôle des données</t>
  </si>
  <si>
    <t>Aucun contrôle automatique de doublon ou de cohérence de TVA à la saisie (cf. tests de l'onglet 02)</t>
  </si>
  <si>
    <t>Implémenter les contrôles automatiques identifiés à l'onglet 02_Tests_Controle</t>
  </si>
  <si>
    <t>Écritures hors période comptable (hors 01/01-31/12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</si>
</sst>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Cambria"/>
      <charset val="1"/>
    </font>
    <font>
      <i/>
      <sz val="11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8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urnal" displayName="Journal" ref="A1:M3016" totalsRowShown="0">
  <autoFilter ref="A1:M3016" xr:uid="{00000000-0009-0000-0100-000001000000}"/>
  <tableColumns count="13">
    <tableColumn id="1" xr3:uid="{00000000-0010-0000-0000-000001000000}" name="ID_Ecriture"/>
    <tableColumn id="2" xr3:uid="{00000000-0010-0000-0000-000002000000}" name="Date"/>
    <tableColumn id="3" xr3:uid="{00000000-0010-0000-0000-000003000000}" name="Site"/>
    <tableColumn id="4" xr3:uid="{00000000-0010-0000-0000-000004000000}" name="Compte"/>
    <tableColumn id="5" xr3:uid="{00000000-0010-0000-0000-000005000000}" name="Libellé_Compte"/>
    <tableColumn id="6" xr3:uid="{00000000-0010-0000-0000-000006000000}" name="Fournisseur"/>
    <tableColumn id="7" xr3:uid="{00000000-0010-0000-0000-000007000000}" name="Montant_HT"/>
    <tableColumn id="8" xr3:uid="{00000000-0010-0000-0000-000008000000}" name="Taux_TVA"/>
    <tableColumn id="9" xr3:uid="{00000000-0010-0000-0000-000009000000}" name="Montant_TVA"/>
    <tableColumn id="10" xr3:uid="{00000000-0010-0000-0000-00000A000000}" name="Montant_TTC"/>
    <tableColumn id="11" xr3:uid="{00000000-0010-0000-0000-00000B000000}" name="Numero_Piece"/>
    <tableColumn id="12" xr3:uid="{00000000-0010-0000-0000-00000C000000}" name="Reference_Facture"/>
    <tableColumn id="13" xr3:uid="{00000000-0010-0000-0000-00000D000000}" name="Indice_Correc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>
      <selection activeCell="B17" sqref="B17"/>
    </sheetView>
  </sheetViews>
  <sheetFormatPr baseColWidth="10" defaultColWidth="8.7109375" defaultRowHeight="15" x14ac:dyDescent="0.25"/>
  <cols>
    <col min="1" max="1" width="40" customWidth="1"/>
    <col min="2" max="2" width="95" customWidth="1"/>
  </cols>
  <sheetData>
    <row r="1" spans="1:2" ht="17.25" customHeight="1" x14ac:dyDescent="0.25">
      <c r="A1" s="1" t="s">
        <v>0</v>
      </c>
    </row>
    <row r="3" spans="1:2" ht="15" customHeight="1" x14ac:dyDescent="0.25">
      <c r="A3" t="s">
        <v>1</v>
      </c>
    </row>
    <row r="4" spans="1:2" ht="15" customHeight="1" x14ac:dyDescent="0.25">
      <c r="A4" s="2" t="s">
        <v>2</v>
      </c>
    </row>
    <row r="6" spans="1:2" ht="15" customHeight="1" x14ac:dyDescent="0.25">
      <c r="A6" s="3" t="s">
        <v>3</v>
      </c>
      <c r="B6" s="3" t="s">
        <v>4</v>
      </c>
    </row>
    <row r="7" spans="1:2" ht="15" customHeight="1" x14ac:dyDescent="0.25">
      <c r="A7" t="s">
        <v>5</v>
      </c>
      <c r="B7" t="s">
        <v>6</v>
      </c>
    </row>
    <row r="8" spans="1:2" ht="15" customHeight="1" x14ac:dyDescent="0.25">
      <c r="A8" t="s">
        <v>7</v>
      </c>
      <c r="B8" t="s">
        <v>8</v>
      </c>
    </row>
    <row r="9" spans="1:2" ht="15" customHeight="1" x14ac:dyDescent="0.25">
      <c r="A9" t="s">
        <v>9</v>
      </c>
      <c r="B9" t="s">
        <v>10</v>
      </c>
    </row>
    <row r="10" spans="1:2" ht="15" customHeight="1" x14ac:dyDescent="0.25">
      <c r="A10" t="s">
        <v>11</v>
      </c>
      <c r="B10" t="s">
        <v>12</v>
      </c>
    </row>
    <row r="12" spans="1:2" ht="45" customHeight="1" x14ac:dyDescent="0.25">
      <c r="A12" s="4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6"/>
  <sheetViews>
    <sheetView topLeftCell="B3" zoomScaleNormal="100" workbookViewId="0">
      <selection activeCell="F3017" sqref="F3017"/>
    </sheetView>
  </sheetViews>
  <sheetFormatPr baseColWidth="10" defaultColWidth="8.7109375" defaultRowHeight="15" x14ac:dyDescent="0.25"/>
  <cols>
    <col min="1" max="1" width="10" customWidth="1"/>
    <col min="2" max="2" width="10.7109375" bestFit="1" customWidth="1"/>
    <col min="3" max="3" width="10" customWidth="1"/>
    <col min="4" max="4" width="9" customWidth="1"/>
    <col min="5" max="5" width="32" customWidth="1"/>
    <col min="6" max="6" width="26" customWidth="1"/>
    <col min="7" max="7" width="12" customWidth="1"/>
    <col min="8" max="8" width="10" customWidth="1"/>
    <col min="9" max="11" width="12" customWidth="1"/>
    <col min="12" max="12" width="14" customWidth="1"/>
    <col min="13" max="13" width="25.7109375" bestFit="1" customWidth="1"/>
  </cols>
  <sheetData>
    <row r="1" spans="1:13" ht="27.75" customHeigh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</row>
    <row r="2" spans="1:13" ht="15" customHeight="1" x14ac:dyDescent="0.25">
      <c r="A2">
        <v>1</v>
      </c>
      <c r="B2" s="5">
        <v>45798</v>
      </c>
      <c r="C2" t="s">
        <v>27</v>
      </c>
      <c r="D2" t="s">
        <v>28</v>
      </c>
      <c r="E2" t="s">
        <v>29</v>
      </c>
      <c r="F2" t="s">
        <v>30</v>
      </c>
      <c r="G2" s="6">
        <v>1162.42</v>
      </c>
      <c r="H2" s="7">
        <v>2.1000000000000001E-2</v>
      </c>
      <c r="I2" s="6">
        <v>24.41</v>
      </c>
      <c r="J2" s="6">
        <v>1186.83</v>
      </c>
      <c r="K2" t="s">
        <v>31</v>
      </c>
      <c r="L2" t="s">
        <v>32</v>
      </c>
    </row>
    <row r="3" spans="1:13" ht="15" customHeight="1" x14ac:dyDescent="0.25">
      <c r="A3">
        <v>2</v>
      </c>
      <c r="B3" s="5">
        <v>45937</v>
      </c>
      <c r="C3" t="s">
        <v>33</v>
      </c>
      <c r="D3" t="s">
        <v>34</v>
      </c>
      <c r="E3" t="s">
        <v>35</v>
      </c>
      <c r="F3" t="s">
        <v>36</v>
      </c>
      <c r="G3" s="6">
        <v>464.27</v>
      </c>
      <c r="H3" s="7">
        <v>0.2</v>
      </c>
      <c r="I3" s="6">
        <v>92.85</v>
      </c>
      <c r="J3" s="6">
        <v>557.12</v>
      </c>
      <c r="K3" t="s">
        <v>37</v>
      </c>
      <c r="L3" t="s">
        <v>38</v>
      </c>
    </row>
    <row r="4" spans="1:13" ht="15" customHeight="1" x14ac:dyDescent="0.25">
      <c r="A4">
        <v>3</v>
      </c>
      <c r="B4" s="5">
        <v>45777</v>
      </c>
      <c r="C4" t="s">
        <v>33</v>
      </c>
      <c r="D4" t="s">
        <v>28</v>
      </c>
      <c r="E4" t="s">
        <v>29</v>
      </c>
      <c r="F4" t="s">
        <v>39</v>
      </c>
      <c r="G4" s="6">
        <v>2313.67</v>
      </c>
      <c r="H4" s="7">
        <v>2.1000000000000001E-2</v>
      </c>
      <c r="I4" s="6">
        <v>48.59</v>
      </c>
      <c r="J4" s="6">
        <v>2362.2600000000002</v>
      </c>
      <c r="K4" t="s">
        <v>40</v>
      </c>
      <c r="L4" t="s">
        <v>41</v>
      </c>
    </row>
    <row r="5" spans="1:13" ht="15" customHeight="1" x14ac:dyDescent="0.25">
      <c r="A5">
        <v>4</v>
      </c>
      <c r="B5" s="5">
        <v>46017</v>
      </c>
      <c r="C5" t="s">
        <v>33</v>
      </c>
      <c r="D5" t="s">
        <v>42</v>
      </c>
      <c r="E5" t="s">
        <v>43</v>
      </c>
      <c r="F5" t="s">
        <v>44</v>
      </c>
      <c r="G5" s="6">
        <v>2329.06</v>
      </c>
      <c r="H5" s="7">
        <v>0</v>
      </c>
      <c r="I5" s="6">
        <v>0</v>
      </c>
      <c r="J5" s="6">
        <v>2329.06</v>
      </c>
      <c r="K5" t="s">
        <v>45</v>
      </c>
      <c r="L5" t="s">
        <v>46</v>
      </c>
    </row>
    <row r="6" spans="1:13" ht="15" customHeight="1" x14ac:dyDescent="0.25">
      <c r="A6">
        <v>5</v>
      </c>
      <c r="B6" s="5">
        <v>46015</v>
      </c>
      <c r="C6" t="s">
        <v>47</v>
      </c>
      <c r="D6" t="s">
        <v>42</v>
      </c>
      <c r="E6" t="s">
        <v>43</v>
      </c>
      <c r="F6" t="s">
        <v>44</v>
      </c>
      <c r="G6" s="6">
        <v>2466.89</v>
      </c>
      <c r="H6" s="7">
        <v>0</v>
      </c>
      <c r="I6" s="6">
        <v>0</v>
      </c>
      <c r="J6" s="6">
        <v>2466.89</v>
      </c>
      <c r="K6" t="s">
        <v>48</v>
      </c>
      <c r="L6" t="s">
        <v>49</v>
      </c>
    </row>
    <row r="7" spans="1:13" ht="15" customHeight="1" x14ac:dyDescent="0.25">
      <c r="A7">
        <v>6</v>
      </c>
      <c r="B7" s="5">
        <v>45852</v>
      </c>
      <c r="C7" t="s">
        <v>47</v>
      </c>
      <c r="D7" t="s">
        <v>28</v>
      </c>
      <c r="E7" t="s">
        <v>29</v>
      </c>
      <c r="F7" t="s">
        <v>50</v>
      </c>
      <c r="G7" s="6">
        <v>507.49</v>
      </c>
      <c r="H7" s="7">
        <v>2.1000000000000001E-2</v>
      </c>
      <c r="I7" s="6">
        <v>10.66</v>
      </c>
      <c r="J7" s="6">
        <v>518.15</v>
      </c>
      <c r="K7" t="s">
        <v>51</v>
      </c>
      <c r="L7" t="s">
        <v>52</v>
      </c>
    </row>
    <row r="8" spans="1:13" ht="15" customHeight="1" x14ac:dyDescent="0.25">
      <c r="A8">
        <v>7</v>
      </c>
      <c r="B8" s="5">
        <v>45932</v>
      </c>
      <c r="C8" t="s">
        <v>47</v>
      </c>
      <c r="D8" t="s">
        <v>42</v>
      </c>
      <c r="E8" t="s">
        <v>43</v>
      </c>
      <c r="F8" t="s">
        <v>44</v>
      </c>
      <c r="G8" s="6">
        <v>4013.51</v>
      </c>
      <c r="H8" s="7">
        <v>0</v>
      </c>
      <c r="I8" s="6">
        <v>0</v>
      </c>
      <c r="J8" s="6">
        <v>4013.51</v>
      </c>
      <c r="K8" t="s">
        <v>53</v>
      </c>
      <c r="L8" t="s">
        <v>54</v>
      </c>
    </row>
    <row r="9" spans="1:13" ht="15" customHeight="1" x14ac:dyDescent="0.25">
      <c r="A9">
        <v>8</v>
      </c>
      <c r="B9" s="5">
        <v>45979</v>
      </c>
      <c r="C9" t="s">
        <v>27</v>
      </c>
      <c r="D9" t="s">
        <v>55</v>
      </c>
      <c r="E9" t="s">
        <v>56</v>
      </c>
      <c r="F9" t="s">
        <v>50</v>
      </c>
      <c r="G9" s="6">
        <v>2813.86</v>
      </c>
      <c r="H9" s="7">
        <v>5.5E-2</v>
      </c>
      <c r="I9" s="6">
        <v>154.76</v>
      </c>
      <c r="J9" s="6">
        <v>2968.62</v>
      </c>
      <c r="K9" t="s">
        <v>57</v>
      </c>
      <c r="L9" t="s">
        <v>58</v>
      </c>
    </row>
    <row r="10" spans="1:13" ht="15" customHeight="1" x14ac:dyDescent="0.25">
      <c r="A10">
        <v>9</v>
      </c>
      <c r="B10" s="5">
        <v>45681</v>
      </c>
      <c r="C10" t="s">
        <v>33</v>
      </c>
      <c r="D10" t="s">
        <v>42</v>
      </c>
      <c r="E10" t="s">
        <v>43</v>
      </c>
      <c r="F10" t="s">
        <v>44</v>
      </c>
      <c r="G10" s="6">
        <v>3655.36</v>
      </c>
      <c r="H10" s="7">
        <v>0</v>
      </c>
      <c r="I10" s="6">
        <v>0</v>
      </c>
      <c r="J10" s="6">
        <v>3655.36</v>
      </c>
      <c r="K10" t="s">
        <v>59</v>
      </c>
      <c r="L10" t="s">
        <v>60</v>
      </c>
    </row>
    <row r="11" spans="1:13" ht="15" customHeight="1" x14ac:dyDescent="0.25">
      <c r="A11">
        <v>10</v>
      </c>
      <c r="B11" s="5">
        <v>45852</v>
      </c>
      <c r="C11" t="s">
        <v>33</v>
      </c>
      <c r="D11" t="s">
        <v>42</v>
      </c>
      <c r="E11" t="s">
        <v>43</v>
      </c>
      <c r="F11" t="s">
        <v>44</v>
      </c>
      <c r="G11" s="6">
        <v>3325.64</v>
      </c>
      <c r="H11" s="7">
        <v>0</v>
      </c>
      <c r="I11" s="6">
        <v>0</v>
      </c>
      <c r="J11" s="6">
        <v>3325.64</v>
      </c>
      <c r="K11" t="s">
        <v>61</v>
      </c>
      <c r="L11" t="s">
        <v>62</v>
      </c>
    </row>
    <row r="12" spans="1:13" ht="15" customHeight="1" x14ac:dyDescent="0.25">
      <c r="A12">
        <v>11</v>
      </c>
      <c r="B12" s="5">
        <v>45765</v>
      </c>
      <c r="C12" t="s">
        <v>33</v>
      </c>
      <c r="D12" t="s">
        <v>63</v>
      </c>
      <c r="E12" t="s">
        <v>64</v>
      </c>
      <c r="F12" t="s">
        <v>65</v>
      </c>
      <c r="G12" s="6">
        <v>3042.17</v>
      </c>
      <c r="H12" s="7">
        <v>0.2</v>
      </c>
      <c r="I12" s="6">
        <v>608.42999999999995</v>
      </c>
      <c r="J12" s="6">
        <v>3650.6</v>
      </c>
      <c r="K12" t="s">
        <v>66</v>
      </c>
      <c r="L12" t="s">
        <v>67</v>
      </c>
      <c r="M12" t="s">
        <v>68</v>
      </c>
    </row>
    <row r="13" spans="1:13" ht="15" customHeight="1" x14ac:dyDescent="0.25">
      <c r="A13">
        <v>12</v>
      </c>
      <c r="B13" s="5">
        <v>45931</v>
      </c>
      <c r="C13" t="s">
        <v>27</v>
      </c>
      <c r="D13" t="s">
        <v>28</v>
      </c>
      <c r="E13" t="s">
        <v>29</v>
      </c>
      <c r="F13" t="s">
        <v>30</v>
      </c>
      <c r="G13" s="6">
        <v>3302.74</v>
      </c>
      <c r="H13" s="7">
        <v>2.1000000000000001E-2</v>
      </c>
      <c r="I13" s="6">
        <v>69.36</v>
      </c>
      <c r="J13" s="6">
        <v>3372.1</v>
      </c>
      <c r="K13" t="s">
        <v>69</v>
      </c>
      <c r="L13" t="s">
        <v>70</v>
      </c>
    </row>
    <row r="14" spans="1:13" ht="15" customHeight="1" x14ac:dyDescent="0.25">
      <c r="A14">
        <v>13</v>
      </c>
      <c r="B14" s="5">
        <v>45985</v>
      </c>
      <c r="C14" t="s">
        <v>47</v>
      </c>
      <c r="D14" t="s">
        <v>55</v>
      </c>
      <c r="E14" t="s">
        <v>56</v>
      </c>
      <c r="F14" t="s">
        <v>71</v>
      </c>
      <c r="G14" s="6">
        <v>3121.68</v>
      </c>
      <c r="H14" s="7">
        <v>5.5E-2</v>
      </c>
      <c r="I14" s="6">
        <v>171.69</v>
      </c>
      <c r="J14" s="6">
        <v>3293.37</v>
      </c>
      <c r="K14" t="s">
        <v>72</v>
      </c>
      <c r="L14" t="s">
        <v>73</v>
      </c>
    </row>
    <row r="15" spans="1:13" ht="15" customHeight="1" x14ac:dyDescent="0.25">
      <c r="A15">
        <v>14</v>
      </c>
      <c r="B15" s="5">
        <v>45686</v>
      </c>
      <c r="C15" t="s">
        <v>47</v>
      </c>
      <c r="D15" t="s">
        <v>42</v>
      </c>
      <c r="E15" t="s">
        <v>43</v>
      </c>
      <c r="F15" t="s">
        <v>44</v>
      </c>
      <c r="G15" s="6">
        <v>1877.04</v>
      </c>
      <c r="H15" s="7">
        <v>0</v>
      </c>
      <c r="I15" s="6">
        <v>0</v>
      </c>
      <c r="J15" s="6">
        <v>1877.04</v>
      </c>
      <c r="K15" t="s">
        <v>74</v>
      </c>
      <c r="L15" t="s">
        <v>75</v>
      </c>
    </row>
    <row r="16" spans="1:13" ht="15" customHeight="1" x14ac:dyDescent="0.25">
      <c r="A16">
        <v>15</v>
      </c>
      <c r="B16" s="5">
        <v>45819</v>
      </c>
      <c r="C16" t="s">
        <v>47</v>
      </c>
      <c r="D16" t="s">
        <v>55</v>
      </c>
      <c r="E16" t="s">
        <v>56</v>
      </c>
      <c r="F16" t="s">
        <v>76</v>
      </c>
      <c r="G16" s="6">
        <v>1019.81</v>
      </c>
      <c r="H16" s="7">
        <v>5.5E-2</v>
      </c>
      <c r="I16" s="6">
        <v>56.09</v>
      </c>
      <c r="J16" s="6">
        <v>1075.9000000000001</v>
      </c>
      <c r="K16" t="s">
        <v>77</v>
      </c>
      <c r="L16" t="s">
        <v>78</v>
      </c>
    </row>
    <row r="17" spans="1:13" ht="15" customHeight="1" x14ac:dyDescent="0.25">
      <c r="A17">
        <v>16</v>
      </c>
      <c r="B17" s="5">
        <v>45793</v>
      </c>
      <c r="C17" t="s">
        <v>27</v>
      </c>
      <c r="D17" t="s">
        <v>79</v>
      </c>
      <c r="E17" t="s">
        <v>80</v>
      </c>
      <c r="F17" t="s">
        <v>81</v>
      </c>
      <c r="G17" s="6">
        <v>697.17</v>
      </c>
      <c r="H17" s="7">
        <v>0.2</v>
      </c>
      <c r="I17" s="6">
        <v>139.43</v>
      </c>
      <c r="J17" s="6">
        <v>836.6</v>
      </c>
      <c r="K17" t="s">
        <v>82</v>
      </c>
      <c r="L17" t="s">
        <v>83</v>
      </c>
    </row>
    <row r="18" spans="1:13" ht="15" customHeight="1" x14ac:dyDescent="0.25">
      <c r="A18">
        <v>17</v>
      </c>
      <c r="B18" s="5">
        <v>45957</v>
      </c>
      <c r="C18" t="s">
        <v>27</v>
      </c>
      <c r="D18" t="s">
        <v>55</v>
      </c>
      <c r="E18" t="s">
        <v>56</v>
      </c>
      <c r="F18" t="s">
        <v>84</v>
      </c>
      <c r="G18" s="6">
        <v>1973.68</v>
      </c>
      <c r="H18" s="7">
        <v>5.5E-2</v>
      </c>
      <c r="I18" s="6">
        <v>108.55</v>
      </c>
      <c r="J18" s="6">
        <v>2082.23</v>
      </c>
      <c r="K18" t="s">
        <v>85</v>
      </c>
      <c r="L18" t="s">
        <v>86</v>
      </c>
    </row>
    <row r="19" spans="1:13" ht="15" customHeight="1" x14ac:dyDescent="0.25">
      <c r="A19">
        <v>18</v>
      </c>
      <c r="B19" s="5">
        <v>45728</v>
      </c>
      <c r="C19" t="s">
        <v>47</v>
      </c>
      <c r="D19" t="s">
        <v>28</v>
      </c>
      <c r="E19" t="s">
        <v>29</v>
      </c>
      <c r="F19" t="s">
        <v>87</v>
      </c>
      <c r="G19" s="6">
        <v>2332.11</v>
      </c>
      <c r="H19" s="7">
        <v>2.1000000000000001E-2</v>
      </c>
      <c r="I19" s="6">
        <v>48.97</v>
      </c>
      <c r="J19" s="6">
        <v>2381.08</v>
      </c>
      <c r="K19" t="s">
        <v>88</v>
      </c>
      <c r="L19" t="s">
        <v>89</v>
      </c>
    </row>
    <row r="20" spans="1:13" ht="15" customHeight="1" x14ac:dyDescent="0.25">
      <c r="A20">
        <v>19</v>
      </c>
      <c r="B20" s="5">
        <v>45736</v>
      </c>
      <c r="C20" t="s">
        <v>33</v>
      </c>
      <c r="D20" t="s">
        <v>42</v>
      </c>
      <c r="E20" t="s">
        <v>43</v>
      </c>
      <c r="F20" t="s">
        <v>44</v>
      </c>
      <c r="G20" s="6">
        <v>3700.99</v>
      </c>
      <c r="H20" s="7">
        <v>0</v>
      </c>
      <c r="I20" s="6">
        <v>0</v>
      </c>
      <c r="J20" s="6">
        <v>3700.99</v>
      </c>
      <c r="K20" t="s">
        <v>90</v>
      </c>
      <c r="L20" t="s">
        <v>91</v>
      </c>
    </row>
    <row r="21" spans="1:13" ht="15" customHeight="1" x14ac:dyDescent="0.25">
      <c r="A21">
        <v>20</v>
      </c>
      <c r="B21" s="5">
        <v>45853</v>
      </c>
      <c r="C21" t="s">
        <v>27</v>
      </c>
      <c r="D21" t="s">
        <v>28</v>
      </c>
      <c r="E21" t="s">
        <v>29</v>
      </c>
      <c r="F21" t="s">
        <v>76</v>
      </c>
      <c r="G21" s="6">
        <v>2713.83</v>
      </c>
      <c r="H21" s="7">
        <v>2.1000000000000001E-2</v>
      </c>
      <c r="I21" s="6">
        <v>56.99</v>
      </c>
      <c r="J21" s="6">
        <v>2770.82</v>
      </c>
      <c r="K21" t="s">
        <v>92</v>
      </c>
      <c r="L21" t="s">
        <v>93</v>
      </c>
    </row>
    <row r="22" spans="1:13" ht="15" customHeight="1" x14ac:dyDescent="0.25">
      <c r="A22">
        <v>21</v>
      </c>
      <c r="B22" s="5">
        <v>45663</v>
      </c>
      <c r="C22" t="s">
        <v>47</v>
      </c>
      <c r="D22" t="s">
        <v>94</v>
      </c>
      <c r="E22" t="s">
        <v>95</v>
      </c>
      <c r="F22" t="s">
        <v>44</v>
      </c>
      <c r="G22" s="6">
        <v>786.38</v>
      </c>
      <c r="H22" s="7">
        <v>0</v>
      </c>
      <c r="I22" s="6">
        <v>0</v>
      </c>
      <c r="J22" s="6">
        <v>786.38</v>
      </c>
      <c r="K22" t="s">
        <v>96</v>
      </c>
      <c r="L22" t="s">
        <v>97</v>
      </c>
    </row>
    <row r="23" spans="1:13" ht="15" customHeight="1" x14ac:dyDescent="0.25">
      <c r="A23">
        <v>22</v>
      </c>
      <c r="B23" s="5">
        <v>45832</v>
      </c>
      <c r="C23" t="s">
        <v>47</v>
      </c>
      <c r="D23" t="s">
        <v>42</v>
      </c>
      <c r="E23" t="s">
        <v>43</v>
      </c>
      <c r="F23" t="s">
        <v>44</v>
      </c>
      <c r="G23" s="6">
        <v>2843.44</v>
      </c>
      <c r="H23" s="7">
        <v>0</v>
      </c>
      <c r="I23" s="6">
        <v>0</v>
      </c>
      <c r="J23" s="6">
        <v>2843.44</v>
      </c>
      <c r="K23" t="s">
        <v>98</v>
      </c>
      <c r="L23" t="s">
        <v>99</v>
      </c>
    </row>
    <row r="24" spans="1:13" ht="15" customHeight="1" x14ac:dyDescent="0.25">
      <c r="A24">
        <v>23</v>
      </c>
      <c r="B24" s="5">
        <v>45792</v>
      </c>
      <c r="C24" t="s">
        <v>33</v>
      </c>
      <c r="D24" t="s">
        <v>100</v>
      </c>
      <c r="E24" t="s">
        <v>101</v>
      </c>
      <c r="F24" t="s">
        <v>44</v>
      </c>
      <c r="G24" s="6">
        <v>3628.71</v>
      </c>
      <c r="H24" s="7">
        <v>0</v>
      </c>
      <c r="I24" s="6">
        <v>0</v>
      </c>
      <c r="J24" s="6">
        <v>3628.71</v>
      </c>
      <c r="K24" t="s">
        <v>102</v>
      </c>
      <c r="L24" t="s">
        <v>103</v>
      </c>
    </row>
    <row r="25" spans="1:13" ht="15" customHeight="1" x14ac:dyDescent="0.25">
      <c r="A25">
        <v>24</v>
      </c>
      <c r="B25" s="5">
        <v>45810</v>
      </c>
      <c r="C25" t="s">
        <v>33</v>
      </c>
      <c r="D25" t="s">
        <v>100</v>
      </c>
      <c r="E25" t="s">
        <v>101</v>
      </c>
      <c r="F25" t="s">
        <v>44</v>
      </c>
      <c r="G25" s="6">
        <v>3018.39</v>
      </c>
      <c r="H25" s="7">
        <v>0</v>
      </c>
      <c r="I25" s="6">
        <v>0</v>
      </c>
      <c r="J25" s="6">
        <v>3018.39</v>
      </c>
      <c r="K25" t="s">
        <v>104</v>
      </c>
      <c r="L25" t="s">
        <v>105</v>
      </c>
    </row>
    <row r="26" spans="1:13" ht="15" customHeight="1" x14ac:dyDescent="0.25">
      <c r="A26">
        <v>25</v>
      </c>
      <c r="B26" s="5">
        <v>45740</v>
      </c>
      <c r="C26" t="s">
        <v>33</v>
      </c>
      <c r="D26" t="s">
        <v>63</v>
      </c>
      <c r="E26" t="s">
        <v>64</v>
      </c>
      <c r="F26" t="s">
        <v>106</v>
      </c>
      <c r="G26" s="6">
        <v>2464.06</v>
      </c>
      <c r="H26" s="7">
        <v>0.2</v>
      </c>
      <c r="I26" s="6">
        <v>492.81</v>
      </c>
      <c r="J26" s="6">
        <v>2956.87</v>
      </c>
      <c r="K26" t="s">
        <v>107</v>
      </c>
      <c r="L26" t="s">
        <v>108</v>
      </c>
    </row>
    <row r="27" spans="1:13" ht="15" customHeight="1" x14ac:dyDescent="0.25">
      <c r="A27">
        <v>26</v>
      </c>
      <c r="B27" s="5">
        <v>45667</v>
      </c>
      <c r="C27" t="s">
        <v>27</v>
      </c>
      <c r="D27" t="s">
        <v>55</v>
      </c>
      <c r="E27" t="s">
        <v>56</v>
      </c>
      <c r="F27" t="s">
        <v>50</v>
      </c>
      <c r="G27" s="6">
        <v>574.46</v>
      </c>
      <c r="H27" s="7">
        <v>5.5E-2</v>
      </c>
      <c r="I27" s="6">
        <v>31.6</v>
      </c>
      <c r="J27" s="6">
        <v>606.05999999999995</v>
      </c>
      <c r="K27" t="s">
        <v>109</v>
      </c>
      <c r="L27" t="s">
        <v>110</v>
      </c>
    </row>
    <row r="28" spans="1:13" ht="15" customHeight="1" x14ac:dyDescent="0.25">
      <c r="A28">
        <v>27</v>
      </c>
      <c r="B28" s="5">
        <v>45698</v>
      </c>
      <c r="C28" t="s">
        <v>47</v>
      </c>
      <c r="D28" t="s">
        <v>55</v>
      </c>
      <c r="E28" t="s">
        <v>56</v>
      </c>
      <c r="F28" t="s">
        <v>76</v>
      </c>
      <c r="G28" s="6">
        <v>458.59</v>
      </c>
      <c r="H28" s="7">
        <v>5.5E-2</v>
      </c>
      <c r="I28" s="6">
        <v>25.22</v>
      </c>
      <c r="J28" s="6">
        <v>483.81</v>
      </c>
      <c r="K28" t="s">
        <v>111</v>
      </c>
      <c r="L28" t="s">
        <v>112</v>
      </c>
    </row>
    <row r="29" spans="1:13" ht="15" customHeight="1" x14ac:dyDescent="0.25">
      <c r="A29">
        <v>28</v>
      </c>
      <c r="B29" s="5">
        <v>45930</v>
      </c>
      <c r="C29" t="s">
        <v>33</v>
      </c>
      <c r="D29" t="s">
        <v>94</v>
      </c>
      <c r="E29" t="s">
        <v>95</v>
      </c>
      <c r="F29" t="s">
        <v>44</v>
      </c>
      <c r="G29" s="6">
        <v>820.98</v>
      </c>
      <c r="H29" s="7">
        <v>0</v>
      </c>
      <c r="I29" s="6">
        <v>0</v>
      </c>
      <c r="J29" s="6">
        <v>820.98</v>
      </c>
      <c r="K29" t="s">
        <v>113</v>
      </c>
      <c r="L29" t="s">
        <v>114</v>
      </c>
    </row>
    <row r="30" spans="1:13" ht="15" customHeight="1" x14ac:dyDescent="0.25">
      <c r="A30">
        <v>29</v>
      </c>
      <c r="B30" s="5">
        <v>45968</v>
      </c>
      <c r="C30" t="s">
        <v>27</v>
      </c>
      <c r="D30" t="s">
        <v>115</v>
      </c>
      <c r="E30" t="s">
        <v>116</v>
      </c>
      <c r="F30" t="s">
        <v>71</v>
      </c>
      <c r="G30" s="6">
        <v>1950.27</v>
      </c>
      <c r="H30" s="7">
        <v>2.1000000000000001E-2</v>
      </c>
      <c r="I30" s="6">
        <v>40.96</v>
      </c>
      <c r="J30" s="6">
        <v>1991.23</v>
      </c>
      <c r="K30" t="s">
        <v>117</v>
      </c>
      <c r="L30" t="s">
        <v>118</v>
      </c>
      <c r="M30" t="s">
        <v>119</v>
      </c>
    </row>
    <row r="31" spans="1:13" ht="15" customHeight="1" x14ac:dyDescent="0.25">
      <c r="A31">
        <v>30</v>
      </c>
      <c r="B31" s="5">
        <v>45817</v>
      </c>
      <c r="C31" t="s">
        <v>27</v>
      </c>
      <c r="D31" t="s">
        <v>34</v>
      </c>
      <c r="E31" t="s">
        <v>35</v>
      </c>
      <c r="F31" t="s">
        <v>120</v>
      </c>
      <c r="G31" s="6">
        <v>1843.55</v>
      </c>
      <c r="H31" s="7">
        <v>0.2</v>
      </c>
      <c r="I31" s="6">
        <v>368.71</v>
      </c>
      <c r="J31" s="6">
        <v>2212.2600000000002</v>
      </c>
      <c r="K31" t="s">
        <v>121</v>
      </c>
      <c r="L31" t="s">
        <v>122</v>
      </c>
    </row>
    <row r="32" spans="1:13" ht="15" customHeight="1" x14ac:dyDescent="0.25">
      <c r="A32">
        <v>31</v>
      </c>
      <c r="B32" s="5">
        <v>45922</v>
      </c>
      <c r="C32" t="s">
        <v>47</v>
      </c>
      <c r="D32" t="s">
        <v>79</v>
      </c>
      <c r="E32" t="s">
        <v>80</v>
      </c>
      <c r="F32" t="s">
        <v>71</v>
      </c>
      <c r="G32" s="6">
        <v>2075.5700000000002</v>
      </c>
      <c r="H32" s="7">
        <v>0.2</v>
      </c>
      <c r="I32" s="6">
        <v>415.11</v>
      </c>
      <c r="J32" s="6">
        <v>2490.6799999999998</v>
      </c>
      <c r="K32" t="s">
        <v>123</v>
      </c>
      <c r="L32" t="s">
        <v>124</v>
      </c>
    </row>
    <row r="33" spans="1:13" ht="15" customHeight="1" x14ac:dyDescent="0.25">
      <c r="A33">
        <v>32</v>
      </c>
      <c r="B33" s="5">
        <v>45959</v>
      </c>
      <c r="C33" t="s">
        <v>33</v>
      </c>
      <c r="D33" t="s">
        <v>55</v>
      </c>
      <c r="E33" t="s">
        <v>56</v>
      </c>
      <c r="F33" t="s">
        <v>84</v>
      </c>
      <c r="G33" s="6">
        <v>2528.33</v>
      </c>
      <c r="H33" s="7">
        <v>5.5E-2</v>
      </c>
      <c r="I33" s="6">
        <v>139.06</v>
      </c>
      <c r="J33" s="6">
        <v>2667.39</v>
      </c>
      <c r="K33" t="s">
        <v>125</v>
      </c>
      <c r="L33" t="s">
        <v>126</v>
      </c>
    </row>
    <row r="34" spans="1:13" ht="15" customHeight="1" x14ac:dyDescent="0.25">
      <c r="A34">
        <v>33</v>
      </c>
      <c r="B34" s="5">
        <v>45981</v>
      </c>
      <c r="C34" t="s">
        <v>33</v>
      </c>
      <c r="D34" t="s">
        <v>28</v>
      </c>
      <c r="E34" t="s">
        <v>29</v>
      </c>
      <c r="F34" t="s">
        <v>87</v>
      </c>
      <c r="G34" s="6">
        <v>340.22</v>
      </c>
      <c r="H34" s="7">
        <v>2.1000000000000001E-2</v>
      </c>
      <c r="I34" s="6">
        <v>7.14</v>
      </c>
      <c r="J34" s="6">
        <v>347.36</v>
      </c>
      <c r="K34" t="s">
        <v>127</v>
      </c>
      <c r="L34" t="s">
        <v>128</v>
      </c>
    </row>
    <row r="35" spans="1:13" ht="15" customHeight="1" x14ac:dyDescent="0.25">
      <c r="A35">
        <v>34</v>
      </c>
      <c r="B35" s="5">
        <v>45779</v>
      </c>
      <c r="C35" t="s">
        <v>47</v>
      </c>
      <c r="D35" t="s">
        <v>28</v>
      </c>
      <c r="E35" t="s">
        <v>29</v>
      </c>
      <c r="F35" t="s">
        <v>76</v>
      </c>
      <c r="G35" s="6">
        <v>1310.87</v>
      </c>
      <c r="H35" s="7">
        <v>2.1000000000000001E-2</v>
      </c>
      <c r="I35" s="6">
        <v>27.53</v>
      </c>
      <c r="J35" s="6">
        <v>1338.4</v>
      </c>
      <c r="K35" t="s">
        <v>129</v>
      </c>
      <c r="L35" t="s">
        <v>130</v>
      </c>
    </row>
    <row r="36" spans="1:13" ht="15" customHeight="1" x14ac:dyDescent="0.25">
      <c r="A36">
        <v>35</v>
      </c>
      <c r="B36" s="5">
        <v>45950</v>
      </c>
      <c r="C36" t="s">
        <v>27</v>
      </c>
      <c r="D36" t="s">
        <v>28</v>
      </c>
      <c r="E36" t="s">
        <v>29</v>
      </c>
      <c r="F36" t="s">
        <v>71</v>
      </c>
      <c r="G36" s="6">
        <v>2626.86</v>
      </c>
      <c r="H36" s="7">
        <v>2.1000000000000001E-2</v>
      </c>
      <c r="I36" s="6">
        <v>55.16</v>
      </c>
      <c r="J36" s="6">
        <v>2682.02</v>
      </c>
      <c r="K36" t="s">
        <v>131</v>
      </c>
      <c r="L36" t="s">
        <v>132</v>
      </c>
    </row>
    <row r="37" spans="1:13" ht="15" customHeight="1" x14ac:dyDescent="0.25">
      <c r="A37">
        <v>36</v>
      </c>
      <c r="B37" s="5">
        <v>45755</v>
      </c>
      <c r="C37" t="s">
        <v>47</v>
      </c>
      <c r="D37" t="s">
        <v>42</v>
      </c>
      <c r="E37" t="s">
        <v>43</v>
      </c>
      <c r="F37" t="s">
        <v>44</v>
      </c>
      <c r="G37" s="6">
        <v>3381.56</v>
      </c>
      <c r="H37" s="7">
        <v>0</v>
      </c>
      <c r="I37" s="6">
        <v>0</v>
      </c>
      <c r="J37" s="6">
        <v>3381.56</v>
      </c>
      <c r="K37" t="s">
        <v>133</v>
      </c>
      <c r="L37" t="s">
        <v>134</v>
      </c>
    </row>
    <row r="38" spans="1:13" ht="15" customHeight="1" x14ac:dyDescent="0.25">
      <c r="A38">
        <v>37</v>
      </c>
      <c r="B38" s="5">
        <v>45685</v>
      </c>
      <c r="C38" t="s">
        <v>47</v>
      </c>
      <c r="D38" t="s">
        <v>63</v>
      </c>
      <c r="E38" t="s">
        <v>64</v>
      </c>
      <c r="F38" t="s">
        <v>120</v>
      </c>
      <c r="G38" s="6">
        <v>3056.27</v>
      </c>
      <c r="H38" s="7">
        <v>0.2</v>
      </c>
      <c r="I38" s="6">
        <v>611.25</v>
      </c>
      <c r="J38" s="6">
        <v>3667.52</v>
      </c>
      <c r="K38" t="s">
        <v>135</v>
      </c>
      <c r="L38" t="s">
        <v>136</v>
      </c>
    </row>
    <row r="39" spans="1:13" ht="15" customHeight="1" x14ac:dyDescent="0.25">
      <c r="A39">
        <v>38</v>
      </c>
      <c r="B39" s="5">
        <v>45831</v>
      </c>
      <c r="C39" t="s">
        <v>33</v>
      </c>
      <c r="D39" t="s">
        <v>63</v>
      </c>
      <c r="E39" t="s">
        <v>64</v>
      </c>
      <c r="F39" t="s">
        <v>87</v>
      </c>
      <c r="G39" s="6">
        <v>3618.62</v>
      </c>
      <c r="H39" s="7">
        <v>0.2</v>
      </c>
      <c r="I39" s="6">
        <v>723.72</v>
      </c>
      <c r="J39" s="6">
        <v>4342.34</v>
      </c>
      <c r="K39" t="s">
        <v>137</v>
      </c>
      <c r="L39" t="s">
        <v>138</v>
      </c>
    </row>
    <row r="40" spans="1:13" ht="15" customHeight="1" x14ac:dyDescent="0.25">
      <c r="A40">
        <v>39</v>
      </c>
      <c r="B40" s="5">
        <v>45887</v>
      </c>
      <c r="C40" t="s">
        <v>33</v>
      </c>
      <c r="D40" t="s">
        <v>28</v>
      </c>
      <c r="E40" t="s">
        <v>29</v>
      </c>
      <c r="F40" t="s">
        <v>30</v>
      </c>
      <c r="G40" s="6">
        <v>699.61</v>
      </c>
      <c r="H40" s="7">
        <v>2.1000000000000001E-2</v>
      </c>
      <c r="I40" s="6">
        <v>14.69</v>
      </c>
      <c r="J40" s="6">
        <v>714.3</v>
      </c>
      <c r="K40" t="s">
        <v>139</v>
      </c>
      <c r="L40" t="s">
        <v>140</v>
      </c>
    </row>
    <row r="41" spans="1:13" ht="15" customHeight="1" x14ac:dyDescent="0.25">
      <c r="A41">
        <v>40</v>
      </c>
      <c r="B41" s="5">
        <v>45884</v>
      </c>
      <c r="C41" t="s">
        <v>47</v>
      </c>
      <c r="D41" t="s">
        <v>55</v>
      </c>
      <c r="E41" t="s">
        <v>56</v>
      </c>
      <c r="F41" t="s">
        <v>106</v>
      </c>
      <c r="G41" s="6">
        <v>4000</v>
      </c>
      <c r="H41" s="7">
        <v>5.5E-2</v>
      </c>
      <c r="I41" s="6">
        <v>220</v>
      </c>
      <c r="J41" s="6">
        <v>4220</v>
      </c>
      <c r="K41" t="s">
        <v>141</v>
      </c>
      <c r="L41" t="s">
        <v>142</v>
      </c>
      <c r="M41" t="s">
        <v>143</v>
      </c>
    </row>
    <row r="42" spans="1:13" ht="15" customHeight="1" x14ac:dyDescent="0.25">
      <c r="A42">
        <v>41</v>
      </c>
      <c r="B42" s="5">
        <v>45665</v>
      </c>
      <c r="C42" t="s">
        <v>33</v>
      </c>
      <c r="D42" t="s">
        <v>34</v>
      </c>
      <c r="E42" t="s">
        <v>35</v>
      </c>
      <c r="F42" t="s">
        <v>71</v>
      </c>
      <c r="G42" s="6">
        <v>4362.96</v>
      </c>
      <c r="H42" s="7">
        <v>0.2</v>
      </c>
      <c r="I42" s="6">
        <v>872.59</v>
      </c>
      <c r="J42" s="6">
        <v>5235.55</v>
      </c>
      <c r="K42" t="s">
        <v>144</v>
      </c>
      <c r="L42" t="s">
        <v>145</v>
      </c>
    </row>
    <row r="43" spans="1:13" ht="15" customHeight="1" x14ac:dyDescent="0.25">
      <c r="A43">
        <v>42</v>
      </c>
      <c r="B43" s="5">
        <v>45863</v>
      </c>
      <c r="C43" t="s">
        <v>47</v>
      </c>
      <c r="D43" t="s">
        <v>79</v>
      </c>
      <c r="E43" t="s">
        <v>80</v>
      </c>
      <c r="F43" t="s">
        <v>30</v>
      </c>
      <c r="G43" s="6">
        <v>4068.8</v>
      </c>
      <c r="H43" s="7">
        <v>0.2</v>
      </c>
      <c r="I43" s="6">
        <v>813.76</v>
      </c>
      <c r="J43" s="6">
        <v>4882.5600000000004</v>
      </c>
      <c r="K43" t="s">
        <v>146</v>
      </c>
      <c r="L43" t="s">
        <v>147</v>
      </c>
    </row>
    <row r="44" spans="1:13" ht="15" customHeight="1" x14ac:dyDescent="0.25">
      <c r="A44">
        <v>43</v>
      </c>
      <c r="B44" s="5">
        <v>45793</v>
      </c>
      <c r="C44" t="s">
        <v>33</v>
      </c>
      <c r="D44" t="s">
        <v>94</v>
      </c>
      <c r="E44" t="s">
        <v>95</v>
      </c>
      <c r="F44" t="s">
        <v>44</v>
      </c>
      <c r="G44" s="6">
        <v>2462.8200000000002</v>
      </c>
      <c r="H44" s="7">
        <v>0</v>
      </c>
      <c r="I44" s="6">
        <v>0</v>
      </c>
      <c r="J44" s="6">
        <v>2462.8200000000002</v>
      </c>
      <c r="K44" t="s">
        <v>148</v>
      </c>
      <c r="L44" t="s">
        <v>149</v>
      </c>
    </row>
    <row r="45" spans="1:13" ht="15" customHeight="1" x14ac:dyDescent="0.25">
      <c r="A45">
        <v>44</v>
      </c>
      <c r="B45" s="5">
        <v>45996</v>
      </c>
      <c r="C45" t="s">
        <v>47</v>
      </c>
      <c r="D45" t="s">
        <v>42</v>
      </c>
      <c r="E45" t="s">
        <v>43</v>
      </c>
      <c r="F45" t="s">
        <v>44</v>
      </c>
      <c r="G45" s="6">
        <v>2171.5100000000002</v>
      </c>
      <c r="H45" s="7">
        <v>0</v>
      </c>
      <c r="I45" s="6">
        <v>0</v>
      </c>
      <c r="J45" s="6">
        <v>2171.5100000000002</v>
      </c>
      <c r="K45" t="s">
        <v>150</v>
      </c>
      <c r="L45" t="s">
        <v>151</v>
      </c>
    </row>
    <row r="46" spans="1:13" ht="15" customHeight="1" x14ac:dyDescent="0.25">
      <c r="A46">
        <v>45</v>
      </c>
      <c r="B46" s="5">
        <v>45954</v>
      </c>
      <c r="C46" t="s">
        <v>33</v>
      </c>
      <c r="D46" t="s">
        <v>94</v>
      </c>
      <c r="E46" t="s">
        <v>95</v>
      </c>
      <c r="F46" t="s">
        <v>44</v>
      </c>
      <c r="G46" s="6">
        <v>652.39</v>
      </c>
      <c r="H46" s="7">
        <v>0</v>
      </c>
      <c r="I46" s="6">
        <v>0</v>
      </c>
      <c r="J46" s="6">
        <v>652.39</v>
      </c>
      <c r="K46" t="s">
        <v>152</v>
      </c>
      <c r="L46" t="s">
        <v>153</v>
      </c>
    </row>
    <row r="47" spans="1:13" ht="15" customHeight="1" x14ac:dyDescent="0.25">
      <c r="A47">
        <v>46</v>
      </c>
      <c r="B47" s="5">
        <v>45902</v>
      </c>
      <c r="C47" t="s">
        <v>33</v>
      </c>
      <c r="D47" t="s">
        <v>28</v>
      </c>
      <c r="E47" t="s">
        <v>29</v>
      </c>
      <c r="F47" t="s">
        <v>106</v>
      </c>
      <c r="G47" s="6">
        <v>2302.6</v>
      </c>
      <c r="H47" s="7">
        <v>2.1000000000000001E-2</v>
      </c>
      <c r="I47" s="6">
        <v>48.35</v>
      </c>
      <c r="J47" s="6">
        <v>2350.9499999999998</v>
      </c>
      <c r="K47" t="s">
        <v>154</v>
      </c>
      <c r="L47" t="s">
        <v>155</v>
      </c>
    </row>
    <row r="48" spans="1:13" ht="15" customHeight="1" x14ac:dyDescent="0.25">
      <c r="A48">
        <v>47</v>
      </c>
      <c r="B48" s="5">
        <v>45699</v>
      </c>
      <c r="C48" t="s">
        <v>33</v>
      </c>
      <c r="D48" t="s">
        <v>94</v>
      </c>
      <c r="E48" t="s">
        <v>95</v>
      </c>
      <c r="F48" t="s">
        <v>44</v>
      </c>
      <c r="G48" s="6">
        <v>671.3</v>
      </c>
      <c r="H48" s="7">
        <v>0</v>
      </c>
      <c r="I48" s="6">
        <v>0</v>
      </c>
      <c r="J48" s="6">
        <v>671.3</v>
      </c>
      <c r="K48" t="s">
        <v>156</v>
      </c>
      <c r="L48" t="s">
        <v>157</v>
      </c>
    </row>
    <row r="49" spans="1:13" ht="15" customHeight="1" x14ac:dyDescent="0.25">
      <c r="A49">
        <v>48</v>
      </c>
      <c r="B49" s="5">
        <v>45719</v>
      </c>
      <c r="C49" t="s">
        <v>27</v>
      </c>
      <c r="D49" t="s">
        <v>42</v>
      </c>
      <c r="E49" t="s">
        <v>43</v>
      </c>
      <c r="F49" t="s">
        <v>44</v>
      </c>
      <c r="G49" s="6">
        <v>3167.22</v>
      </c>
      <c r="H49" s="7">
        <v>0</v>
      </c>
      <c r="I49" s="6">
        <v>0</v>
      </c>
      <c r="J49" s="6">
        <v>3167.22</v>
      </c>
      <c r="K49" t="s">
        <v>158</v>
      </c>
      <c r="L49" t="s">
        <v>159</v>
      </c>
    </row>
    <row r="50" spans="1:13" ht="15" customHeight="1" x14ac:dyDescent="0.25">
      <c r="A50">
        <v>49</v>
      </c>
      <c r="B50" s="5">
        <v>45699</v>
      </c>
      <c r="C50" t="s">
        <v>27</v>
      </c>
      <c r="D50" t="s">
        <v>28</v>
      </c>
      <c r="E50" t="s">
        <v>29</v>
      </c>
      <c r="F50" t="s">
        <v>84</v>
      </c>
      <c r="G50" s="6">
        <v>1932.97</v>
      </c>
      <c r="H50" s="7">
        <v>2.1000000000000001E-2</v>
      </c>
      <c r="I50" s="6">
        <v>40.590000000000003</v>
      </c>
      <c r="J50" s="6">
        <v>1973.56</v>
      </c>
      <c r="K50" t="s">
        <v>160</v>
      </c>
      <c r="L50" t="s">
        <v>161</v>
      </c>
    </row>
    <row r="51" spans="1:13" ht="15" customHeight="1" x14ac:dyDescent="0.25">
      <c r="A51">
        <v>50</v>
      </c>
      <c r="B51" s="5">
        <v>45791</v>
      </c>
      <c r="C51" t="s">
        <v>27</v>
      </c>
      <c r="D51" t="s">
        <v>55</v>
      </c>
      <c r="E51" t="s">
        <v>56</v>
      </c>
      <c r="F51" t="s">
        <v>81</v>
      </c>
      <c r="G51" s="6">
        <v>982.83</v>
      </c>
      <c r="H51" s="7">
        <v>5.5E-2</v>
      </c>
      <c r="I51" s="6">
        <v>54.06</v>
      </c>
      <c r="J51" s="6">
        <v>1036.8900000000001</v>
      </c>
      <c r="K51" t="s">
        <v>162</v>
      </c>
      <c r="L51" t="s">
        <v>163</v>
      </c>
    </row>
    <row r="52" spans="1:13" ht="15" customHeight="1" x14ac:dyDescent="0.25">
      <c r="A52">
        <v>51</v>
      </c>
      <c r="B52" s="5">
        <v>46001</v>
      </c>
      <c r="C52" t="s">
        <v>33</v>
      </c>
      <c r="D52" t="s">
        <v>55</v>
      </c>
      <c r="E52" t="s">
        <v>56</v>
      </c>
      <c r="F52" t="s">
        <v>76</v>
      </c>
      <c r="G52" s="6">
        <v>2933.11</v>
      </c>
      <c r="H52" s="7">
        <v>5.5E-2</v>
      </c>
      <c r="I52" s="6">
        <v>161.32</v>
      </c>
      <c r="J52" s="6">
        <v>3094.43</v>
      </c>
      <c r="K52" t="s">
        <v>164</v>
      </c>
      <c r="L52" t="s">
        <v>165</v>
      </c>
    </row>
    <row r="53" spans="1:13" ht="15" customHeight="1" x14ac:dyDescent="0.25">
      <c r="A53">
        <v>52</v>
      </c>
      <c r="B53" s="5">
        <v>45946</v>
      </c>
      <c r="C53" t="s">
        <v>33</v>
      </c>
      <c r="D53" t="s">
        <v>28</v>
      </c>
      <c r="E53" t="s">
        <v>29</v>
      </c>
      <c r="F53" t="s">
        <v>87</v>
      </c>
      <c r="G53" s="6">
        <v>4482.75</v>
      </c>
      <c r="H53" s="7">
        <v>2.1000000000000001E-2</v>
      </c>
      <c r="I53" s="6">
        <v>94.14</v>
      </c>
      <c r="J53" s="6">
        <v>4576.8900000000003</v>
      </c>
      <c r="K53" t="s">
        <v>166</v>
      </c>
      <c r="L53" t="s">
        <v>167</v>
      </c>
    </row>
    <row r="54" spans="1:13" ht="15" customHeight="1" x14ac:dyDescent="0.25">
      <c r="A54">
        <v>53</v>
      </c>
      <c r="B54" s="5">
        <v>45693</v>
      </c>
      <c r="C54" t="s">
        <v>33</v>
      </c>
      <c r="D54" t="s">
        <v>79</v>
      </c>
      <c r="E54" t="s">
        <v>80</v>
      </c>
      <c r="F54" t="s">
        <v>50</v>
      </c>
      <c r="G54" s="6">
        <v>3966.37</v>
      </c>
      <c r="H54" s="7">
        <v>0.2</v>
      </c>
      <c r="I54" s="6">
        <v>793.27</v>
      </c>
      <c r="J54" s="6">
        <v>4759.6400000000003</v>
      </c>
      <c r="K54" t="s">
        <v>168</v>
      </c>
      <c r="L54" t="s">
        <v>169</v>
      </c>
    </row>
    <row r="55" spans="1:13" ht="15" customHeight="1" x14ac:dyDescent="0.25">
      <c r="A55">
        <v>54</v>
      </c>
      <c r="B55" s="5">
        <v>45936</v>
      </c>
      <c r="C55" t="s">
        <v>33</v>
      </c>
      <c r="D55" t="s">
        <v>79</v>
      </c>
      <c r="E55" t="s">
        <v>80</v>
      </c>
      <c r="F55" t="s">
        <v>84</v>
      </c>
      <c r="G55" s="6">
        <v>3189.65</v>
      </c>
      <c r="H55" s="7">
        <v>0.2</v>
      </c>
      <c r="I55" s="6">
        <v>637.92999999999995</v>
      </c>
      <c r="J55" s="6">
        <v>3827.58</v>
      </c>
      <c r="K55" t="s">
        <v>170</v>
      </c>
      <c r="L55" t="s">
        <v>171</v>
      </c>
    </row>
    <row r="56" spans="1:13" ht="15" customHeight="1" x14ac:dyDescent="0.25">
      <c r="A56">
        <v>55</v>
      </c>
      <c r="B56" s="5">
        <v>45999</v>
      </c>
      <c r="C56" t="s">
        <v>27</v>
      </c>
      <c r="D56" t="s">
        <v>172</v>
      </c>
      <c r="E56" t="s">
        <v>173</v>
      </c>
      <c r="F56" t="s">
        <v>174</v>
      </c>
      <c r="G56" s="6">
        <v>3691.6</v>
      </c>
      <c r="H56" s="7">
        <v>0.2</v>
      </c>
      <c r="I56" s="6">
        <v>738.32</v>
      </c>
      <c r="J56" s="6">
        <v>4429.92</v>
      </c>
      <c r="K56" t="s">
        <v>175</v>
      </c>
      <c r="L56" t="s">
        <v>176</v>
      </c>
    </row>
    <row r="57" spans="1:13" ht="15" customHeight="1" x14ac:dyDescent="0.25">
      <c r="A57">
        <v>56</v>
      </c>
      <c r="B57" s="5">
        <v>45726</v>
      </c>
      <c r="C57" t="s">
        <v>33</v>
      </c>
      <c r="D57" t="s">
        <v>100</v>
      </c>
      <c r="E57" t="s">
        <v>101</v>
      </c>
      <c r="F57" t="s">
        <v>44</v>
      </c>
      <c r="G57" s="6">
        <v>3935.31</v>
      </c>
      <c r="H57" s="7">
        <v>0</v>
      </c>
      <c r="I57" s="6">
        <v>0</v>
      </c>
      <c r="J57" s="6">
        <v>3935.31</v>
      </c>
      <c r="K57" t="s">
        <v>177</v>
      </c>
      <c r="L57" t="s">
        <v>178</v>
      </c>
    </row>
    <row r="58" spans="1:13" ht="15" customHeight="1" x14ac:dyDescent="0.25">
      <c r="A58">
        <v>57</v>
      </c>
      <c r="B58" s="5">
        <v>45967</v>
      </c>
      <c r="C58" t="s">
        <v>27</v>
      </c>
      <c r="D58" t="s">
        <v>28</v>
      </c>
      <c r="E58" t="s">
        <v>29</v>
      </c>
      <c r="F58" t="s">
        <v>50</v>
      </c>
      <c r="G58" s="6">
        <v>1010.98</v>
      </c>
      <c r="H58" s="7">
        <v>2.1000000000000001E-2</v>
      </c>
      <c r="I58" s="6">
        <v>21.23</v>
      </c>
      <c r="J58" s="6">
        <v>1032.21</v>
      </c>
      <c r="K58" t="s">
        <v>179</v>
      </c>
      <c r="L58" t="s">
        <v>180</v>
      </c>
    </row>
    <row r="59" spans="1:13" ht="15" customHeight="1" x14ac:dyDescent="0.25">
      <c r="A59">
        <v>58</v>
      </c>
      <c r="B59" s="5">
        <v>45793</v>
      </c>
      <c r="C59" t="s">
        <v>27</v>
      </c>
      <c r="D59" t="s">
        <v>181</v>
      </c>
      <c r="E59" t="s">
        <v>182</v>
      </c>
      <c r="F59" t="s">
        <v>174</v>
      </c>
      <c r="G59" s="6">
        <v>2313.91</v>
      </c>
      <c r="H59" s="7">
        <v>0.2</v>
      </c>
      <c r="I59" s="6">
        <v>462.78</v>
      </c>
      <c r="J59" s="6">
        <v>2776.69</v>
      </c>
      <c r="K59" t="s">
        <v>183</v>
      </c>
      <c r="L59" t="s">
        <v>184</v>
      </c>
    </row>
    <row r="60" spans="1:13" ht="15" customHeight="1" x14ac:dyDescent="0.25">
      <c r="A60">
        <v>59</v>
      </c>
      <c r="B60" s="5">
        <v>45874</v>
      </c>
      <c r="C60" t="s">
        <v>33</v>
      </c>
      <c r="D60" t="s">
        <v>28</v>
      </c>
      <c r="E60" t="s">
        <v>29</v>
      </c>
      <c r="F60" t="s">
        <v>39</v>
      </c>
      <c r="G60" s="6">
        <v>3745.72</v>
      </c>
      <c r="H60" s="7">
        <v>2.1000000000000001E-2</v>
      </c>
      <c r="I60" s="6">
        <v>78.66</v>
      </c>
      <c r="J60" s="6">
        <v>3824.38</v>
      </c>
      <c r="K60" t="s">
        <v>185</v>
      </c>
      <c r="M60" t="s">
        <v>186</v>
      </c>
    </row>
    <row r="61" spans="1:13" ht="15" customHeight="1" x14ac:dyDescent="0.25">
      <c r="A61">
        <v>60</v>
      </c>
      <c r="B61" s="5">
        <v>45792</v>
      </c>
      <c r="C61" t="s">
        <v>47</v>
      </c>
      <c r="D61" t="s">
        <v>42</v>
      </c>
      <c r="E61" t="s">
        <v>43</v>
      </c>
      <c r="F61" t="s">
        <v>44</v>
      </c>
      <c r="G61" s="6">
        <v>2860.41</v>
      </c>
      <c r="H61" s="7">
        <v>0</v>
      </c>
      <c r="I61" s="6">
        <v>0</v>
      </c>
      <c r="J61" s="6">
        <v>2860.41</v>
      </c>
      <c r="K61" t="s">
        <v>187</v>
      </c>
      <c r="L61" t="s">
        <v>188</v>
      </c>
    </row>
    <row r="62" spans="1:13" ht="15" customHeight="1" x14ac:dyDescent="0.25">
      <c r="A62">
        <v>61</v>
      </c>
      <c r="B62" s="5">
        <v>45715</v>
      </c>
      <c r="C62" t="s">
        <v>47</v>
      </c>
      <c r="D62" t="s">
        <v>172</v>
      </c>
      <c r="E62" t="s">
        <v>173</v>
      </c>
      <c r="F62" t="s">
        <v>81</v>
      </c>
      <c r="G62" s="6">
        <v>412.58</v>
      </c>
      <c r="H62" s="7">
        <v>0.2</v>
      </c>
      <c r="I62" s="6">
        <v>82.52</v>
      </c>
      <c r="J62" s="6">
        <v>495.1</v>
      </c>
      <c r="K62" t="s">
        <v>189</v>
      </c>
      <c r="L62" t="s">
        <v>190</v>
      </c>
    </row>
    <row r="63" spans="1:13" ht="15" customHeight="1" x14ac:dyDescent="0.25">
      <c r="A63">
        <v>62</v>
      </c>
      <c r="B63" s="5">
        <v>45847</v>
      </c>
      <c r="C63" t="s">
        <v>27</v>
      </c>
      <c r="D63" t="s">
        <v>28</v>
      </c>
      <c r="E63" t="s">
        <v>29</v>
      </c>
      <c r="F63" t="s">
        <v>30</v>
      </c>
      <c r="G63" s="6">
        <v>2654.69</v>
      </c>
      <c r="H63" s="7">
        <v>2.1000000000000001E-2</v>
      </c>
      <c r="I63" s="6">
        <v>55.75</v>
      </c>
      <c r="J63" s="6">
        <v>2710.44</v>
      </c>
      <c r="K63" t="s">
        <v>191</v>
      </c>
      <c r="L63" t="s">
        <v>192</v>
      </c>
    </row>
    <row r="64" spans="1:13" ht="15" customHeight="1" x14ac:dyDescent="0.25">
      <c r="A64">
        <v>63</v>
      </c>
      <c r="B64" s="5">
        <v>45678</v>
      </c>
      <c r="C64" t="s">
        <v>33</v>
      </c>
      <c r="D64" t="s">
        <v>28</v>
      </c>
      <c r="E64" t="s">
        <v>29</v>
      </c>
      <c r="F64" t="s">
        <v>71</v>
      </c>
      <c r="G64" s="6">
        <v>4053.25</v>
      </c>
      <c r="H64" s="7">
        <v>2.1000000000000001E-2</v>
      </c>
      <c r="I64" s="6">
        <v>85.12</v>
      </c>
      <c r="J64" s="6">
        <v>4138.37</v>
      </c>
      <c r="K64" t="s">
        <v>193</v>
      </c>
      <c r="L64" t="s">
        <v>194</v>
      </c>
    </row>
    <row r="65" spans="1:12" ht="15" customHeight="1" x14ac:dyDescent="0.25">
      <c r="A65">
        <v>64</v>
      </c>
      <c r="B65" s="5">
        <v>45839</v>
      </c>
      <c r="C65" t="s">
        <v>33</v>
      </c>
      <c r="D65" t="s">
        <v>34</v>
      </c>
      <c r="E65" t="s">
        <v>35</v>
      </c>
      <c r="F65" t="s">
        <v>36</v>
      </c>
      <c r="G65" s="6">
        <v>3528.11</v>
      </c>
      <c r="H65" s="7">
        <v>0.2</v>
      </c>
      <c r="I65" s="6">
        <v>705.62</v>
      </c>
      <c r="J65" s="6">
        <v>4233.7299999999996</v>
      </c>
      <c r="K65" t="s">
        <v>195</v>
      </c>
      <c r="L65" t="s">
        <v>196</v>
      </c>
    </row>
    <row r="66" spans="1:12" ht="15" customHeight="1" x14ac:dyDescent="0.25">
      <c r="A66">
        <v>65</v>
      </c>
      <c r="B66" s="5">
        <v>45779</v>
      </c>
      <c r="C66" t="s">
        <v>27</v>
      </c>
      <c r="D66" t="s">
        <v>28</v>
      </c>
      <c r="E66" t="s">
        <v>29</v>
      </c>
      <c r="F66" t="s">
        <v>30</v>
      </c>
      <c r="G66" s="6">
        <v>3901.56</v>
      </c>
      <c r="H66" s="7">
        <v>2.1000000000000001E-2</v>
      </c>
      <c r="I66" s="6">
        <v>81.93</v>
      </c>
      <c r="J66" s="6">
        <v>3983.49</v>
      </c>
      <c r="K66" t="s">
        <v>197</v>
      </c>
      <c r="L66" t="s">
        <v>198</v>
      </c>
    </row>
    <row r="67" spans="1:12" ht="15" customHeight="1" x14ac:dyDescent="0.25">
      <c r="A67">
        <v>66</v>
      </c>
      <c r="B67" s="5">
        <v>45828</v>
      </c>
      <c r="C67" t="s">
        <v>33</v>
      </c>
      <c r="D67" t="s">
        <v>28</v>
      </c>
      <c r="E67" t="s">
        <v>29</v>
      </c>
      <c r="F67" t="s">
        <v>36</v>
      </c>
      <c r="G67" s="6">
        <v>3538.15</v>
      </c>
      <c r="H67" s="7">
        <v>2.1000000000000001E-2</v>
      </c>
      <c r="I67" s="6">
        <v>74.3</v>
      </c>
      <c r="J67" s="6">
        <v>3612.45</v>
      </c>
      <c r="K67" t="s">
        <v>199</v>
      </c>
      <c r="L67" t="s">
        <v>200</v>
      </c>
    </row>
    <row r="68" spans="1:12" ht="15" customHeight="1" x14ac:dyDescent="0.25">
      <c r="A68">
        <v>67</v>
      </c>
      <c r="B68" s="5">
        <v>45785</v>
      </c>
      <c r="C68" t="s">
        <v>27</v>
      </c>
      <c r="D68" t="s">
        <v>42</v>
      </c>
      <c r="E68" t="s">
        <v>43</v>
      </c>
      <c r="F68" t="s">
        <v>44</v>
      </c>
      <c r="G68" s="6">
        <v>3689.7</v>
      </c>
      <c r="H68" s="7">
        <v>0</v>
      </c>
      <c r="I68" s="6">
        <v>0</v>
      </c>
      <c r="J68" s="6">
        <v>3689.7</v>
      </c>
      <c r="K68" t="s">
        <v>201</v>
      </c>
      <c r="L68" t="s">
        <v>202</v>
      </c>
    </row>
    <row r="69" spans="1:12" ht="15" customHeight="1" x14ac:dyDescent="0.25">
      <c r="A69">
        <v>68</v>
      </c>
      <c r="B69" s="5">
        <v>45898</v>
      </c>
      <c r="C69" t="s">
        <v>47</v>
      </c>
      <c r="D69" t="s">
        <v>100</v>
      </c>
      <c r="E69" t="s">
        <v>101</v>
      </c>
      <c r="F69" t="s">
        <v>44</v>
      </c>
      <c r="G69" s="6">
        <v>3759.81</v>
      </c>
      <c r="H69" s="7">
        <v>0</v>
      </c>
      <c r="I69" s="6">
        <v>0</v>
      </c>
      <c r="J69" s="6">
        <v>3759.81</v>
      </c>
      <c r="K69" t="s">
        <v>203</v>
      </c>
      <c r="L69" t="s">
        <v>204</v>
      </c>
    </row>
    <row r="70" spans="1:12" ht="15" customHeight="1" x14ac:dyDescent="0.25">
      <c r="A70">
        <v>69</v>
      </c>
      <c r="B70" s="5">
        <v>45772</v>
      </c>
      <c r="C70" t="s">
        <v>47</v>
      </c>
      <c r="D70" t="s">
        <v>55</v>
      </c>
      <c r="E70" t="s">
        <v>56</v>
      </c>
      <c r="F70" t="s">
        <v>71</v>
      </c>
      <c r="G70" s="6">
        <v>184.6</v>
      </c>
      <c r="H70" s="7">
        <v>5.5E-2</v>
      </c>
      <c r="I70" s="6">
        <v>10.15</v>
      </c>
      <c r="J70" s="6">
        <v>194.75</v>
      </c>
      <c r="K70" t="s">
        <v>205</v>
      </c>
      <c r="L70" t="s">
        <v>206</v>
      </c>
    </row>
    <row r="71" spans="1:12" ht="15" customHeight="1" x14ac:dyDescent="0.25">
      <c r="A71">
        <v>70</v>
      </c>
      <c r="B71" s="5">
        <v>45693</v>
      </c>
      <c r="C71" t="s">
        <v>47</v>
      </c>
      <c r="D71" t="s">
        <v>55</v>
      </c>
      <c r="E71" t="s">
        <v>56</v>
      </c>
      <c r="F71" t="s">
        <v>174</v>
      </c>
      <c r="G71" s="6">
        <v>4353.6499999999996</v>
      </c>
      <c r="H71" s="7">
        <v>5.5E-2</v>
      </c>
      <c r="I71" s="6">
        <v>239.45</v>
      </c>
      <c r="J71" s="6">
        <v>4593.1000000000004</v>
      </c>
      <c r="K71" t="s">
        <v>207</v>
      </c>
      <c r="L71" t="s">
        <v>208</v>
      </c>
    </row>
    <row r="72" spans="1:12" ht="15" customHeight="1" x14ac:dyDescent="0.25">
      <c r="A72">
        <v>71</v>
      </c>
      <c r="B72" s="5">
        <v>45932</v>
      </c>
      <c r="C72" t="s">
        <v>27</v>
      </c>
      <c r="D72" t="s">
        <v>79</v>
      </c>
      <c r="E72" t="s">
        <v>80</v>
      </c>
      <c r="F72" t="s">
        <v>39</v>
      </c>
      <c r="G72" s="6">
        <v>1543.68</v>
      </c>
      <c r="H72" s="7">
        <v>0.2</v>
      </c>
      <c r="I72" s="6">
        <v>308.74</v>
      </c>
      <c r="J72" s="6">
        <v>1852.42</v>
      </c>
      <c r="K72" t="s">
        <v>209</v>
      </c>
      <c r="L72" t="s">
        <v>210</v>
      </c>
    </row>
    <row r="73" spans="1:12" ht="15" customHeight="1" x14ac:dyDescent="0.25">
      <c r="A73">
        <v>72</v>
      </c>
      <c r="B73" s="5">
        <v>45793</v>
      </c>
      <c r="C73" t="s">
        <v>47</v>
      </c>
      <c r="D73" t="s">
        <v>28</v>
      </c>
      <c r="E73" t="s">
        <v>29</v>
      </c>
      <c r="F73" t="s">
        <v>84</v>
      </c>
      <c r="G73" s="6">
        <v>249.1</v>
      </c>
      <c r="H73" s="7">
        <v>2.1000000000000001E-2</v>
      </c>
      <c r="I73" s="6">
        <v>5.23</v>
      </c>
      <c r="J73" s="6">
        <v>254.33</v>
      </c>
      <c r="K73" t="s">
        <v>211</v>
      </c>
      <c r="L73" t="s">
        <v>212</v>
      </c>
    </row>
    <row r="74" spans="1:12" ht="15" customHeight="1" x14ac:dyDescent="0.25">
      <c r="A74">
        <v>73</v>
      </c>
      <c r="B74" s="5">
        <v>45818</v>
      </c>
      <c r="C74" t="s">
        <v>47</v>
      </c>
      <c r="D74" t="s">
        <v>42</v>
      </c>
      <c r="E74" t="s">
        <v>43</v>
      </c>
      <c r="F74" t="s">
        <v>44</v>
      </c>
      <c r="G74" s="6">
        <v>4162.17</v>
      </c>
      <c r="H74" s="7">
        <v>0</v>
      </c>
      <c r="I74" s="6">
        <v>0</v>
      </c>
      <c r="J74" s="6">
        <v>4162.17</v>
      </c>
      <c r="K74" t="s">
        <v>213</v>
      </c>
      <c r="L74" t="s">
        <v>214</v>
      </c>
    </row>
    <row r="75" spans="1:12" ht="15" customHeight="1" x14ac:dyDescent="0.25">
      <c r="A75">
        <v>74</v>
      </c>
      <c r="B75" s="5">
        <v>45755</v>
      </c>
      <c r="C75" t="s">
        <v>47</v>
      </c>
      <c r="D75" t="s">
        <v>100</v>
      </c>
      <c r="E75" t="s">
        <v>101</v>
      </c>
      <c r="F75" t="s">
        <v>44</v>
      </c>
      <c r="G75" s="6">
        <v>3501.08</v>
      </c>
      <c r="H75" s="7">
        <v>0</v>
      </c>
      <c r="I75" s="6">
        <v>0</v>
      </c>
      <c r="J75" s="6">
        <v>3501.08</v>
      </c>
      <c r="K75" t="s">
        <v>215</v>
      </c>
      <c r="L75" t="s">
        <v>216</v>
      </c>
    </row>
    <row r="76" spans="1:12" ht="15" customHeight="1" x14ac:dyDescent="0.25">
      <c r="A76">
        <v>75</v>
      </c>
      <c r="B76" s="5">
        <v>45933</v>
      </c>
      <c r="C76" t="s">
        <v>27</v>
      </c>
      <c r="D76" t="s">
        <v>100</v>
      </c>
      <c r="E76" t="s">
        <v>101</v>
      </c>
      <c r="F76" t="s">
        <v>44</v>
      </c>
      <c r="G76" s="6">
        <v>4056.63</v>
      </c>
      <c r="H76" s="7">
        <v>0</v>
      </c>
      <c r="I76" s="6">
        <v>0</v>
      </c>
      <c r="J76" s="6">
        <v>4056.63</v>
      </c>
      <c r="K76" t="s">
        <v>217</v>
      </c>
      <c r="L76" t="s">
        <v>218</v>
      </c>
    </row>
    <row r="77" spans="1:12" ht="15" customHeight="1" x14ac:dyDescent="0.25">
      <c r="A77">
        <v>76</v>
      </c>
      <c r="B77" s="5">
        <v>45693</v>
      </c>
      <c r="C77" t="s">
        <v>27</v>
      </c>
      <c r="D77" t="s">
        <v>28</v>
      </c>
      <c r="E77" t="s">
        <v>29</v>
      </c>
      <c r="F77" t="s">
        <v>50</v>
      </c>
      <c r="G77" s="6">
        <v>4274.03</v>
      </c>
      <c r="H77" s="7">
        <v>2.1000000000000001E-2</v>
      </c>
      <c r="I77" s="6">
        <v>89.75</v>
      </c>
      <c r="J77" s="6">
        <v>4363.78</v>
      </c>
      <c r="K77" t="s">
        <v>219</v>
      </c>
      <c r="L77" t="s">
        <v>220</v>
      </c>
    </row>
    <row r="78" spans="1:12" ht="15" customHeight="1" x14ac:dyDescent="0.25">
      <c r="A78">
        <v>77</v>
      </c>
      <c r="B78" s="5">
        <v>45721</v>
      </c>
      <c r="C78" t="s">
        <v>47</v>
      </c>
      <c r="D78" t="s">
        <v>34</v>
      </c>
      <c r="E78" t="s">
        <v>35</v>
      </c>
      <c r="F78" t="s">
        <v>174</v>
      </c>
      <c r="G78" s="6">
        <v>3261.31</v>
      </c>
      <c r="H78" s="7">
        <v>0.2</v>
      </c>
      <c r="I78" s="6">
        <v>652.26</v>
      </c>
      <c r="J78" s="6">
        <v>3913.57</v>
      </c>
      <c r="K78" t="s">
        <v>221</v>
      </c>
      <c r="L78" t="s">
        <v>222</v>
      </c>
    </row>
    <row r="79" spans="1:12" ht="15" customHeight="1" x14ac:dyDescent="0.25">
      <c r="A79">
        <v>78</v>
      </c>
      <c r="B79" s="5">
        <v>45825</v>
      </c>
      <c r="C79" t="s">
        <v>47</v>
      </c>
      <c r="D79" t="s">
        <v>34</v>
      </c>
      <c r="E79" t="s">
        <v>35</v>
      </c>
      <c r="F79" t="s">
        <v>174</v>
      </c>
      <c r="G79" s="6">
        <v>1858.61</v>
      </c>
      <c r="H79" s="7">
        <v>0.2</v>
      </c>
      <c r="I79" s="6">
        <v>371.72</v>
      </c>
      <c r="J79" s="6">
        <v>2230.33</v>
      </c>
      <c r="K79" t="s">
        <v>223</v>
      </c>
      <c r="L79" t="s">
        <v>224</v>
      </c>
    </row>
    <row r="80" spans="1:12" ht="15" customHeight="1" x14ac:dyDescent="0.25">
      <c r="A80">
        <v>79</v>
      </c>
      <c r="B80" s="5">
        <v>45852</v>
      </c>
      <c r="C80" t="s">
        <v>33</v>
      </c>
      <c r="D80" t="s">
        <v>28</v>
      </c>
      <c r="E80" t="s">
        <v>29</v>
      </c>
      <c r="F80" t="s">
        <v>30</v>
      </c>
      <c r="G80" s="6">
        <v>3073.75</v>
      </c>
      <c r="H80" s="7">
        <v>2.1000000000000001E-2</v>
      </c>
      <c r="I80" s="6">
        <v>64.55</v>
      </c>
      <c r="J80" s="6">
        <v>3138.3</v>
      </c>
      <c r="K80" t="s">
        <v>225</v>
      </c>
      <c r="L80" t="s">
        <v>226</v>
      </c>
    </row>
    <row r="81" spans="1:13" ht="15" customHeight="1" x14ac:dyDescent="0.25">
      <c r="A81">
        <v>80</v>
      </c>
      <c r="B81" s="5">
        <v>45938</v>
      </c>
      <c r="C81" t="s">
        <v>27</v>
      </c>
      <c r="D81" t="s">
        <v>55</v>
      </c>
      <c r="E81" t="s">
        <v>56</v>
      </c>
      <c r="F81" t="s">
        <v>174</v>
      </c>
      <c r="G81" s="6">
        <v>3765.07</v>
      </c>
      <c r="H81" s="7">
        <v>5.5E-2</v>
      </c>
      <c r="I81" s="6">
        <v>207.08</v>
      </c>
      <c r="J81" s="6">
        <v>3972.15</v>
      </c>
      <c r="K81" t="s">
        <v>227</v>
      </c>
      <c r="L81" t="s">
        <v>228</v>
      </c>
    </row>
    <row r="82" spans="1:13" ht="15" customHeight="1" x14ac:dyDescent="0.25">
      <c r="A82">
        <v>81</v>
      </c>
      <c r="B82" s="5">
        <v>45954</v>
      </c>
      <c r="C82" t="s">
        <v>33</v>
      </c>
      <c r="D82" t="s">
        <v>63</v>
      </c>
      <c r="E82" t="s">
        <v>64</v>
      </c>
      <c r="F82" t="s">
        <v>50</v>
      </c>
      <c r="G82" s="6">
        <v>2761.44</v>
      </c>
      <c r="H82" s="7">
        <v>0.2</v>
      </c>
      <c r="I82" s="6">
        <v>552.29</v>
      </c>
      <c r="J82" s="6">
        <v>3313.73</v>
      </c>
      <c r="K82" t="s">
        <v>229</v>
      </c>
      <c r="L82" t="s">
        <v>230</v>
      </c>
    </row>
    <row r="83" spans="1:13" ht="15" customHeight="1" x14ac:dyDescent="0.25">
      <c r="A83">
        <v>82</v>
      </c>
      <c r="B83" s="5">
        <v>45919</v>
      </c>
      <c r="C83" t="s">
        <v>47</v>
      </c>
      <c r="D83" t="s">
        <v>79</v>
      </c>
      <c r="E83" t="s">
        <v>80</v>
      </c>
      <c r="F83" t="s">
        <v>81</v>
      </c>
      <c r="G83" s="6">
        <v>2171.48</v>
      </c>
      <c r="H83" s="7">
        <v>0.2</v>
      </c>
      <c r="I83" s="6">
        <v>434.3</v>
      </c>
      <c r="J83" s="6">
        <v>2605.7800000000002</v>
      </c>
      <c r="K83" t="s">
        <v>231</v>
      </c>
      <c r="L83" t="s">
        <v>232</v>
      </c>
    </row>
    <row r="84" spans="1:13" ht="15" customHeight="1" x14ac:dyDescent="0.25">
      <c r="A84">
        <v>83</v>
      </c>
      <c r="B84" s="5">
        <v>45982</v>
      </c>
      <c r="C84" t="s">
        <v>27</v>
      </c>
      <c r="D84" t="s">
        <v>28</v>
      </c>
      <c r="E84" t="s">
        <v>29</v>
      </c>
      <c r="F84" t="s">
        <v>87</v>
      </c>
      <c r="G84" s="6">
        <v>5000</v>
      </c>
      <c r="H84" s="7">
        <v>2.1000000000000001E-2</v>
      </c>
      <c r="I84" s="6">
        <v>105</v>
      </c>
      <c r="J84" s="6">
        <v>5105</v>
      </c>
      <c r="K84" t="s">
        <v>233</v>
      </c>
      <c r="L84" t="s">
        <v>234</v>
      </c>
      <c r="M84" t="s">
        <v>143</v>
      </c>
    </row>
    <row r="85" spans="1:13" ht="15" customHeight="1" x14ac:dyDescent="0.25">
      <c r="A85">
        <v>84</v>
      </c>
      <c r="B85" s="5">
        <v>45733</v>
      </c>
      <c r="C85" t="s">
        <v>33</v>
      </c>
      <c r="D85" t="s">
        <v>34</v>
      </c>
      <c r="E85" t="s">
        <v>35</v>
      </c>
      <c r="F85" t="s">
        <v>71</v>
      </c>
      <c r="G85" s="6">
        <v>187.96</v>
      </c>
      <c r="H85" s="7">
        <v>0.2</v>
      </c>
      <c r="I85" s="6">
        <v>37.590000000000003</v>
      </c>
      <c r="J85" s="6">
        <v>225.55</v>
      </c>
      <c r="K85" t="s">
        <v>235</v>
      </c>
      <c r="M85" t="s">
        <v>186</v>
      </c>
    </row>
    <row r="86" spans="1:13" ht="15" customHeight="1" x14ac:dyDescent="0.25">
      <c r="A86">
        <v>85</v>
      </c>
      <c r="B86" s="5">
        <v>45695</v>
      </c>
      <c r="C86" t="s">
        <v>27</v>
      </c>
      <c r="D86" t="s">
        <v>42</v>
      </c>
      <c r="E86" t="s">
        <v>43</v>
      </c>
      <c r="F86" t="s">
        <v>44</v>
      </c>
      <c r="G86" s="6">
        <v>3926.73</v>
      </c>
      <c r="H86" s="7">
        <v>0</v>
      </c>
      <c r="I86" s="6">
        <v>0</v>
      </c>
      <c r="J86" s="6">
        <v>3926.73</v>
      </c>
      <c r="K86" t="s">
        <v>236</v>
      </c>
      <c r="L86" t="s">
        <v>237</v>
      </c>
    </row>
    <row r="87" spans="1:13" ht="15" customHeight="1" x14ac:dyDescent="0.25">
      <c r="A87">
        <v>86</v>
      </c>
      <c r="B87" s="5">
        <v>45854</v>
      </c>
      <c r="C87" t="s">
        <v>33</v>
      </c>
      <c r="D87" t="s">
        <v>42</v>
      </c>
      <c r="E87" t="s">
        <v>43</v>
      </c>
      <c r="F87" t="s">
        <v>44</v>
      </c>
      <c r="G87" s="6">
        <v>2385.56</v>
      </c>
      <c r="H87" s="7">
        <v>0</v>
      </c>
      <c r="I87" s="6">
        <v>0</v>
      </c>
      <c r="J87" s="6">
        <v>2385.56</v>
      </c>
      <c r="K87" t="s">
        <v>238</v>
      </c>
      <c r="L87" t="s">
        <v>239</v>
      </c>
    </row>
    <row r="88" spans="1:13" ht="15" customHeight="1" x14ac:dyDescent="0.25">
      <c r="A88">
        <v>87</v>
      </c>
      <c r="B88" s="5">
        <v>45712</v>
      </c>
      <c r="C88" t="s">
        <v>27</v>
      </c>
      <c r="D88" t="s">
        <v>28</v>
      </c>
      <c r="E88" t="s">
        <v>29</v>
      </c>
      <c r="F88" t="s">
        <v>71</v>
      </c>
      <c r="G88" s="6">
        <v>3520.62</v>
      </c>
      <c r="H88" s="7">
        <v>2.1000000000000001E-2</v>
      </c>
      <c r="I88" s="6">
        <v>73.930000000000007</v>
      </c>
      <c r="J88" s="6">
        <v>3594.55</v>
      </c>
      <c r="K88" t="s">
        <v>240</v>
      </c>
      <c r="L88" t="s">
        <v>241</v>
      </c>
    </row>
    <row r="89" spans="1:13" ht="15" customHeight="1" x14ac:dyDescent="0.25">
      <c r="A89">
        <v>88</v>
      </c>
      <c r="B89" s="5">
        <v>45943</v>
      </c>
      <c r="C89" t="s">
        <v>27</v>
      </c>
      <c r="D89" t="s">
        <v>172</v>
      </c>
      <c r="E89" t="s">
        <v>173</v>
      </c>
      <c r="F89" t="s">
        <v>87</v>
      </c>
      <c r="G89" s="6">
        <v>1181.46</v>
      </c>
      <c r="H89" s="7">
        <v>0.2</v>
      </c>
      <c r="I89" s="6">
        <v>236.29</v>
      </c>
      <c r="J89" s="6">
        <v>1417.75</v>
      </c>
      <c r="K89" t="s">
        <v>242</v>
      </c>
      <c r="L89" t="s">
        <v>243</v>
      </c>
    </row>
    <row r="90" spans="1:13" ht="15" customHeight="1" x14ac:dyDescent="0.25">
      <c r="A90">
        <v>89</v>
      </c>
      <c r="B90" s="5">
        <v>45999</v>
      </c>
      <c r="C90" t="s">
        <v>33</v>
      </c>
      <c r="D90" t="s">
        <v>42</v>
      </c>
      <c r="E90" t="s">
        <v>43</v>
      </c>
      <c r="F90" t="s">
        <v>44</v>
      </c>
      <c r="G90" s="6">
        <v>3141.42</v>
      </c>
      <c r="H90" s="7">
        <v>0</v>
      </c>
      <c r="I90" s="6">
        <v>0</v>
      </c>
      <c r="J90" s="6">
        <v>3141.42</v>
      </c>
      <c r="K90" t="s">
        <v>244</v>
      </c>
      <c r="L90" t="s">
        <v>245</v>
      </c>
    </row>
    <row r="91" spans="1:13" ht="15" customHeight="1" x14ac:dyDescent="0.25">
      <c r="A91">
        <v>90</v>
      </c>
      <c r="B91" s="5">
        <v>45916</v>
      </c>
      <c r="C91" t="s">
        <v>47</v>
      </c>
      <c r="D91" t="s">
        <v>181</v>
      </c>
      <c r="E91" t="s">
        <v>182</v>
      </c>
      <c r="F91" t="s">
        <v>106</v>
      </c>
      <c r="G91" s="6">
        <v>1966.19</v>
      </c>
      <c r="H91" s="7">
        <v>0.2</v>
      </c>
      <c r="I91" s="6">
        <v>393.24</v>
      </c>
      <c r="J91" s="6">
        <v>2359.4299999999998</v>
      </c>
      <c r="K91" t="s">
        <v>246</v>
      </c>
      <c r="L91" t="s">
        <v>247</v>
      </c>
    </row>
    <row r="92" spans="1:13" ht="15" customHeight="1" x14ac:dyDescent="0.25">
      <c r="A92">
        <v>91</v>
      </c>
      <c r="B92" s="5">
        <v>45901</v>
      </c>
      <c r="C92" t="s">
        <v>33</v>
      </c>
      <c r="D92" t="s">
        <v>42</v>
      </c>
      <c r="E92" t="s">
        <v>43</v>
      </c>
      <c r="F92" t="s">
        <v>44</v>
      </c>
      <c r="G92" s="6">
        <v>3604.26</v>
      </c>
      <c r="H92" s="7">
        <v>0</v>
      </c>
      <c r="I92" s="6">
        <v>0</v>
      </c>
      <c r="J92" s="6">
        <v>3604.26</v>
      </c>
      <c r="K92" t="s">
        <v>248</v>
      </c>
      <c r="L92" t="s">
        <v>249</v>
      </c>
    </row>
    <row r="93" spans="1:13" ht="15" customHeight="1" x14ac:dyDescent="0.25">
      <c r="A93">
        <v>92</v>
      </c>
      <c r="B93" s="5">
        <v>45924</v>
      </c>
      <c r="C93" t="s">
        <v>27</v>
      </c>
      <c r="D93" t="s">
        <v>55</v>
      </c>
      <c r="E93" t="s">
        <v>56</v>
      </c>
      <c r="F93" t="s">
        <v>71</v>
      </c>
      <c r="G93" s="6">
        <v>2221.92</v>
      </c>
      <c r="H93" s="7">
        <v>5.5E-2</v>
      </c>
      <c r="I93" s="6">
        <v>122.21</v>
      </c>
      <c r="J93" s="6">
        <v>2344.13</v>
      </c>
      <c r="K93" t="s">
        <v>250</v>
      </c>
      <c r="L93" t="s">
        <v>251</v>
      </c>
    </row>
    <row r="94" spans="1:13" ht="15" customHeight="1" x14ac:dyDescent="0.25">
      <c r="A94">
        <v>93</v>
      </c>
      <c r="B94" s="5">
        <v>45804</v>
      </c>
      <c r="C94" t="s">
        <v>47</v>
      </c>
      <c r="D94" t="s">
        <v>28</v>
      </c>
      <c r="E94" t="s">
        <v>29</v>
      </c>
      <c r="F94" t="s">
        <v>50</v>
      </c>
      <c r="G94" s="6">
        <v>1116.46</v>
      </c>
      <c r="H94" s="7">
        <v>2.1000000000000001E-2</v>
      </c>
      <c r="I94" s="6">
        <v>23.45</v>
      </c>
      <c r="J94" s="6">
        <v>1139.9100000000001</v>
      </c>
      <c r="K94" t="s">
        <v>252</v>
      </c>
      <c r="L94" t="s">
        <v>253</v>
      </c>
    </row>
    <row r="95" spans="1:13" ht="15" customHeight="1" x14ac:dyDescent="0.25">
      <c r="A95">
        <v>94</v>
      </c>
      <c r="B95" s="5">
        <v>45735</v>
      </c>
      <c r="C95" t="s">
        <v>27</v>
      </c>
      <c r="D95" t="s">
        <v>28</v>
      </c>
      <c r="E95" t="s">
        <v>29</v>
      </c>
      <c r="F95" t="s">
        <v>81</v>
      </c>
      <c r="G95" s="6">
        <v>1102.18</v>
      </c>
      <c r="H95" s="7">
        <v>2.1000000000000001E-2</v>
      </c>
      <c r="I95" s="6">
        <v>23.15</v>
      </c>
      <c r="J95" s="6">
        <v>1125.33</v>
      </c>
      <c r="K95" t="s">
        <v>254</v>
      </c>
      <c r="L95" t="s">
        <v>255</v>
      </c>
    </row>
    <row r="96" spans="1:13" ht="15" customHeight="1" x14ac:dyDescent="0.25">
      <c r="A96">
        <v>95</v>
      </c>
      <c r="B96" s="5">
        <v>45870</v>
      </c>
      <c r="C96" t="s">
        <v>27</v>
      </c>
      <c r="D96" t="s">
        <v>28</v>
      </c>
      <c r="E96" t="s">
        <v>29</v>
      </c>
      <c r="F96" t="s">
        <v>106</v>
      </c>
      <c r="G96" s="6">
        <v>1881.59</v>
      </c>
      <c r="H96" s="7">
        <v>2.1000000000000001E-2</v>
      </c>
      <c r="I96" s="6">
        <v>39.51</v>
      </c>
      <c r="J96" s="6">
        <v>1921.1</v>
      </c>
      <c r="K96" t="s">
        <v>256</v>
      </c>
      <c r="L96" t="s">
        <v>257</v>
      </c>
    </row>
    <row r="97" spans="1:13" ht="15" customHeight="1" x14ac:dyDescent="0.25">
      <c r="A97">
        <v>96</v>
      </c>
      <c r="B97" s="5">
        <v>45873</v>
      </c>
      <c r="C97" t="s">
        <v>47</v>
      </c>
      <c r="D97" t="s">
        <v>28</v>
      </c>
      <c r="E97" t="s">
        <v>29</v>
      </c>
      <c r="F97" t="s">
        <v>84</v>
      </c>
      <c r="G97" s="6">
        <v>1801.49</v>
      </c>
      <c r="H97" s="7">
        <v>2.1000000000000001E-2</v>
      </c>
      <c r="I97" s="6">
        <v>37.83</v>
      </c>
      <c r="J97" s="6">
        <v>1839.32</v>
      </c>
      <c r="K97" t="s">
        <v>258</v>
      </c>
      <c r="L97" t="s">
        <v>259</v>
      </c>
    </row>
    <row r="98" spans="1:13" ht="15" customHeight="1" x14ac:dyDescent="0.25">
      <c r="A98">
        <v>97</v>
      </c>
      <c r="B98" s="5">
        <v>45952</v>
      </c>
      <c r="C98" t="s">
        <v>33</v>
      </c>
      <c r="D98" t="s">
        <v>42</v>
      </c>
      <c r="E98" t="s">
        <v>43</v>
      </c>
      <c r="F98" t="s">
        <v>44</v>
      </c>
      <c r="G98" s="6">
        <v>1814.15</v>
      </c>
      <c r="H98" s="7">
        <v>0</v>
      </c>
      <c r="I98" s="6">
        <v>0</v>
      </c>
      <c r="J98" s="6">
        <v>1814.15</v>
      </c>
      <c r="K98" t="s">
        <v>260</v>
      </c>
      <c r="L98" t="s">
        <v>261</v>
      </c>
    </row>
    <row r="99" spans="1:13" ht="15" customHeight="1" x14ac:dyDescent="0.25">
      <c r="A99">
        <v>98</v>
      </c>
      <c r="B99" s="5">
        <v>45933</v>
      </c>
      <c r="C99" t="s">
        <v>47</v>
      </c>
      <c r="D99" t="s">
        <v>42</v>
      </c>
      <c r="E99" t="s">
        <v>43</v>
      </c>
      <c r="F99" t="s">
        <v>44</v>
      </c>
      <c r="G99" s="6">
        <v>3110.72</v>
      </c>
      <c r="H99" s="7">
        <v>0</v>
      </c>
      <c r="I99" s="6">
        <v>0</v>
      </c>
      <c r="J99" s="6">
        <v>3110.72</v>
      </c>
      <c r="K99" t="s">
        <v>262</v>
      </c>
      <c r="L99" t="s">
        <v>263</v>
      </c>
    </row>
    <row r="100" spans="1:13" ht="15" customHeight="1" x14ac:dyDescent="0.25">
      <c r="A100">
        <v>99</v>
      </c>
      <c r="B100" s="5">
        <v>45797</v>
      </c>
      <c r="C100" t="s">
        <v>33</v>
      </c>
      <c r="D100" t="s">
        <v>79</v>
      </c>
      <c r="E100" t="s">
        <v>80</v>
      </c>
      <c r="F100" t="s">
        <v>39</v>
      </c>
      <c r="G100" s="6">
        <v>2006.4</v>
      </c>
      <c r="H100" s="7">
        <v>0.2</v>
      </c>
      <c r="I100" s="6">
        <v>401.28</v>
      </c>
      <c r="J100" s="6">
        <v>2407.6799999999998</v>
      </c>
      <c r="K100" t="s">
        <v>264</v>
      </c>
      <c r="L100" t="s">
        <v>265</v>
      </c>
    </row>
    <row r="101" spans="1:13" ht="15" customHeight="1" x14ac:dyDescent="0.25">
      <c r="A101">
        <v>100</v>
      </c>
      <c r="B101" s="5">
        <v>45742</v>
      </c>
      <c r="C101" t="s">
        <v>47</v>
      </c>
      <c r="D101" t="s">
        <v>34</v>
      </c>
      <c r="E101" t="s">
        <v>35</v>
      </c>
      <c r="F101" t="s">
        <v>30</v>
      </c>
      <c r="G101" s="6">
        <v>3795.04</v>
      </c>
      <c r="H101" s="7">
        <v>0.2</v>
      </c>
      <c r="I101" s="6">
        <v>759.01</v>
      </c>
      <c r="J101" s="6">
        <v>4554.05</v>
      </c>
      <c r="K101" t="s">
        <v>266</v>
      </c>
      <c r="L101" t="s">
        <v>267</v>
      </c>
    </row>
    <row r="102" spans="1:13" ht="15" customHeight="1" x14ac:dyDescent="0.25">
      <c r="A102">
        <v>101</v>
      </c>
      <c r="B102" s="5">
        <v>45859</v>
      </c>
      <c r="C102" t="s">
        <v>27</v>
      </c>
      <c r="D102" t="s">
        <v>28</v>
      </c>
      <c r="E102" t="s">
        <v>29</v>
      </c>
      <c r="F102" t="s">
        <v>120</v>
      </c>
      <c r="G102" s="6">
        <v>2696.17</v>
      </c>
      <c r="H102" s="7">
        <v>2.1000000000000001E-2</v>
      </c>
      <c r="I102" s="6">
        <v>56.62</v>
      </c>
      <c r="J102" s="6">
        <v>2752.79</v>
      </c>
      <c r="K102" t="s">
        <v>268</v>
      </c>
      <c r="L102" t="s">
        <v>269</v>
      </c>
    </row>
    <row r="103" spans="1:13" ht="15" customHeight="1" x14ac:dyDescent="0.25">
      <c r="A103">
        <v>102</v>
      </c>
      <c r="B103" s="5">
        <v>45727</v>
      </c>
      <c r="C103" t="s">
        <v>33</v>
      </c>
      <c r="D103" t="s">
        <v>181</v>
      </c>
      <c r="E103" t="s">
        <v>182</v>
      </c>
      <c r="F103" t="s">
        <v>30</v>
      </c>
      <c r="G103" s="6">
        <v>3911.48</v>
      </c>
      <c r="H103" s="7">
        <v>0.2</v>
      </c>
      <c r="I103" s="6">
        <v>782.3</v>
      </c>
      <c r="J103" s="6">
        <v>4693.78</v>
      </c>
      <c r="K103" t="s">
        <v>270</v>
      </c>
      <c r="L103" t="s">
        <v>271</v>
      </c>
    </row>
    <row r="104" spans="1:13" ht="15" customHeight="1" x14ac:dyDescent="0.25">
      <c r="A104">
        <v>103</v>
      </c>
      <c r="B104" s="5">
        <v>45890</v>
      </c>
      <c r="C104" t="s">
        <v>47</v>
      </c>
      <c r="D104" t="s">
        <v>63</v>
      </c>
      <c r="E104" t="s">
        <v>64</v>
      </c>
      <c r="F104" t="s">
        <v>36</v>
      </c>
      <c r="G104" s="6">
        <v>1524.66</v>
      </c>
      <c r="H104" s="7">
        <v>0.2</v>
      </c>
      <c r="I104" s="6">
        <v>304.93</v>
      </c>
      <c r="J104" s="6">
        <v>1829.59</v>
      </c>
      <c r="K104" t="s">
        <v>272</v>
      </c>
      <c r="L104" t="s">
        <v>273</v>
      </c>
    </row>
    <row r="105" spans="1:13" ht="15" customHeight="1" x14ac:dyDescent="0.25">
      <c r="A105">
        <v>104</v>
      </c>
      <c r="B105" s="5">
        <v>45699</v>
      </c>
      <c r="C105" t="s">
        <v>47</v>
      </c>
      <c r="D105" t="s">
        <v>55</v>
      </c>
      <c r="E105" t="s">
        <v>56</v>
      </c>
      <c r="F105" t="s">
        <v>81</v>
      </c>
      <c r="G105" s="6">
        <v>2158.7600000000002</v>
      </c>
      <c r="H105" s="7">
        <v>5.5E-2</v>
      </c>
      <c r="I105" s="6">
        <v>118.73</v>
      </c>
      <c r="J105" s="6">
        <v>2277.4899999999998</v>
      </c>
      <c r="K105" t="s">
        <v>274</v>
      </c>
      <c r="L105" t="s">
        <v>275</v>
      </c>
    </row>
    <row r="106" spans="1:13" ht="15" customHeight="1" x14ac:dyDescent="0.25">
      <c r="A106">
        <v>105</v>
      </c>
      <c r="B106" s="5">
        <v>45772</v>
      </c>
      <c r="C106" t="s">
        <v>33</v>
      </c>
      <c r="D106" t="s">
        <v>94</v>
      </c>
      <c r="E106" t="s">
        <v>95</v>
      </c>
      <c r="F106" t="s">
        <v>44</v>
      </c>
      <c r="G106" s="6">
        <v>2453.08</v>
      </c>
      <c r="H106" s="7">
        <v>0</v>
      </c>
      <c r="I106" s="6">
        <v>0</v>
      </c>
      <c r="J106" s="6">
        <v>2453.08</v>
      </c>
      <c r="K106" t="s">
        <v>276</v>
      </c>
      <c r="L106" t="s">
        <v>277</v>
      </c>
    </row>
    <row r="107" spans="1:13" ht="15" customHeight="1" x14ac:dyDescent="0.25">
      <c r="A107">
        <v>106</v>
      </c>
      <c r="B107" s="5">
        <v>45784</v>
      </c>
      <c r="C107" t="s">
        <v>33</v>
      </c>
      <c r="D107" t="s">
        <v>42</v>
      </c>
      <c r="E107" t="s">
        <v>43</v>
      </c>
      <c r="F107" t="s">
        <v>44</v>
      </c>
      <c r="G107" s="6">
        <v>1848.91</v>
      </c>
      <c r="H107" s="7">
        <v>0</v>
      </c>
      <c r="I107" s="6">
        <v>0</v>
      </c>
      <c r="J107" s="6">
        <v>1848.91</v>
      </c>
      <c r="K107" t="s">
        <v>278</v>
      </c>
      <c r="L107" t="s">
        <v>279</v>
      </c>
    </row>
    <row r="108" spans="1:13" ht="15" customHeight="1" x14ac:dyDescent="0.25">
      <c r="A108">
        <v>107</v>
      </c>
      <c r="B108" s="5">
        <v>46000</v>
      </c>
      <c r="C108" t="s">
        <v>33</v>
      </c>
      <c r="D108" t="s">
        <v>28</v>
      </c>
      <c r="E108" t="s">
        <v>29</v>
      </c>
      <c r="F108" t="s">
        <v>71</v>
      </c>
      <c r="G108" s="6">
        <v>585.6</v>
      </c>
      <c r="H108" s="7">
        <v>2.1000000000000001E-2</v>
      </c>
      <c r="I108" s="6">
        <v>12.3</v>
      </c>
      <c r="J108" s="6">
        <v>597.9</v>
      </c>
      <c r="K108" t="s">
        <v>280</v>
      </c>
      <c r="L108" t="s">
        <v>281</v>
      </c>
    </row>
    <row r="109" spans="1:13" ht="15" customHeight="1" x14ac:dyDescent="0.25">
      <c r="A109">
        <v>108</v>
      </c>
      <c r="B109" s="5">
        <v>45846</v>
      </c>
      <c r="C109" t="s">
        <v>27</v>
      </c>
      <c r="D109" t="s">
        <v>55</v>
      </c>
      <c r="E109" t="s">
        <v>56</v>
      </c>
      <c r="F109" t="s">
        <v>84</v>
      </c>
      <c r="G109" s="6">
        <v>821.63</v>
      </c>
      <c r="H109" s="7">
        <v>5.5E-2</v>
      </c>
      <c r="I109" s="6">
        <v>45.19</v>
      </c>
      <c r="J109" s="6">
        <v>866.82</v>
      </c>
      <c r="K109" t="s">
        <v>282</v>
      </c>
      <c r="L109" t="s">
        <v>283</v>
      </c>
    </row>
    <row r="110" spans="1:13" ht="15" customHeight="1" x14ac:dyDescent="0.25">
      <c r="A110">
        <v>109</v>
      </c>
      <c r="B110" s="5">
        <v>45741</v>
      </c>
      <c r="C110" t="s">
        <v>27</v>
      </c>
      <c r="D110" t="s">
        <v>28</v>
      </c>
      <c r="E110" t="s">
        <v>29</v>
      </c>
      <c r="F110" t="s">
        <v>87</v>
      </c>
      <c r="G110" s="6">
        <v>4344.07</v>
      </c>
      <c r="H110" s="7">
        <v>2.1000000000000001E-2</v>
      </c>
      <c r="I110" s="6">
        <v>91.23</v>
      </c>
      <c r="J110" s="6">
        <v>4435.3</v>
      </c>
      <c r="K110" t="s">
        <v>284</v>
      </c>
      <c r="L110" t="s">
        <v>285</v>
      </c>
      <c r="M110" t="s">
        <v>286</v>
      </c>
    </row>
    <row r="111" spans="1:13" ht="15" customHeight="1" x14ac:dyDescent="0.25">
      <c r="A111">
        <v>110</v>
      </c>
      <c r="B111" s="5">
        <v>45952</v>
      </c>
      <c r="C111" t="s">
        <v>33</v>
      </c>
      <c r="D111" t="s">
        <v>100</v>
      </c>
      <c r="E111" t="s">
        <v>101</v>
      </c>
      <c r="F111" t="s">
        <v>44</v>
      </c>
      <c r="G111" s="6">
        <v>4099.6099999999997</v>
      </c>
      <c r="H111" s="7">
        <v>0</v>
      </c>
      <c r="I111" s="6">
        <v>0</v>
      </c>
      <c r="J111" s="6">
        <v>4099.6099999999997</v>
      </c>
      <c r="K111" t="s">
        <v>287</v>
      </c>
      <c r="L111" t="s">
        <v>288</v>
      </c>
    </row>
    <row r="112" spans="1:13" ht="15" customHeight="1" x14ac:dyDescent="0.25">
      <c r="A112">
        <v>111</v>
      </c>
      <c r="B112" s="5">
        <v>45961</v>
      </c>
      <c r="C112" t="s">
        <v>27</v>
      </c>
      <c r="D112" t="s">
        <v>28</v>
      </c>
      <c r="E112" t="s">
        <v>29</v>
      </c>
      <c r="F112" t="s">
        <v>120</v>
      </c>
      <c r="G112" s="6">
        <v>3132.52</v>
      </c>
      <c r="H112" s="7">
        <v>2.1000000000000001E-2</v>
      </c>
      <c r="I112" s="6">
        <v>65.78</v>
      </c>
      <c r="J112" s="6">
        <v>3198.3</v>
      </c>
      <c r="K112" t="s">
        <v>289</v>
      </c>
      <c r="L112" t="s">
        <v>290</v>
      </c>
    </row>
    <row r="113" spans="1:12" ht="15" customHeight="1" x14ac:dyDescent="0.25">
      <c r="A113">
        <v>112</v>
      </c>
      <c r="B113" s="5">
        <v>45812</v>
      </c>
      <c r="C113" t="s">
        <v>33</v>
      </c>
      <c r="D113" t="s">
        <v>42</v>
      </c>
      <c r="E113" t="s">
        <v>43</v>
      </c>
      <c r="F113" t="s">
        <v>44</v>
      </c>
      <c r="G113" s="6">
        <v>3240.99</v>
      </c>
      <c r="H113" s="7">
        <v>0</v>
      </c>
      <c r="I113" s="6">
        <v>0</v>
      </c>
      <c r="J113" s="6">
        <v>3240.99</v>
      </c>
      <c r="K113" t="s">
        <v>291</v>
      </c>
      <c r="L113" t="s">
        <v>292</v>
      </c>
    </row>
    <row r="114" spans="1:12" ht="15" customHeight="1" x14ac:dyDescent="0.25">
      <c r="A114">
        <v>113</v>
      </c>
      <c r="B114" s="5">
        <v>45835</v>
      </c>
      <c r="C114" t="s">
        <v>27</v>
      </c>
      <c r="D114" t="s">
        <v>42</v>
      </c>
      <c r="E114" t="s">
        <v>43</v>
      </c>
      <c r="F114" t="s">
        <v>44</v>
      </c>
      <c r="G114" s="6">
        <v>3387.65</v>
      </c>
      <c r="H114" s="7">
        <v>0</v>
      </c>
      <c r="I114" s="6">
        <v>0</v>
      </c>
      <c r="J114" s="6">
        <v>3387.65</v>
      </c>
      <c r="K114" t="s">
        <v>293</v>
      </c>
      <c r="L114" t="s">
        <v>294</v>
      </c>
    </row>
    <row r="115" spans="1:12" ht="15" customHeight="1" x14ac:dyDescent="0.25">
      <c r="A115">
        <v>114</v>
      </c>
      <c r="B115" s="5">
        <v>45664</v>
      </c>
      <c r="C115" t="s">
        <v>27</v>
      </c>
      <c r="D115" t="s">
        <v>181</v>
      </c>
      <c r="E115" t="s">
        <v>182</v>
      </c>
      <c r="F115" t="s">
        <v>76</v>
      </c>
      <c r="G115" s="6">
        <v>3835.12</v>
      </c>
      <c r="H115" s="7">
        <v>0.2</v>
      </c>
      <c r="I115" s="6">
        <v>767.02</v>
      </c>
      <c r="J115" s="6">
        <v>4602.1400000000003</v>
      </c>
      <c r="K115" t="s">
        <v>295</v>
      </c>
      <c r="L115" t="s">
        <v>296</v>
      </c>
    </row>
    <row r="116" spans="1:12" ht="15" customHeight="1" x14ac:dyDescent="0.25">
      <c r="A116">
        <v>115</v>
      </c>
      <c r="B116" s="5">
        <v>46020</v>
      </c>
      <c r="C116" t="s">
        <v>47</v>
      </c>
      <c r="D116" t="s">
        <v>94</v>
      </c>
      <c r="E116" t="s">
        <v>95</v>
      </c>
      <c r="F116" t="s">
        <v>44</v>
      </c>
      <c r="G116" s="6">
        <v>940.34</v>
      </c>
      <c r="H116" s="7">
        <v>0</v>
      </c>
      <c r="I116" s="6">
        <v>0</v>
      </c>
      <c r="J116" s="6">
        <v>940.34</v>
      </c>
      <c r="K116" t="s">
        <v>297</v>
      </c>
      <c r="L116" t="s">
        <v>298</v>
      </c>
    </row>
    <row r="117" spans="1:12" ht="15" customHeight="1" x14ac:dyDescent="0.25">
      <c r="A117">
        <v>116</v>
      </c>
      <c r="B117" s="5">
        <v>45933</v>
      </c>
      <c r="C117" t="s">
        <v>27</v>
      </c>
      <c r="D117" t="s">
        <v>55</v>
      </c>
      <c r="E117" t="s">
        <v>56</v>
      </c>
      <c r="F117" t="s">
        <v>76</v>
      </c>
      <c r="G117" s="6">
        <v>3503.92</v>
      </c>
      <c r="H117" s="7">
        <v>5.5E-2</v>
      </c>
      <c r="I117" s="6">
        <v>192.72</v>
      </c>
      <c r="J117" s="6">
        <v>3696.64</v>
      </c>
      <c r="K117" t="s">
        <v>299</v>
      </c>
      <c r="L117" t="s">
        <v>300</v>
      </c>
    </row>
    <row r="118" spans="1:12" ht="15" customHeight="1" x14ac:dyDescent="0.25">
      <c r="A118">
        <v>117</v>
      </c>
      <c r="B118" s="5">
        <v>45783</v>
      </c>
      <c r="C118" t="s">
        <v>27</v>
      </c>
      <c r="D118" t="s">
        <v>172</v>
      </c>
      <c r="E118" t="s">
        <v>173</v>
      </c>
      <c r="F118" t="s">
        <v>87</v>
      </c>
      <c r="G118" s="6">
        <v>3751.83</v>
      </c>
      <c r="H118" s="7">
        <v>0.2</v>
      </c>
      <c r="I118" s="6">
        <v>750.37</v>
      </c>
      <c r="J118" s="6">
        <v>4502.2</v>
      </c>
      <c r="K118" t="s">
        <v>301</v>
      </c>
      <c r="L118" t="s">
        <v>302</v>
      </c>
    </row>
    <row r="119" spans="1:12" ht="15" customHeight="1" x14ac:dyDescent="0.25">
      <c r="A119">
        <v>118</v>
      </c>
      <c r="B119" s="5">
        <v>45895</v>
      </c>
      <c r="C119" t="s">
        <v>47</v>
      </c>
      <c r="D119" t="s">
        <v>55</v>
      </c>
      <c r="E119" t="s">
        <v>56</v>
      </c>
      <c r="F119" t="s">
        <v>120</v>
      </c>
      <c r="G119" s="6">
        <v>2598.7399999999998</v>
      </c>
      <c r="H119" s="7">
        <v>5.5E-2</v>
      </c>
      <c r="I119" s="6">
        <v>142.93</v>
      </c>
      <c r="J119" s="6">
        <v>2741.67</v>
      </c>
      <c r="K119" t="s">
        <v>303</v>
      </c>
      <c r="L119" t="s">
        <v>304</v>
      </c>
    </row>
    <row r="120" spans="1:12" ht="15" customHeight="1" x14ac:dyDescent="0.25">
      <c r="A120">
        <v>119</v>
      </c>
      <c r="B120" s="5">
        <v>45824</v>
      </c>
      <c r="C120" t="s">
        <v>47</v>
      </c>
      <c r="D120" t="s">
        <v>28</v>
      </c>
      <c r="E120" t="s">
        <v>29</v>
      </c>
      <c r="F120" t="s">
        <v>71</v>
      </c>
      <c r="G120" s="6">
        <v>883.73</v>
      </c>
      <c r="H120" s="7">
        <v>2.1000000000000001E-2</v>
      </c>
      <c r="I120" s="6">
        <v>18.559999999999999</v>
      </c>
      <c r="J120" s="6">
        <v>902.29</v>
      </c>
      <c r="K120" t="s">
        <v>305</v>
      </c>
      <c r="L120" t="s">
        <v>306</v>
      </c>
    </row>
    <row r="121" spans="1:12" ht="15" customHeight="1" x14ac:dyDescent="0.25">
      <c r="A121">
        <v>120</v>
      </c>
      <c r="B121" s="5">
        <v>46017</v>
      </c>
      <c r="C121" t="s">
        <v>47</v>
      </c>
      <c r="D121" t="s">
        <v>55</v>
      </c>
      <c r="E121" t="s">
        <v>56</v>
      </c>
      <c r="F121" t="s">
        <v>106</v>
      </c>
      <c r="G121" s="6">
        <v>3970.07</v>
      </c>
      <c r="H121" s="7">
        <v>5.5E-2</v>
      </c>
      <c r="I121" s="6">
        <v>218.35</v>
      </c>
      <c r="J121" s="6">
        <v>4188.42</v>
      </c>
      <c r="K121" t="s">
        <v>307</v>
      </c>
      <c r="L121" t="s">
        <v>308</v>
      </c>
    </row>
    <row r="122" spans="1:12" ht="15" customHeight="1" x14ac:dyDescent="0.25">
      <c r="A122">
        <v>121</v>
      </c>
      <c r="B122" s="5">
        <v>45701</v>
      </c>
      <c r="C122" t="s">
        <v>27</v>
      </c>
      <c r="D122" t="s">
        <v>100</v>
      </c>
      <c r="E122" t="s">
        <v>101</v>
      </c>
      <c r="F122" t="s">
        <v>44</v>
      </c>
      <c r="G122" s="6">
        <v>2775.43</v>
      </c>
      <c r="H122" s="7">
        <v>0</v>
      </c>
      <c r="I122" s="6">
        <v>0</v>
      </c>
      <c r="J122" s="6">
        <v>2775.43</v>
      </c>
      <c r="K122" t="s">
        <v>309</v>
      </c>
      <c r="L122" t="s">
        <v>310</v>
      </c>
    </row>
    <row r="123" spans="1:12" ht="15" customHeight="1" x14ac:dyDescent="0.25">
      <c r="A123">
        <v>122</v>
      </c>
      <c r="B123" s="5">
        <v>45988</v>
      </c>
      <c r="C123" t="s">
        <v>33</v>
      </c>
      <c r="D123" t="s">
        <v>42</v>
      </c>
      <c r="E123" t="s">
        <v>43</v>
      </c>
      <c r="F123" t="s">
        <v>44</v>
      </c>
      <c r="G123" s="6">
        <v>2875.62</v>
      </c>
      <c r="H123" s="7">
        <v>0</v>
      </c>
      <c r="I123" s="6">
        <v>0</v>
      </c>
      <c r="J123" s="6">
        <v>2875.62</v>
      </c>
      <c r="K123" t="s">
        <v>311</v>
      </c>
      <c r="L123" t="s">
        <v>312</v>
      </c>
    </row>
    <row r="124" spans="1:12" ht="15" customHeight="1" x14ac:dyDescent="0.25">
      <c r="A124">
        <v>123</v>
      </c>
      <c r="B124" s="5">
        <v>45782</v>
      </c>
      <c r="C124" t="s">
        <v>33</v>
      </c>
      <c r="D124" t="s">
        <v>55</v>
      </c>
      <c r="E124" t="s">
        <v>56</v>
      </c>
      <c r="F124" t="s">
        <v>84</v>
      </c>
      <c r="G124" s="6">
        <v>1433.43</v>
      </c>
      <c r="H124" s="7">
        <v>5.5E-2</v>
      </c>
      <c r="I124" s="6">
        <v>78.84</v>
      </c>
      <c r="J124" s="6">
        <v>1512.27</v>
      </c>
      <c r="K124" t="s">
        <v>313</v>
      </c>
      <c r="L124" t="s">
        <v>314</v>
      </c>
    </row>
    <row r="125" spans="1:12" ht="15" customHeight="1" x14ac:dyDescent="0.25">
      <c r="A125">
        <v>124</v>
      </c>
      <c r="B125" s="5">
        <v>45834</v>
      </c>
      <c r="C125" t="s">
        <v>47</v>
      </c>
      <c r="D125" t="s">
        <v>172</v>
      </c>
      <c r="E125" t="s">
        <v>173</v>
      </c>
      <c r="F125" t="s">
        <v>81</v>
      </c>
      <c r="G125" s="6">
        <v>1960.73</v>
      </c>
      <c r="H125" s="7">
        <v>0.2</v>
      </c>
      <c r="I125" s="6">
        <v>392.15</v>
      </c>
      <c r="J125" s="6">
        <v>2352.88</v>
      </c>
      <c r="K125" t="s">
        <v>315</v>
      </c>
      <c r="L125" t="s">
        <v>316</v>
      </c>
    </row>
    <row r="126" spans="1:12" ht="15" customHeight="1" x14ac:dyDescent="0.25">
      <c r="A126">
        <v>125</v>
      </c>
      <c r="B126" s="5">
        <v>45890</v>
      </c>
      <c r="C126" t="s">
        <v>47</v>
      </c>
      <c r="D126" t="s">
        <v>55</v>
      </c>
      <c r="E126" t="s">
        <v>56</v>
      </c>
      <c r="F126" t="s">
        <v>174</v>
      </c>
      <c r="G126" s="6">
        <v>1277.45</v>
      </c>
      <c r="H126" s="7">
        <v>5.5E-2</v>
      </c>
      <c r="I126" s="6">
        <v>70.260000000000005</v>
      </c>
      <c r="J126" s="6">
        <v>1347.71</v>
      </c>
      <c r="K126" t="s">
        <v>317</v>
      </c>
      <c r="L126" t="s">
        <v>318</v>
      </c>
    </row>
    <row r="127" spans="1:12" ht="15" customHeight="1" x14ac:dyDescent="0.25">
      <c r="A127">
        <v>126</v>
      </c>
      <c r="B127" s="5">
        <v>45819</v>
      </c>
      <c r="C127" t="s">
        <v>33</v>
      </c>
      <c r="D127" t="s">
        <v>42</v>
      </c>
      <c r="E127" t="s">
        <v>43</v>
      </c>
      <c r="F127" t="s">
        <v>44</v>
      </c>
      <c r="G127" s="6">
        <v>3086.07</v>
      </c>
      <c r="H127" s="7">
        <v>0</v>
      </c>
      <c r="I127" s="6">
        <v>0</v>
      </c>
      <c r="J127" s="6">
        <v>3086.07</v>
      </c>
      <c r="K127" t="s">
        <v>319</v>
      </c>
      <c r="L127" t="s">
        <v>320</v>
      </c>
    </row>
    <row r="128" spans="1:12" ht="15" customHeight="1" x14ac:dyDescent="0.25">
      <c r="A128">
        <v>127</v>
      </c>
      <c r="B128" s="5">
        <v>45768</v>
      </c>
      <c r="C128" t="s">
        <v>27</v>
      </c>
      <c r="D128" t="s">
        <v>28</v>
      </c>
      <c r="E128" t="s">
        <v>29</v>
      </c>
      <c r="F128" t="s">
        <v>174</v>
      </c>
      <c r="G128" s="6">
        <v>3344.63</v>
      </c>
      <c r="H128" s="7">
        <v>2.1000000000000001E-2</v>
      </c>
      <c r="I128" s="6">
        <v>70.239999999999995</v>
      </c>
      <c r="J128" s="6">
        <v>3414.87</v>
      </c>
      <c r="K128" t="s">
        <v>321</v>
      </c>
      <c r="L128" t="s">
        <v>322</v>
      </c>
    </row>
    <row r="129" spans="1:13" ht="15" customHeight="1" x14ac:dyDescent="0.25">
      <c r="A129">
        <v>128</v>
      </c>
      <c r="B129" s="5">
        <v>45926</v>
      </c>
      <c r="C129" t="s">
        <v>27</v>
      </c>
      <c r="D129" t="s">
        <v>94</v>
      </c>
      <c r="E129" t="s">
        <v>95</v>
      </c>
      <c r="F129" t="s">
        <v>44</v>
      </c>
      <c r="G129" s="6">
        <v>11000</v>
      </c>
      <c r="H129" s="7">
        <v>0</v>
      </c>
      <c r="I129" s="6">
        <v>0</v>
      </c>
      <c r="J129" s="6">
        <v>11000</v>
      </c>
      <c r="K129" t="s">
        <v>323</v>
      </c>
      <c r="L129" t="s">
        <v>324</v>
      </c>
      <c r="M129" t="s">
        <v>143</v>
      </c>
    </row>
    <row r="130" spans="1:13" ht="15" customHeight="1" x14ac:dyDescent="0.25">
      <c r="A130">
        <v>129</v>
      </c>
      <c r="B130" s="5">
        <v>45842</v>
      </c>
      <c r="C130" t="s">
        <v>33</v>
      </c>
      <c r="D130" t="s">
        <v>55</v>
      </c>
      <c r="E130" t="s">
        <v>56</v>
      </c>
      <c r="F130" t="s">
        <v>39</v>
      </c>
      <c r="G130" s="6">
        <v>873.13</v>
      </c>
      <c r="H130" s="7">
        <v>5.5E-2</v>
      </c>
      <c r="I130" s="6">
        <v>48.02</v>
      </c>
      <c r="J130" s="6">
        <v>921.15</v>
      </c>
      <c r="K130" t="s">
        <v>325</v>
      </c>
      <c r="L130" t="s">
        <v>326</v>
      </c>
    </row>
    <row r="131" spans="1:13" ht="15" customHeight="1" x14ac:dyDescent="0.25">
      <c r="A131">
        <v>130</v>
      </c>
      <c r="B131" s="5">
        <v>45681</v>
      </c>
      <c r="C131" t="s">
        <v>27</v>
      </c>
      <c r="D131" t="s">
        <v>28</v>
      </c>
      <c r="E131" t="s">
        <v>29</v>
      </c>
      <c r="F131" t="s">
        <v>106</v>
      </c>
      <c r="G131" s="6">
        <v>4386.38</v>
      </c>
      <c r="H131" s="7">
        <v>2.1000000000000001E-2</v>
      </c>
      <c r="I131" s="6">
        <v>92.11</v>
      </c>
      <c r="J131" s="6">
        <v>4478.49</v>
      </c>
      <c r="K131" t="s">
        <v>327</v>
      </c>
      <c r="L131" t="s">
        <v>328</v>
      </c>
    </row>
    <row r="132" spans="1:13" ht="15" customHeight="1" x14ac:dyDescent="0.25">
      <c r="A132">
        <v>131</v>
      </c>
      <c r="B132" s="5">
        <v>45909</v>
      </c>
      <c r="C132" t="s">
        <v>27</v>
      </c>
      <c r="D132" t="s">
        <v>100</v>
      </c>
      <c r="E132" t="s">
        <v>101</v>
      </c>
      <c r="F132" t="s">
        <v>44</v>
      </c>
      <c r="G132" s="6">
        <v>1829.44</v>
      </c>
      <c r="H132" s="7">
        <v>0</v>
      </c>
      <c r="I132" s="6">
        <v>0</v>
      </c>
      <c r="J132" s="6">
        <v>1829.44</v>
      </c>
      <c r="K132" t="s">
        <v>329</v>
      </c>
      <c r="L132" t="s">
        <v>330</v>
      </c>
      <c r="M132" t="s">
        <v>286</v>
      </c>
    </row>
    <row r="133" spans="1:13" ht="15" customHeight="1" x14ac:dyDescent="0.25">
      <c r="A133">
        <v>132</v>
      </c>
      <c r="B133" s="5">
        <v>45832</v>
      </c>
      <c r="C133" t="s">
        <v>47</v>
      </c>
      <c r="D133" t="s">
        <v>79</v>
      </c>
      <c r="E133" t="s">
        <v>80</v>
      </c>
      <c r="F133" t="s">
        <v>39</v>
      </c>
      <c r="G133" s="6">
        <v>894.89</v>
      </c>
      <c r="H133" s="7">
        <v>0.2</v>
      </c>
      <c r="I133" s="6">
        <v>178.98</v>
      </c>
      <c r="J133" s="6">
        <v>1073.8699999999999</v>
      </c>
      <c r="K133" t="s">
        <v>331</v>
      </c>
      <c r="L133" t="s">
        <v>332</v>
      </c>
    </row>
    <row r="134" spans="1:13" ht="15" customHeight="1" x14ac:dyDescent="0.25">
      <c r="A134">
        <v>133</v>
      </c>
      <c r="B134" s="5">
        <v>45691</v>
      </c>
      <c r="C134" t="s">
        <v>47</v>
      </c>
      <c r="D134" t="s">
        <v>28</v>
      </c>
      <c r="E134" t="s">
        <v>29</v>
      </c>
      <c r="F134" t="s">
        <v>87</v>
      </c>
      <c r="G134" s="6">
        <v>1851.13</v>
      </c>
      <c r="H134" s="7">
        <v>2.1000000000000001E-2</v>
      </c>
      <c r="I134" s="6">
        <v>38.869999999999997</v>
      </c>
      <c r="J134" s="6">
        <v>1890</v>
      </c>
      <c r="K134" t="s">
        <v>333</v>
      </c>
      <c r="L134" t="s">
        <v>334</v>
      </c>
    </row>
    <row r="135" spans="1:13" ht="15" customHeight="1" x14ac:dyDescent="0.25">
      <c r="A135">
        <v>134</v>
      </c>
      <c r="B135" s="5">
        <v>45735</v>
      </c>
      <c r="C135" t="s">
        <v>27</v>
      </c>
      <c r="D135" t="s">
        <v>34</v>
      </c>
      <c r="E135" t="s">
        <v>35</v>
      </c>
      <c r="F135" t="s">
        <v>84</v>
      </c>
      <c r="G135" s="6">
        <v>739.45</v>
      </c>
      <c r="H135" s="7">
        <v>0.2</v>
      </c>
      <c r="I135" s="6">
        <v>147.88999999999999</v>
      </c>
      <c r="J135" s="6">
        <v>887.34</v>
      </c>
      <c r="K135" t="s">
        <v>335</v>
      </c>
      <c r="L135" t="s">
        <v>336</v>
      </c>
    </row>
    <row r="136" spans="1:13" ht="15" customHeight="1" x14ac:dyDescent="0.25">
      <c r="A136">
        <v>135</v>
      </c>
      <c r="B136" s="5">
        <v>45943</v>
      </c>
      <c r="C136" t="s">
        <v>33</v>
      </c>
      <c r="D136" t="s">
        <v>94</v>
      </c>
      <c r="E136" t="s">
        <v>95</v>
      </c>
      <c r="F136" t="s">
        <v>44</v>
      </c>
      <c r="G136" s="6">
        <v>2015.79</v>
      </c>
      <c r="H136" s="7">
        <v>0</v>
      </c>
      <c r="I136" s="6">
        <v>0</v>
      </c>
      <c r="J136" s="6">
        <v>2015.79</v>
      </c>
      <c r="K136" t="s">
        <v>337</v>
      </c>
      <c r="L136" t="s">
        <v>338</v>
      </c>
    </row>
    <row r="137" spans="1:13" ht="15" customHeight="1" x14ac:dyDescent="0.25">
      <c r="A137">
        <v>136</v>
      </c>
      <c r="B137" s="5">
        <v>45925</v>
      </c>
      <c r="C137" t="s">
        <v>27</v>
      </c>
      <c r="D137" t="s">
        <v>55</v>
      </c>
      <c r="E137" t="s">
        <v>56</v>
      </c>
      <c r="F137" t="s">
        <v>76</v>
      </c>
      <c r="G137" s="6">
        <v>1761.27</v>
      </c>
      <c r="H137" s="7">
        <v>5.5E-2</v>
      </c>
      <c r="I137" s="6">
        <v>96.87</v>
      </c>
      <c r="J137" s="6">
        <v>1858.14</v>
      </c>
      <c r="K137" t="s">
        <v>339</v>
      </c>
      <c r="L137" t="s">
        <v>340</v>
      </c>
    </row>
    <row r="138" spans="1:13" ht="15" customHeight="1" x14ac:dyDescent="0.25">
      <c r="A138">
        <v>137</v>
      </c>
      <c r="B138" s="5">
        <v>45814</v>
      </c>
      <c r="C138" t="s">
        <v>27</v>
      </c>
      <c r="D138" t="s">
        <v>94</v>
      </c>
      <c r="E138" t="s">
        <v>95</v>
      </c>
      <c r="F138" t="s">
        <v>44</v>
      </c>
      <c r="G138" s="6">
        <v>650.58000000000004</v>
      </c>
      <c r="H138" s="7">
        <v>0</v>
      </c>
      <c r="I138" s="6">
        <v>0</v>
      </c>
      <c r="J138" s="6">
        <v>650.58000000000004</v>
      </c>
      <c r="K138" t="s">
        <v>341</v>
      </c>
      <c r="L138" t="s">
        <v>342</v>
      </c>
    </row>
    <row r="139" spans="1:13" ht="15" customHeight="1" x14ac:dyDescent="0.25">
      <c r="A139">
        <v>138</v>
      </c>
      <c r="B139" s="5">
        <v>45764</v>
      </c>
      <c r="C139" t="s">
        <v>33</v>
      </c>
      <c r="D139" t="s">
        <v>100</v>
      </c>
      <c r="E139" t="s">
        <v>101</v>
      </c>
      <c r="F139" t="s">
        <v>44</v>
      </c>
      <c r="G139" s="6">
        <v>2435.15</v>
      </c>
      <c r="H139" s="7">
        <v>0</v>
      </c>
      <c r="I139" s="6">
        <v>0</v>
      </c>
      <c r="J139" s="6">
        <v>2435.15</v>
      </c>
      <c r="K139" t="s">
        <v>343</v>
      </c>
      <c r="L139" t="s">
        <v>344</v>
      </c>
    </row>
    <row r="140" spans="1:13" ht="15" customHeight="1" x14ac:dyDescent="0.25">
      <c r="A140">
        <v>139</v>
      </c>
      <c r="B140" s="5">
        <v>45940</v>
      </c>
      <c r="C140" t="s">
        <v>33</v>
      </c>
      <c r="D140" t="s">
        <v>55</v>
      </c>
      <c r="E140" t="s">
        <v>56</v>
      </c>
      <c r="F140" t="s">
        <v>39</v>
      </c>
      <c r="G140" s="6">
        <v>411.79</v>
      </c>
      <c r="H140" s="7">
        <v>5.5E-2</v>
      </c>
      <c r="I140" s="6">
        <v>22.65</v>
      </c>
      <c r="J140" s="6">
        <v>434.44</v>
      </c>
      <c r="K140" t="s">
        <v>345</v>
      </c>
      <c r="L140" t="s">
        <v>346</v>
      </c>
    </row>
    <row r="141" spans="1:13" ht="15" customHeight="1" x14ac:dyDescent="0.25">
      <c r="A141">
        <v>140</v>
      </c>
      <c r="B141" s="5">
        <v>45898</v>
      </c>
      <c r="C141" t="s">
        <v>47</v>
      </c>
      <c r="D141" t="s">
        <v>34</v>
      </c>
      <c r="E141" t="s">
        <v>35</v>
      </c>
      <c r="F141" t="s">
        <v>71</v>
      </c>
      <c r="G141" s="6">
        <v>1367.37</v>
      </c>
      <c r="H141" s="7">
        <v>0.2</v>
      </c>
      <c r="I141" s="6">
        <v>273.47000000000003</v>
      </c>
      <c r="J141" s="6">
        <v>1640.84</v>
      </c>
      <c r="K141" t="s">
        <v>347</v>
      </c>
      <c r="L141" t="s">
        <v>348</v>
      </c>
    </row>
    <row r="142" spans="1:13" ht="15" customHeight="1" x14ac:dyDescent="0.25">
      <c r="A142">
        <v>141</v>
      </c>
      <c r="B142" s="5">
        <v>45890</v>
      </c>
      <c r="C142" t="s">
        <v>27</v>
      </c>
      <c r="D142" t="s">
        <v>55</v>
      </c>
      <c r="E142" t="s">
        <v>56</v>
      </c>
      <c r="F142" t="s">
        <v>71</v>
      </c>
      <c r="G142" s="6">
        <v>394.61</v>
      </c>
      <c r="H142" s="7">
        <v>5.5E-2</v>
      </c>
      <c r="I142" s="6">
        <v>21.7</v>
      </c>
      <c r="J142" s="6">
        <v>416.31</v>
      </c>
      <c r="K142" t="s">
        <v>349</v>
      </c>
      <c r="L142" t="s">
        <v>350</v>
      </c>
    </row>
    <row r="143" spans="1:13" ht="15" customHeight="1" x14ac:dyDescent="0.25">
      <c r="A143">
        <v>142</v>
      </c>
      <c r="B143" s="5">
        <v>45875</v>
      </c>
      <c r="C143" t="s">
        <v>27</v>
      </c>
      <c r="D143" t="s">
        <v>172</v>
      </c>
      <c r="E143" t="s">
        <v>173</v>
      </c>
      <c r="F143" t="s">
        <v>71</v>
      </c>
      <c r="G143" s="6">
        <v>587.30999999999995</v>
      </c>
      <c r="H143" s="7">
        <v>0.2</v>
      </c>
      <c r="I143" s="6">
        <v>117.46</v>
      </c>
      <c r="J143" s="6">
        <v>704.77</v>
      </c>
      <c r="K143" t="s">
        <v>351</v>
      </c>
      <c r="L143" t="s">
        <v>352</v>
      </c>
    </row>
    <row r="144" spans="1:13" ht="15" customHeight="1" x14ac:dyDescent="0.25">
      <c r="A144">
        <v>143</v>
      </c>
      <c r="B144" s="5">
        <v>45730</v>
      </c>
      <c r="C144" t="s">
        <v>33</v>
      </c>
      <c r="D144" t="s">
        <v>100</v>
      </c>
      <c r="E144" t="s">
        <v>101</v>
      </c>
      <c r="F144" t="s">
        <v>44</v>
      </c>
      <c r="G144" s="6">
        <v>2198.21</v>
      </c>
      <c r="H144" s="7">
        <v>0</v>
      </c>
      <c r="I144" s="6">
        <v>0</v>
      </c>
      <c r="J144" s="6">
        <v>2198.21</v>
      </c>
      <c r="K144" t="s">
        <v>353</v>
      </c>
      <c r="L144" t="s">
        <v>354</v>
      </c>
    </row>
    <row r="145" spans="1:13" ht="15" customHeight="1" x14ac:dyDescent="0.25">
      <c r="A145">
        <v>144</v>
      </c>
      <c r="B145" s="5">
        <v>45805</v>
      </c>
      <c r="C145" t="s">
        <v>27</v>
      </c>
      <c r="D145" t="s">
        <v>42</v>
      </c>
      <c r="E145" t="s">
        <v>43</v>
      </c>
      <c r="F145" t="s">
        <v>44</v>
      </c>
      <c r="G145" s="6">
        <v>3000</v>
      </c>
      <c r="H145" s="7">
        <v>0</v>
      </c>
      <c r="I145" s="6">
        <v>0</v>
      </c>
      <c r="J145" s="6">
        <v>3000</v>
      </c>
      <c r="K145" t="s">
        <v>355</v>
      </c>
      <c r="L145" t="s">
        <v>356</v>
      </c>
      <c r="M145" t="s">
        <v>143</v>
      </c>
    </row>
    <row r="146" spans="1:13" ht="15" customHeight="1" x14ac:dyDescent="0.25">
      <c r="A146">
        <v>145</v>
      </c>
      <c r="B146" s="5">
        <v>45797</v>
      </c>
      <c r="C146" t="s">
        <v>27</v>
      </c>
      <c r="D146" t="s">
        <v>63</v>
      </c>
      <c r="E146" t="s">
        <v>64</v>
      </c>
      <c r="F146" t="s">
        <v>76</v>
      </c>
      <c r="G146" s="6">
        <v>2292.09</v>
      </c>
      <c r="H146" s="7">
        <v>0.2</v>
      </c>
      <c r="I146" s="6">
        <v>458.42</v>
      </c>
      <c r="J146" s="6">
        <v>2750.51</v>
      </c>
      <c r="K146" t="s">
        <v>357</v>
      </c>
      <c r="L146" t="s">
        <v>358</v>
      </c>
    </row>
    <row r="147" spans="1:13" ht="15" customHeight="1" x14ac:dyDescent="0.25">
      <c r="A147">
        <v>146</v>
      </c>
      <c r="B147" s="5">
        <v>45967</v>
      </c>
      <c r="C147" t="s">
        <v>33</v>
      </c>
      <c r="D147" t="s">
        <v>172</v>
      </c>
      <c r="E147" t="s">
        <v>173</v>
      </c>
      <c r="F147" t="s">
        <v>87</v>
      </c>
      <c r="G147" s="6">
        <v>1186.6300000000001</v>
      </c>
      <c r="H147" s="7">
        <v>0.2</v>
      </c>
      <c r="I147" s="6">
        <v>237.33</v>
      </c>
      <c r="J147" s="6">
        <v>1423.96</v>
      </c>
      <c r="K147" t="s">
        <v>359</v>
      </c>
      <c r="L147" t="s">
        <v>360</v>
      </c>
    </row>
    <row r="148" spans="1:13" ht="15" customHeight="1" x14ac:dyDescent="0.25">
      <c r="A148">
        <v>147</v>
      </c>
      <c r="B148" s="5">
        <v>45952</v>
      </c>
      <c r="C148" t="s">
        <v>27</v>
      </c>
      <c r="D148" t="s">
        <v>42</v>
      </c>
      <c r="E148" t="s">
        <v>43</v>
      </c>
      <c r="F148" t="s">
        <v>44</v>
      </c>
      <c r="G148" s="6">
        <v>1849.79</v>
      </c>
      <c r="H148" s="7">
        <v>0</v>
      </c>
      <c r="I148" s="6">
        <v>0</v>
      </c>
      <c r="J148" s="6">
        <v>1849.79</v>
      </c>
      <c r="K148" t="s">
        <v>361</v>
      </c>
      <c r="L148" t="s">
        <v>362</v>
      </c>
    </row>
    <row r="149" spans="1:13" ht="15" customHeight="1" x14ac:dyDescent="0.25">
      <c r="A149">
        <v>148</v>
      </c>
      <c r="B149" s="5">
        <v>45953</v>
      </c>
      <c r="C149" t="s">
        <v>27</v>
      </c>
      <c r="D149" t="s">
        <v>42</v>
      </c>
      <c r="E149" t="s">
        <v>43</v>
      </c>
      <c r="F149" t="s">
        <v>44</v>
      </c>
      <c r="G149" s="6">
        <v>3615.05</v>
      </c>
      <c r="H149" s="7">
        <v>0</v>
      </c>
      <c r="I149" s="6">
        <v>0</v>
      </c>
      <c r="J149" s="6">
        <v>3615.05</v>
      </c>
      <c r="K149" t="s">
        <v>363</v>
      </c>
      <c r="L149" t="s">
        <v>364</v>
      </c>
    </row>
    <row r="150" spans="1:13" ht="15" customHeight="1" x14ac:dyDescent="0.25">
      <c r="A150">
        <v>149</v>
      </c>
      <c r="B150" s="5">
        <v>45800</v>
      </c>
      <c r="C150" t="s">
        <v>27</v>
      </c>
      <c r="D150" t="s">
        <v>34</v>
      </c>
      <c r="E150" t="s">
        <v>35</v>
      </c>
      <c r="F150" t="s">
        <v>84</v>
      </c>
      <c r="G150" s="6">
        <v>882.18</v>
      </c>
      <c r="H150" s="7">
        <v>0.2</v>
      </c>
      <c r="I150" s="6">
        <v>176.44</v>
      </c>
      <c r="J150" s="6">
        <v>1058.6199999999999</v>
      </c>
      <c r="K150" t="s">
        <v>365</v>
      </c>
      <c r="L150" t="s">
        <v>366</v>
      </c>
    </row>
    <row r="151" spans="1:13" ht="15" customHeight="1" x14ac:dyDescent="0.25">
      <c r="A151">
        <v>150</v>
      </c>
      <c r="B151" s="5">
        <v>45898</v>
      </c>
      <c r="C151" t="s">
        <v>27</v>
      </c>
      <c r="D151" t="s">
        <v>42</v>
      </c>
      <c r="E151" t="s">
        <v>43</v>
      </c>
      <c r="F151" t="s">
        <v>44</v>
      </c>
      <c r="G151" s="6">
        <v>2599.94</v>
      </c>
      <c r="H151" s="7">
        <v>0</v>
      </c>
      <c r="I151" s="6">
        <v>0</v>
      </c>
      <c r="J151" s="6">
        <v>2599.94</v>
      </c>
      <c r="K151" t="s">
        <v>367</v>
      </c>
      <c r="L151" t="s">
        <v>368</v>
      </c>
    </row>
    <row r="152" spans="1:13" ht="15" customHeight="1" x14ac:dyDescent="0.25">
      <c r="A152">
        <v>151</v>
      </c>
      <c r="B152" s="5">
        <v>45826</v>
      </c>
      <c r="C152" t="s">
        <v>33</v>
      </c>
      <c r="D152" t="s">
        <v>42</v>
      </c>
      <c r="E152" t="s">
        <v>43</v>
      </c>
      <c r="F152" t="s">
        <v>44</v>
      </c>
      <c r="G152" s="6">
        <v>2989.13</v>
      </c>
      <c r="H152" s="7">
        <v>0</v>
      </c>
      <c r="I152" s="6">
        <v>0</v>
      </c>
      <c r="J152" s="6">
        <v>2989.13</v>
      </c>
      <c r="K152" t="s">
        <v>369</v>
      </c>
      <c r="L152" t="s">
        <v>370</v>
      </c>
    </row>
    <row r="153" spans="1:13" ht="15" customHeight="1" x14ac:dyDescent="0.25">
      <c r="A153">
        <v>152</v>
      </c>
      <c r="B153" s="5">
        <v>45939</v>
      </c>
      <c r="C153" t="s">
        <v>47</v>
      </c>
      <c r="D153" t="s">
        <v>42</v>
      </c>
      <c r="E153" t="s">
        <v>43</v>
      </c>
      <c r="F153" t="s">
        <v>44</v>
      </c>
      <c r="G153" s="6">
        <v>2011.34</v>
      </c>
      <c r="H153" s="7">
        <v>0</v>
      </c>
      <c r="I153" s="6">
        <v>0</v>
      </c>
      <c r="J153" s="6">
        <v>2011.34</v>
      </c>
      <c r="K153" t="s">
        <v>371</v>
      </c>
      <c r="L153" t="s">
        <v>372</v>
      </c>
    </row>
    <row r="154" spans="1:13" ht="15" customHeight="1" x14ac:dyDescent="0.25">
      <c r="A154">
        <v>153</v>
      </c>
      <c r="B154" s="5">
        <v>45658</v>
      </c>
      <c r="C154" t="s">
        <v>47</v>
      </c>
      <c r="D154" t="s">
        <v>28</v>
      </c>
      <c r="E154" t="s">
        <v>29</v>
      </c>
      <c r="F154" t="s">
        <v>106</v>
      </c>
      <c r="G154" s="6">
        <v>2986.86</v>
      </c>
      <c r="H154" s="7">
        <v>2.1000000000000001E-2</v>
      </c>
      <c r="I154" s="6">
        <v>62.72</v>
      </c>
      <c r="J154" s="6">
        <v>3049.58</v>
      </c>
      <c r="K154" t="s">
        <v>373</v>
      </c>
      <c r="L154" t="s">
        <v>374</v>
      </c>
    </row>
    <row r="155" spans="1:13" ht="15" customHeight="1" x14ac:dyDescent="0.25">
      <c r="A155">
        <v>154</v>
      </c>
      <c r="B155" s="5">
        <v>45923</v>
      </c>
      <c r="C155" t="s">
        <v>47</v>
      </c>
      <c r="D155" t="s">
        <v>28</v>
      </c>
      <c r="E155" t="s">
        <v>29</v>
      </c>
      <c r="F155" t="s">
        <v>76</v>
      </c>
      <c r="G155" s="6">
        <v>1679.06</v>
      </c>
      <c r="H155" s="7">
        <v>2.1000000000000001E-2</v>
      </c>
      <c r="I155" s="6">
        <v>35.26</v>
      </c>
      <c r="J155" s="6">
        <v>1714.32</v>
      </c>
      <c r="K155" t="s">
        <v>375</v>
      </c>
      <c r="L155" t="s">
        <v>376</v>
      </c>
    </row>
    <row r="156" spans="1:13" ht="15" customHeight="1" x14ac:dyDescent="0.25">
      <c r="A156">
        <v>155</v>
      </c>
      <c r="B156" s="5">
        <v>45762</v>
      </c>
      <c r="C156" t="s">
        <v>47</v>
      </c>
      <c r="D156" t="s">
        <v>42</v>
      </c>
      <c r="E156" t="s">
        <v>43</v>
      </c>
      <c r="F156" t="s">
        <v>44</v>
      </c>
      <c r="G156" s="6">
        <v>2114.4299999999998</v>
      </c>
      <c r="H156" s="7">
        <v>0</v>
      </c>
      <c r="I156" s="6">
        <v>0</v>
      </c>
      <c r="J156" s="6">
        <v>2114.4299999999998</v>
      </c>
      <c r="K156" t="s">
        <v>377</v>
      </c>
      <c r="L156" t="s">
        <v>378</v>
      </c>
    </row>
    <row r="157" spans="1:13" ht="15" customHeight="1" x14ac:dyDescent="0.25">
      <c r="A157">
        <v>156</v>
      </c>
      <c r="B157" s="5">
        <v>45720</v>
      </c>
      <c r="C157" t="s">
        <v>47</v>
      </c>
      <c r="D157" t="s">
        <v>100</v>
      </c>
      <c r="E157" t="s">
        <v>101</v>
      </c>
      <c r="F157" t="s">
        <v>44</v>
      </c>
      <c r="G157" s="6">
        <v>3312.05</v>
      </c>
      <c r="H157" s="7">
        <v>0</v>
      </c>
      <c r="I157" s="6">
        <v>0</v>
      </c>
      <c r="J157" s="6">
        <v>3312.05</v>
      </c>
      <c r="K157" t="s">
        <v>379</v>
      </c>
      <c r="L157" t="s">
        <v>380</v>
      </c>
    </row>
    <row r="158" spans="1:13" ht="15" customHeight="1" x14ac:dyDescent="0.25">
      <c r="A158">
        <v>157</v>
      </c>
      <c r="B158" s="5">
        <v>45817</v>
      </c>
      <c r="C158" t="s">
        <v>33</v>
      </c>
      <c r="D158" t="s">
        <v>42</v>
      </c>
      <c r="E158" t="s">
        <v>43</v>
      </c>
      <c r="F158" t="s">
        <v>44</v>
      </c>
      <c r="G158" s="6">
        <v>3125.4</v>
      </c>
      <c r="H158" s="7">
        <v>0</v>
      </c>
      <c r="I158" s="6">
        <v>0</v>
      </c>
      <c r="J158" s="6">
        <v>3125.4</v>
      </c>
      <c r="K158" t="s">
        <v>381</v>
      </c>
      <c r="L158" t="s">
        <v>382</v>
      </c>
    </row>
    <row r="159" spans="1:13" ht="15" customHeight="1" x14ac:dyDescent="0.25">
      <c r="A159">
        <v>158</v>
      </c>
      <c r="B159" s="5">
        <v>45716</v>
      </c>
      <c r="C159" t="s">
        <v>33</v>
      </c>
      <c r="D159" t="s">
        <v>94</v>
      </c>
      <c r="E159" t="s">
        <v>95</v>
      </c>
      <c r="F159" t="s">
        <v>44</v>
      </c>
      <c r="G159" s="6">
        <v>793.67</v>
      </c>
      <c r="H159" s="7">
        <v>0</v>
      </c>
      <c r="I159" s="6">
        <v>0</v>
      </c>
      <c r="J159" s="6">
        <v>793.67</v>
      </c>
      <c r="K159" t="s">
        <v>383</v>
      </c>
      <c r="L159" t="s">
        <v>384</v>
      </c>
    </row>
    <row r="160" spans="1:13" ht="15" customHeight="1" x14ac:dyDescent="0.25">
      <c r="A160">
        <v>159</v>
      </c>
      <c r="B160" s="5">
        <v>45807</v>
      </c>
      <c r="C160" t="s">
        <v>33</v>
      </c>
      <c r="D160" t="s">
        <v>79</v>
      </c>
      <c r="E160" t="s">
        <v>80</v>
      </c>
      <c r="F160" t="s">
        <v>174</v>
      </c>
      <c r="G160" s="6">
        <v>2329.21</v>
      </c>
      <c r="H160" s="7">
        <v>0.2</v>
      </c>
      <c r="I160" s="6">
        <v>465.84</v>
      </c>
      <c r="J160" s="6">
        <v>2795.05</v>
      </c>
      <c r="K160" t="s">
        <v>385</v>
      </c>
      <c r="L160" t="s">
        <v>386</v>
      </c>
    </row>
    <row r="161" spans="1:12" ht="15" customHeight="1" x14ac:dyDescent="0.25">
      <c r="A161">
        <v>160</v>
      </c>
      <c r="B161" s="5">
        <v>45782</v>
      </c>
      <c r="C161" t="s">
        <v>47</v>
      </c>
      <c r="D161" t="s">
        <v>94</v>
      </c>
      <c r="E161" t="s">
        <v>95</v>
      </c>
      <c r="F161" t="s">
        <v>44</v>
      </c>
      <c r="G161" s="6">
        <v>861.6</v>
      </c>
      <c r="H161" s="7">
        <v>0</v>
      </c>
      <c r="I161" s="6">
        <v>0</v>
      </c>
      <c r="J161" s="6">
        <v>861.6</v>
      </c>
      <c r="K161" t="s">
        <v>387</v>
      </c>
      <c r="L161" t="s">
        <v>388</v>
      </c>
    </row>
    <row r="162" spans="1:12" ht="15" customHeight="1" x14ac:dyDescent="0.25">
      <c r="A162">
        <v>161</v>
      </c>
      <c r="B162" s="5">
        <v>45727</v>
      </c>
      <c r="C162" t="s">
        <v>27</v>
      </c>
      <c r="D162" t="s">
        <v>79</v>
      </c>
      <c r="E162" t="s">
        <v>80</v>
      </c>
      <c r="F162" t="s">
        <v>174</v>
      </c>
      <c r="G162" s="6">
        <v>3899</v>
      </c>
      <c r="H162" s="7">
        <v>0.2</v>
      </c>
      <c r="I162" s="6">
        <v>779.8</v>
      </c>
      <c r="J162" s="6">
        <v>4678.8</v>
      </c>
      <c r="K162" t="s">
        <v>389</v>
      </c>
      <c r="L162" t="s">
        <v>390</v>
      </c>
    </row>
    <row r="163" spans="1:12" ht="15" customHeight="1" x14ac:dyDescent="0.25">
      <c r="A163">
        <v>162</v>
      </c>
      <c r="B163" s="5">
        <v>45917</v>
      </c>
      <c r="C163" t="s">
        <v>47</v>
      </c>
      <c r="D163" t="s">
        <v>55</v>
      </c>
      <c r="E163" t="s">
        <v>56</v>
      </c>
      <c r="F163" t="s">
        <v>39</v>
      </c>
      <c r="G163" s="6">
        <v>1260.9000000000001</v>
      </c>
      <c r="H163" s="7">
        <v>5.5E-2</v>
      </c>
      <c r="I163" s="6">
        <v>69.349999999999994</v>
      </c>
      <c r="J163" s="6">
        <v>1330.25</v>
      </c>
      <c r="K163" t="s">
        <v>391</v>
      </c>
      <c r="L163" t="s">
        <v>392</v>
      </c>
    </row>
    <row r="164" spans="1:12" ht="15" customHeight="1" x14ac:dyDescent="0.25">
      <c r="A164">
        <v>163</v>
      </c>
      <c r="B164" s="5">
        <v>45958</v>
      </c>
      <c r="C164" t="s">
        <v>27</v>
      </c>
      <c r="D164" t="s">
        <v>55</v>
      </c>
      <c r="E164" t="s">
        <v>56</v>
      </c>
      <c r="F164" t="s">
        <v>120</v>
      </c>
      <c r="G164" s="6">
        <v>2643.26</v>
      </c>
      <c r="H164" s="7">
        <v>5.5E-2</v>
      </c>
      <c r="I164" s="6">
        <v>145.38</v>
      </c>
      <c r="J164" s="6">
        <v>2788.64</v>
      </c>
      <c r="K164" t="s">
        <v>393</v>
      </c>
      <c r="L164" t="s">
        <v>394</v>
      </c>
    </row>
    <row r="165" spans="1:12" ht="15" customHeight="1" x14ac:dyDescent="0.25">
      <c r="A165">
        <v>164</v>
      </c>
      <c r="B165" s="5">
        <v>45905</v>
      </c>
      <c r="C165" t="s">
        <v>33</v>
      </c>
      <c r="D165" t="s">
        <v>79</v>
      </c>
      <c r="E165" t="s">
        <v>80</v>
      </c>
      <c r="F165" t="s">
        <v>106</v>
      </c>
      <c r="G165" s="6">
        <v>1605.45</v>
      </c>
      <c r="H165" s="7">
        <v>0.2</v>
      </c>
      <c r="I165" s="6">
        <v>321.08999999999997</v>
      </c>
      <c r="J165" s="6">
        <v>1926.54</v>
      </c>
      <c r="K165" t="s">
        <v>395</v>
      </c>
      <c r="L165" t="s">
        <v>396</v>
      </c>
    </row>
    <row r="166" spans="1:12" ht="15" customHeight="1" x14ac:dyDescent="0.25">
      <c r="A166">
        <v>165</v>
      </c>
      <c r="B166" s="5">
        <v>45754</v>
      </c>
      <c r="C166" t="s">
        <v>27</v>
      </c>
      <c r="D166" t="s">
        <v>63</v>
      </c>
      <c r="E166" t="s">
        <v>64</v>
      </c>
      <c r="F166" t="s">
        <v>71</v>
      </c>
      <c r="G166" s="6">
        <v>4415.0200000000004</v>
      </c>
      <c r="H166" s="7">
        <v>0.2</v>
      </c>
      <c r="I166" s="6">
        <v>883</v>
      </c>
      <c r="J166" s="6">
        <v>5298.02</v>
      </c>
      <c r="K166" t="s">
        <v>397</v>
      </c>
      <c r="L166" t="s">
        <v>398</v>
      </c>
    </row>
    <row r="167" spans="1:12" ht="15" customHeight="1" x14ac:dyDescent="0.25">
      <c r="A167">
        <v>166</v>
      </c>
      <c r="B167" s="5">
        <v>45868</v>
      </c>
      <c r="C167" t="s">
        <v>47</v>
      </c>
      <c r="D167" t="s">
        <v>55</v>
      </c>
      <c r="E167" t="s">
        <v>56</v>
      </c>
      <c r="F167" t="s">
        <v>81</v>
      </c>
      <c r="G167" s="6">
        <v>272.92</v>
      </c>
      <c r="H167" s="7">
        <v>5.5E-2</v>
      </c>
      <c r="I167" s="6">
        <v>15.01</v>
      </c>
      <c r="J167" s="6">
        <v>287.93</v>
      </c>
      <c r="K167" t="s">
        <v>399</v>
      </c>
      <c r="L167" t="s">
        <v>400</v>
      </c>
    </row>
    <row r="168" spans="1:12" ht="15" customHeight="1" x14ac:dyDescent="0.25">
      <c r="A168">
        <v>167</v>
      </c>
      <c r="B168" s="5">
        <v>45853</v>
      </c>
      <c r="C168" t="s">
        <v>27</v>
      </c>
      <c r="D168" t="s">
        <v>100</v>
      </c>
      <c r="E168" t="s">
        <v>101</v>
      </c>
      <c r="F168" t="s">
        <v>44</v>
      </c>
      <c r="G168" s="6">
        <v>3392.85</v>
      </c>
      <c r="H168" s="7">
        <v>0</v>
      </c>
      <c r="I168" s="6">
        <v>0</v>
      </c>
      <c r="J168" s="6">
        <v>3392.85</v>
      </c>
      <c r="K168" t="s">
        <v>401</v>
      </c>
      <c r="L168" t="s">
        <v>402</v>
      </c>
    </row>
    <row r="169" spans="1:12" ht="15" customHeight="1" x14ac:dyDescent="0.25">
      <c r="A169">
        <v>168</v>
      </c>
      <c r="B169" s="5">
        <v>45911</v>
      </c>
      <c r="C169" t="s">
        <v>27</v>
      </c>
      <c r="D169" t="s">
        <v>94</v>
      </c>
      <c r="E169" t="s">
        <v>95</v>
      </c>
      <c r="F169" t="s">
        <v>44</v>
      </c>
      <c r="G169" s="6">
        <v>815.62</v>
      </c>
      <c r="H169" s="7">
        <v>0</v>
      </c>
      <c r="I169" s="6">
        <v>0</v>
      </c>
      <c r="J169" s="6">
        <v>815.62</v>
      </c>
      <c r="K169" t="s">
        <v>403</v>
      </c>
      <c r="L169" t="s">
        <v>404</v>
      </c>
    </row>
    <row r="170" spans="1:12" ht="15" customHeight="1" x14ac:dyDescent="0.25">
      <c r="A170">
        <v>169</v>
      </c>
      <c r="B170" s="5">
        <v>45883</v>
      </c>
      <c r="C170" t="s">
        <v>47</v>
      </c>
      <c r="D170" t="s">
        <v>42</v>
      </c>
      <c r="E170" t="s">
        <v>43</v>
      </c>
      <c r="F170" t="s">
        <v>44</v>
      </c>
      <c r="G170" s="6">
        <v>3985.06</v>
      </c>
      <c r="H170" s="7">
        <v>0</v>
      </c>
      <c r="I170" s="6">
        <v>0</v>
      </c>
      <c r="J170" s="6">
        <v>3985.06</v>
      </c>
      <c r="K170" t="s">
        <v>405</v>
      </c>
      <c r="L170" t="s">
        <v>406</v>
      </c>
    </row>
    <row r="171" spans="1:12" ht="15" customHeight="1" x14ac:dyDescent="0.25">
      <c r="A171">
        <v>170</v>
      </c>
      <c r="B171" s="5">
        <v>45993</v>
      </c>
      <c r="C171" t="s">
        <v>27</v>
      </c>
      <c r="D171" t="s">
        <v>28</v>
      </c>
      <c r="E171" t="s">
        <v>29</v>
      </c>
      <c r="F171" t="s">
        <v>87</v>
      </c>
      <c r="G171" s="6">
        <v>4367.21</v>
      </c>
      <c r="H171" s="7">
        <v>2.1000000000000001E-2</v>
      </c>
      <c r="I171" s="6">
        <v>91.71</v>
      </c>
      <c r="J171" s="6">
        <v>4458.92</v>
      </c>
      <c r="K171" t="s">
        <v>407</v>
      </c>
      <c r="L171" t="s">
        <v>408</v>
      </c>
    </row>
    <row r="172" spans="1:12" ht="15" customHeight="1" x14ac:dyDescent="0.25">
      <c r="A172">
        <v>171</v>
      </c>
      <c r="B172" s="5">
        <v>45861</v>
      </c>
      <c r="C172" t="s">
        <v>47</v>
      </c>
      <c r="D172" t="s">
        <v>55</v>
      </c>
      <c r="E172" t="s">
        <v>56</v>
      </c>
      <c r="F172" t="s">
        <v>50</v>
      </c>
      <c r="G172" s="6">
        <v>2952.28</v>
      </c>
      <c r="H172" s="7">
        <v>5.5E-2</v>
      </c>
      <c r="I172" s="6">
        <v>162.38</v>
      </c>
      <c r="J172" s="6">
        <v>3114.66</v>
      </c>
      <c r="K172" t="s">
        <v>409</v>
      </c>
      <c r="L172" t="s">
        <v>410</v>
      </c>
    </row>
    <row r="173" spans="1:12" ht="15" customHeight="1" x14ac:dyDescent="0.25">
      <c r="A173">
        <v>172</v>
      </c>
      <c r="B173" s="5">
        <v>45852</v>
      </c>
      <c r="C173" t="s">
        <v>27</v>
      </c>
      <c r="D173" t="s">
        <v>42</v>
      </c>
      <c r="E173" t="s">
        <v>43</v>
      </c>
      <c r="F173" t="s">
        <v>44</v>
      </c>
      <c r="G173" s="6">
        <v>3304.32</v>
      </c>
      <c r="H173" s="7">
        <v>0</v>
      </c>
      <c r="I173" s="6">
        <v>0</v>
      </c>
      <c r="J173" s="6">
        <v>3304.32</v>
      </c>
      <c r="K173" t="s">
        <v>411</v>
      </c>
      <c r="L173" t="s">
        <v>412</v>
      </c>
    </row>
    <row r="174" spans="1:12" ht="15" customHeight="1" x14ac:dyDescent="0.25">
      <c r="A174">
        <v>173</v>
      </c>
      <c r="B174" s="5">
        <v>45974</v>
      </c>
      <c r="C174" t="s">
        <v>47</v>
      </c>
      <c r="D174" t="s">
        <v>100</v>
      </c>
      <c r="E174" t="s">
        <v>101</v>
      </c>
      <c r="F174" t="s">
        <v>44</v>
      </c>
      <c r="G174" s="6">
        <v>3314.79</v>
      </c>
      <c r="H174" s="7">
        <v>0</v>
      </c>
      <c r="I174" s="6">
        <v>0</v>
      </c>
      <c r="J174" s="6">
        <v>3314.79</v>
      </c>
      <c r="K174" t="s">
        <v>413</v>
      </c>
      <c r="L174" t="s">
        <v>414</v>
      </c>
    </row>
    <row r="175" spans="1:12" ht="15" customHeight="1" x14ac:dyDescent="0.25">
      <c r="A175">
        <v>174</v>
      </c>
      <c r="B175" s="5">
        <v>45880</v>
      </c>
      <c r="C175" t="s">
        <v>33</v>
      </c>
      <c r="D175" t="s">
        <v>42</v>
      </c>
      <c r="E175" t="s">
        <v>43</v>
      </c>
      <c r="F175" t="s">
        <v>44</v>
      </c>
      <c r="G175" s="6">
        <v>3624.89</v>
      </c>
      <c r="H175" s="7">
        <v>0</v>
      </c>
      <c r="I175" s="6">
        <v>0</v>
      </c>
      <c r="J175" s="6">
        <v>3624.89</v>
      </c>
      <c r="K175" t="s">
        <v>415</v>
      </c>
      <c r="L175" t="s">
        <v>416</v>
      </c>
    </row>
    <row r="176" spans="1:12" ht="15" customHeight="1" x14ac:dyDescent="0.25">
      <c r="A176">
        <v>175</v>
      </c>
      <c r="B176" s="5">
        <v>46013</v>
      </c>
      <c r="C176" t="s">
        <v>33</v>
      </c>
      <c r="D176" t="s">
        <v>79</v>
      </c>
      <c r="E176" t="s">
        <v>80</v>
      </c>
      <c r="F176" t="s">
        <v>39</v>
      </c>
      <c r="G176" s="6">
        <v>1403.64</v>
      </c>
      <c r="H176" s="7">
        <v>0.2</v>
      </c>
      <c r="I176" s="6">
        <v>280.73</v>
      </c>
      <c r="J176" s="6">
        <v>1684.37</v>
      </c>
      <c r="K176" t="s">
        <v>417</v>
      </c>
      <c r="L176" t="s">
        <v>418</v>
      </c>
    </row>
    <row r="177" spans="1:13" ht="15" customHeight="1" x14ac:dyDescent="0.25">
      <c r="A177">
        <v>176</v>
      </c>
      <c r="B177" s="5">
        <v>45841</v>
      </c>
      <c r="C177" t="s">
        <v>47</v>
      </c>
      <c r="D177" t="s">
        <v>42</v>
      </c>
      <c r="E177" t="s">
        <v>43</v>
      </c>
      <c r="F177" t="s">
        <v>44</v>
      </c>
      <c r="G177" s="6">
        <v>2149.37</v>
      </c>
      <c r="H177" s="7">
        <v>0</v>
      </c>
      <c r="I177" s="6">
        <v>0</v>
      </c>
      <c r="J177" s="6">
        <v>2149.37</v>
      </c>
      <c r="K177" t="s">
        <v>419</v>
      </c>
      <c r="L177" t="s">
        <v>420</v>
      </c>
    </row>
    <row r="178" spans="1:13" ht="15" customHeight="1" x14ac:dyDescent="0.25">
      <c r="A178">
        <v>177</v>
      </c>
      <c r="B178" s="5">
        <v>45750</v>
      </c>
      <c r="C178" t="s">
        <v>47</v>
      </c>
      <c r="D178" t="s">
        <v>172</v>
      </c>
      <c r="E178" t="s">
        <v>173</v>
      </c>
      <c r="F178" t="s">
        <v>87</v>
      </c>
      <c r="G178" s="6">
        <v>831.33</v>
      </c>
      <c r="H178" s="7">
        <v>0.2</v>
      </c>
      <c r="I178" s="6">
        <v>166.27</v>
      </c>
      <c r="J178" s="6">
        <v>997.6</v>
      </c>
      <c r="K178" t="s">
        <v>421</v>
      </c>
      <c r="L178" t="s">
        <v>422</v>
      </c>
    </row>
    <row r="179" spans="1:13" ht="15" customHeight="1" x14ac:dyDescent="0.25">
      <c r="A179">
        <v>178</v>
      </c>
      <c r="B179" s="5">
        <v>45912</v>
      </c>
      <c r="C179" t="s">
        <v>47</v>
      </c>
      <c r="D179" t="s">
        <v>181</v>
      </c>
      <c r="E179" t="s">
        <v>182</v>
      </c>
      <c r="F179" t="s">
        <v>30</v>
      </c>
      <c r="G179" s="6">
        <v>4114.7</v>
      </c>
      <c r="H179" s="7">
        <v>0.2</v>
      </c>
      <c r="I179" s="6">
        <v>822.94</v>
      </c>
      <c r="J179" s="6">
        <v>4937.6400000000003</v>
      </c>
      <c r="K179" t="s">
        <v>423</v>
      </c>
      <c r="L179" t="s">
        <v>424</v>
      </c>
    </row>
    <row r="180" spans="1:13" ht="15" customHeight="1" x14ac:dyDescent="0.25">
      <c r="A180">
        <v>179</v>
      </c>
      <c r="B180" s="5">
        <v>45999</v>
      </c>
      <c r="C180" t="s">
        <v>47</v>
      </c>
      <c r="D180" t="s">
        <v>181</v>
      </c>
      <c r="E180" t="s">
        <v>182</v>
      </c>
      <c r="F180" t="s">
        <v>76</v>
      </c>
      <c r="G180" s="6">
        <v>121.54</v>
      </c>
      <c r="H180" s="7">
        <v>0.2</v>
      </c>
      <c r="I180" s="6">
        <v>24.31</v>
      </c>
      <c r="J180" s="6">
        <v>145.85</v>
      </c>
      <c r="K180" t="s">
        <v>425</v>
      </c>
      <c r="L180" t="s">
        <v>426</v>
      </c>
    </row>
    <row r="181" spans="1:13" ht="15" customHeight="1" x14ac:dyDescent="0.25">
      <c r="A181">
        <v>180</v>
      </c>
      <c r="B181" s="5">
        <v>45695</v>
      </c>
      <c r="C181" t="s">
        <v>27</v>
      </c>
      <c r="D181" t="s">
        <v>172</v>
      </c>
      <c r="E181" t="s">
        <v>173</v>
      </c>
      <c r="F181" t="s">
        <v>50</v>
      </c>
      <c r="G181" s="6">
        <v>2032.45</v>
      </c>
      <c r="H181" s="7">
        <v>0.2</v>
      </c>
      <c r="I181" s="6">
        <v>406.49</v>
      </c>
      <c r="J181" s="6">
        <v>2438.94</v>
      </c>
      <c r="K181" t="s">
        <v>427</v>
      </c>
      <c r="L181" t="s">
        <v>428</v>
      </c>
    </row>
    <row r="182" spans="1:13" ht="15" customHeight="1" x14ac:dyDescent="0.25">
      <c r="A182">
        <v>181</v>
      </c>
      <c r="B182" s="5">
        <v>45875</v>
      </c>
      <c r="C182" t="s">
        <v>47</v>
      </c>
      <c r="D182" t="s">
        <v>181</v>
      </c>
      <c r="E182" t="s">
        <v>182</v>
      </c>
      <c r="F182" t="s">
        <v>76</v>
      </c>
      <c r="G182" s="6">
        <v>3131.19</v>
      </c>
      <c r="H182" s="7">
        <v>0.2</v>
      </c>
      <c r="I182" s="6">
        <v>626.24</v>
      </c>
      <c r="J182" s="6">
        <v>3757.43</v>
      </c>
      <c r="K182" t="s">
        <v>429</v>
      </c>
      <c r="L182" t="s">
        <v>430</v>
      </c>
    </row>
    <row r="183" spans="1:13" ht="15" customHeight="1" x14ac:dyDescent="0.25">
      <c r="A183">
        <v>182</v>
      </c>
      <c r="B183" s="5">
        <v>45854</v>
      </c>
      <c r="C183" t="s">
        <v>47</v>
      </c>
      <c r="D183" t="s">
        <v>28</v>
      </c>
      <c r="E183" t="s">
        <v>29</v>
      </c>
      <c r="F183" t="s">
        <v>87</v>
      </c>
      <c r="G183" s="6">
        <v>3851.74</v>
      </c>
      <c r="H183" s="7">
        <v>2.1000000000000001E-2</v>
      </c>
      <c r="I183" s="6">
        <v>80.89</v>
      </c>
      <c r="J183" s="6">
        <v>3932.63</v>
      </c>
      <c r="K183" t="s">
        <v>431</v>
      </c>
      <c r="L183" t="s">
        <v>432</v>
      </c>
    </row>
    <row r="184" spans="1:13" ht="15" customHeight="1" x14ac:dyDescent="0.25">
      <c r="A184">
        <v>183</v>
      </c>
      <c r="B184" s="5">
        <v>45952</v>
      </c>
      <c r="C184" t="s">
        <v>47</v>
      </c>
      <c r="D184" t="s">
        <v>172</v>
      </c>
      <c r="E184" t="s">
        <v>173</v>
      </c>
      <c r="F184" t="s">
        <v>81</v>
      </c>
      <c r="G184" s="6">
        <v>1387.76</v>
      </c>
      <c r="H184" s="7">
        <v>0.2</v>
      </c>
      <c r="I184" s="6">
        <v>277.55</v>
      </c>
      <c r="J184" s="6">
        <v>1665.31</v>
      </c>
      <c r="K184" t="s">
        <v>433</v>
      </c>
      <c r="L184" t="s">
        <v>434</v>
      </c>
    </row>
    <row r="185" spans="1:13" ht="15" customHeight="1" x14ac:dyDescent="0.25">
      <c r="A185">
        <v>184</v>
      </c>
      <c r="B185" s="5">
        <v>45995</v>
      </c>
      <c r="C185" t="s">
        <v>33</v>
      </c>
      <c r="D185" t="s">
        <v>94</v>
      </c>
      <c r="E185" t="s">
        <v>95</v>
      </c>
      <c r="F185" t="s">
        <v>44</v>
      </c>
      <c r="G185" s="6">
        <v>520.24</v>
      </c>
      <c r="H185" s="7">
        <v>0</v>
      </c>
      <c r="I185" s="6">
        <v>0</v>
      </c>
      <c r="J185" s="6">
        <v>520.24</v>
      </c>
      <c r="K185" t="s">
        <v>435</v>
      </c>
      <c r="L185" t="s">
        <v>436</v>
      </c>
    </row>
    <row r="186" spans="1:13" ht="15" customHeight="1" x14ac:dyDescent="0.25">
      <c r="A186">
        <v>185</v>
      </c>
      <c r="B186" s="5">
        <v>45968</v>
      </c>
      <c r="C186" t="s">
        <v>27</v>
      </c>
      <c r="D186" t="s">
        <v>94</v>
      </c>
      <c r="E186" t="s">
        <v>95</v>
      </c>
      <c r="F186" t="s">
        <v>44</v>
      </c>
      <c r="G186" s="6">
        <v>2582.1</v>
      </c>
      <c r="H186" s="7">
        <v>0</v>
      </c>
      <c r="I186" s="6">
        <v>0</v>
      </c>
      <c r="J186" s="6">
        <v>2582.1</v>
      </c>
      <c r="K186" t="s">
        <v>437</v>
      </c>
      <c r="L186" t="s">
        <v>438</v>
      </c>
    </row>
    <row r="187" spans="1:13" ht="15" customHeight="1" x14ac:dyDescent="0.25">
      <c r="A187">
        <v>186</v>
      </c>
      <c r="B187" s="5">
        <v>45838</v>
      </c>
      <c r="C187" t="s">
        <v>33</v>
      </c>
      <c r="D187" t="s">
        <v>172</v>
      </c>
      <c r="E187" t="s">
        <v>173</v>
      </c>
      <c r="F187" t="s">
        <v>71</v>
      </c>
      <c r="G187" s="6">
        <v>1048</v>
      </c>
      <c r="H187" s="7">
        <v>0.2</v>
      </c>
      <c r="I187" s="6">
        <v>209.6</v>
      </c>
      <c r="J187" s="6">
        <v>1257.5999999999999</v>
      </c>
      <c r="K187" t="s">
        <v>439</v>
      </c>
      <c r="L187" t="s">
        <v>440</v>
      </c>
    </row>
    <row r="188" spans="1:13" ht="15" customHeight="1" x14ac:dyDescent="0.25">
      <c r="A188">
        <v>187</v>
      </c>
      <c r="B188" s="5">
        <v>45995</v>
      </c>
      <c r="C188" t="s">
        <v>47</v>
      </c>
      <c r="D188" t="s">
        <v>34</v>
      </c>
      <c r="E188" t="s">
        <v>35</v>
      </c>
      <c r="F188" t="s">
        <v>30</v>
      </c>
      <c r="G188" s="6">
        <v>3089.38</v>
      </c>
      <c r="H188" s="7">
        <v>0.2</v>
      </c>
      <c r="I188" s="6">
        <v>617.88</v>
      </c>
      <c r="J188" s="6">
        <v>3707.26</v>
      </c>
      <c r="K188" t="s">
        <v>441</v>
      </c>
      <c r="L188" t="s">
        <v>442</v>
      </c>
    </row>
    <row r="189" spans="1:13" ht="15" customHeight="1" x14ac:dyDescent="0.25">
      <c r="A189">
        <v>188</v>
      </c>
      <c r="B189" s="5">
        <v>45988</v>
      </c>
      <c r="C189" t="s">
        <v>33</v>
      </c>
      <c r="D189" t="s">
        <v>100</v>
      </c>
      <c r="E189" t="s">
        <v>101</v>
      </c>
      <c r="F189" t="s">
        <v>44</v>
      </c>
      <c r="G189" s="6">
        <v>3692.67</v>
      </c>
      <c r="H189" s="7">
        <v>0</v>
      </c>
      <c r="I189" s="6">
        <v>0</v>
      </c>
      <c r="J189" s="6">
        <v>3692.67</v>
      </c>
      <c r="K189" t="s">
        <v>443</v>
      </c>
      <c r="L189" t="s">
        <v>444</v>
      </c>
    </row>
    <row r="190" spans="1:13" ht="15" customHeight="1" x14ac:dyDescent="0.25">
      <c r="A190">
        <v>189</v>
      </c>
      <c r="B190" s="5">
        <v>45825</v>
      </c>
      <c r="C190" t="s">
        <v>27</v>
      </c>
      <c r="D190" t="s">
        <v>55</v>
      </c>
      <c r="E190" t="s">
        <v>56</v>
      </c>
      <c r="F190" t="s">
        <v>30</v>
      </c>
      <c r="G190" s="6">
        <v>3383.87</v>
      </c>
      <c r="H190" s="7">
        <v>0.2</v>
      </c>
      <c r="I190" s="6">
        <v>676.77</v>
      </c>
      <c r="J190" s="6">
        <v>4060.64</v>
      </c>
      <c r="K190" t="s">
        <v>445</v>
      </c>
      <c r="L190" t="s">
        <v>446</v>
      </c>
      <c r="M190" t="s">
        <v>447</v>
      </c>
    </row>
    <row r="191" spans="1:13" ht="15" customHeight="1" x14ac:dyDescent="0.25">
      <c r="A191">
        <v>190</v>
      </c>
      <c r="B191" s="5">
        <v>45845</v>
      </c>
      <c r="C191" t="s">
        <v>33</v>
      </c>
      <c r="D191" t="s">
        <v>42</v>
      </c>
      <c r="E191" t="s">
        <v>43</v>
      </c>
      <c r="F191" t="s">
        <v>44</v>
      </c>
      <c r="G191" s="6">
        <v>3992.37</v>
      </c>
      <c r="H191" s="7">
        <v>0</v>
      </c>
      <c r="I191" s="6">
        <v>0</v>
      </c>
      <c r="J191" s="6">
        <v>3992.37</v>
      </c>
      <c r="K191" t="s">
        <v>448</v>
      </c>
      <c r="L191" t="s">
        <v>449</v>
      </c>
    </row>
    <row r="192" spans="1:13" ht="15" customHeight="1" x14ac:dyDescent="0.25">
      <c r="A192">
        <v>191</v>
      </c>
      <c r="B192" s="5">
        <v>45904</v>
      </c>
      <c r="C192" t="s">
        <v>33</v>
      </c>
      <c r="D192" t="s">
        <v>55</v>
      </c>
      <c r="E192" t="s">
        <v>56</v>
      </c>
      <c r="F192" t="s">
        <v>174</v>
      </c>
      <c r="G192" s="6">
        <v>4355.84</v>
      </c>
      <c r="H192" s="7">
        <v>5.5E-2</v>
      </c>
      <c r="I192" s="6">
        <v>239.57</v>
      </c>
      <c r="J192" s="6">
        <v>4595.41</v>
      </c>
      <c r="K192" t="s">
        <v>450</v>
      </c>
      <c r="L192" t="s">
        <v>451</v>
      </c>
    </row>
    <row r="193" spans="1:13" ht="15" customHeight="1" x14ac:dyDescent="0.25">
      <c r="A193">
        <v>192</v>
      </c>
      <c r="B193" s="5">
        <v>45897</v>
      </c>
      <c r="C193" t="s">
        <v>47</v>
      </c>
      <c r="D193" t="s">
        <v>42</v>
      </c>
      <c r="E193" t="s">
        <v>43</v>
      </c>
      <c r="F193" t="s">
        <v>44</v>
      </c>
      <c r="G193" s="6">
        <v>2137.8200000000002</v>
      </c>
      <c r="H193" s="7">
        <v>0</v>
      </c>
      <c r="I193" s="6">
        <v>0</v>
      </c>
      <c r="J193" s="6">
        <v>2137.8200000000002</v>
      </c>
      <c r="K193" t="s">
        <v>452</v>
      </c>
      <c r="L193" t="s">
        <v>453</v>
      </c>
    </row>
    <row r="194" spans="1:13" ht="15" customHeight="1" x14ac:dyDescent="0.25">
      <c r="A194">
        <v>193</v>
      </c>
      <c r="B194" s="5">
        <v>45861</v>
      </c>
      <c r="C194" t="s">
        <v>27</v>
      </c>
      <c r="D194" t="s">
        <v>42</v>
      </c>
      <c r="E194" t="s">
        <v>43</v>
      </c>
      <c r="F194" t="s">
        <v>44</v>
      </c>
      <c r="G194" s="6">
        <v>3731.01</v>
      </c>
      <c r="H194" s="7">
        <v>0</v>
      </c>
      <c r="I194" s="6">
        <v>0</v>
      </c>
      <c r="J194" s="6">
        <v>3731.01</v>
      </c>
      <c r="K194" t="s">
        <v>454</v>
      </c>
      <c r="L194" t="s">
        <v>455</v>
      </c>
    </row>
    <row r="195" spans="1:13" ht="15" customHeight="1" x14ac:dyDescent="0.25">
      <c r="A195">
        <v>194</v>
      </c>
      <c r="B195" s="5">
        <v>45665</v>
      </c>
      <c r="C195" t="s">
        <v>33</v>
      </c>
      <c r="D195" t="s">
        <v>42</v>
      </c>
      <c r="E195" t="s">
        <v>43</v>
      </c>
      <c r="F195" t="s">
        <v>44</v>
      </c>
      <c r="G195" s="6">
        <v>2096.61</v>
      </c>
      <c r="H195" s="7">
        <v>0</v>
      </c>
      <c r="I195" s="6">
        <v>0</v>
      </c>
      <c r="J195" s="6">
        <v>2096.61</v>
      </c>
      <c r="K195" t="s">
        <v>456</v>
      </c>
      <c r="L195" t="s">
        <v>457</v>
      </c>
    </row>
    <row r="196" spans="1:13" ht="15" customHeight="1" x14ac:dyDescent="0.25">
      <c r="A196">
        <v>195</v>
      </c>
      <c r="B196" s="5">
        <v>45792</v>
      </c>
      <c r="C196" t="s">
        <v>27</v>
      </c>
      <c r="D196" t="s">
        <v>42</v>
      </c>
      <c r="E196" t="s">
        <v>43</v>
      </c>
      <c r="F196" t="s">
        <v>44</v>
      </c>
      <c r="G196" s="6">
        <v>3773.8</v>
      </c>
      <c r="H196" s="7">
        <v>0</v>
      </c>
      <c r="I196" s="6">
        <v>0</v>
      </c>
      <c r="J196" s="6">
        <v>3773.8</v>
      </c>
      <c r="K196" t="s">
        <v>458</v>
      </c>
      <c r="L196" t="s">
        <v>459</v>
      </c>
    </row>
    <row r="197" spans="1:13" ht="15" customHeight="1" x14ac:dyDescent="0.25">
      <c r="A197">
        <v>196</v>
      </c>
      <c r="B197" s="5">
        <v>45670</v>
      </c>
      <c r="C197" t="s">
        <v>33</v>
      </c>
      <c r="D197" t="s">
        <v>34</v>
      </c>
      <c r="E197" t="s">
        <v>35</v>
      </c>
      <c r="F197" t="s">
        <v>106</v>
      </c>
      <c r="G197" s="6">
        <v>2818.4</v>
      </c>
      <c r="H197" s="7">
        <v>0.2</v>
      </c>
      <c r="I197" s="6">
        <v>563.67999999999995</v>
      </c>
      <c r="J197" s="6">
        <v>3382.08</v>
      </c>
      <c r="K197" t="s">
        <v>460</v>
      </c>
      <c r="L197" t="s">
        <v>461</v>
      </c>
    </row>
    <row r="198" spans="1:13" ht="15" customHeight="1" x14ac:dyDescent="0.25">
      <c r="A198">
        <v>197</v>
      </c>
      <c r="B198" s="5">
        <v>45895</v>
      </c>
      <c r="C198" t="s">
        <v>27</v>
      </c>
      <c r="D198" t="s">
        <v>55</v>
      </c>
      <c r="E198" t="s">
        <v>56</v>
      </c>
      <c r="F198" t="s">
        <v>174</v>
      </c>
      <c r="G198" s="6">
        <v>4099.49</v>
      </c>
      <c r="H198" s="7">
        <v>5.5E-2</v>
      </c>
      <c r="I198" s="6">
        <v>225.47</v>
      </c>
      <c r="J198" s="6">
        <v>4324.96</v>
      </c>
      <c r="K198" t="s">
        <v>462</v>
      </c>
      <c r="L198" t="s">
        <v>463</v>
      </c>
    </row>
    <row r="199" spans="1:13" ht="15" customHeight="1" x14ac:dyDescent="0.25">
      <c r="A199">
        <v>198</v>
      </c>
      <c r="B199" s="5">
        <v>45681</v>
      </c>
      <c r="C199" t="s">
        <v>47</v>
      </c>
      <c r="D199" t="s">
        <v>28</v>
      </c>
      <c r="E199" t="s">
        <v>29</v>
      </c>
      <c r="F199" t="s">
        <v>174</v>
      </c>
      <c r="G199" s="6">
        <v>4262.4799999999996</v>
      </c>
      <c r="H199" s="7">
        <v>2.1000000000000001E-2</v>
      </c>
      <c r="I199" s="6">
        <v>89.51</v>
      </c>
      <c r="J199" s="6">
        <v>4351.99</v>
      </c>
      <c r="K199" t="s">
        <v>464</v>
      </c>
      <c r="L199" t="s">
        <v>465</v>
      </c>
    </row>
    <row r="200" spans="1:13" ht="15" customHeight="1" x14ac:dyDescent="0.25">
      <c r="A200">
        <v>199</v>
      </c>
      <c r="B200" s="5">
        <v>45933</v>
      </c>
      <c r="C200" t="s">
        <v>33</v>
      </c>
      <c r="D200" t="s">
        <v>28</v>
      </c>
      <c r="E200" t="s">
        <v>29</v>
      </c>
      <c r="F200" t="s">
        <v>76</v>
      </c>
      <c r="G200" s="6">
        <v>679.64</v>
      </c>
      <c r="H200" s="7">
        <v>2.1000000000000001E-2</v>
      </c>
      <c r="I200" s="6">
        <v>14.27</v>
      </c>
      <c r="J200" s="6">
        <v>693.91</v>
      </c>
      <c r="K200" t="s">
        <v>466</v>
      </c>
      <c r="L200" t="s">
        <v>467</v>
      </c>
    </row>
    <row r="201" spans="1:13" ht="15" customHeight="1" x14ac:dyDescent="0.25">
      <c r="A201">
        <v>200</v>
      </c>
      <c r="B201" s="5">
        <v>46014</v>
      </c>
      <c r="C201" t="s">
        <v>27</v>
      </c>
      <c r="D201" t="s">
        <v>100</v>
      </c>
      <c r="E201" t="s">
        <v>101</v>
      </c>
      <c r="F201" t="s">
        <v>44</v>
      </c>
      <c r="G201" s="6">
        <v>2805.9</v>
      </c>
      <c r="H201" s="7">
        <v>0</v>
      </c>
      <c r="I201" s="6">
        <v>0</v>
      </c>
      <c r="J201" s="6">
        <v>2805.9</v>
      </c>
      <c r="K201" t="s">
        <v>468</v>
      </c>
      <c r="L201" t="s">
        <v>469</v>
      </c>
    </row>
    <row r="202" spans="1:13" ht="15" customHeight="1" x14ac:dyDescent="0.25">
      <c r="A202">
        <v>201</v>
      </c>
      <c r="B202" s="5">
        <v>45871</v>
      </c>
      <c r="C202" t="s">
        <v>27</v>
      </c>
      <c r="D202" t="s">
        <v>28</v>
      </c>
      <c r="E202" t="s">
        <v>29</v>
      </c>
      <c r="F202" t="s">
        <v>76</v>
      </c>
      <c r="G202" s="6">
        <v>2974.75</v>
      </c>
      <c r="H202" s="7">
        <v>2.1000000000000001E-2</v>
      </c>
      <c r="I202" s="6">
        <v>62.47</v>
      </c>
      <c r="J202" s="6">
        <v>3037.22</v>
      </c>
      <c r="K202" t="s">
        <v>470</v>
      </c>
      <c r="L202" t="s">
        <v>471</v>
      </c>
      <c r="M202" t="s">
        <v>472</v>
      </c>
    </row>
    <row r="203" spans="1:13" ht="15" customHeight="1" x14ac:dyDescent="0.25">
      <c r="A203">
        <v>202</v>
      </c>
      <c r="B203" s="5">
        <v>45674</v>
      </c>
      <c r="C203" t="s">
        <v>47</v>
      </c>
      <c r="D203" t="s">
        <v>100</v>
      </c>
      <c r="E203" t="s">
        <v>101</v>
      </c>
      <c r="F203" t="s">
        <v>44</v>
      </c>
      <c r="G203" s="6">
        <v>2321.4499999999998</v>
      </c>
      <c r="H203" s="7">
        <v>0</v>
      </c>
      <c r="I203" s="6">
        <v>0</v>
      </c>
      <c r="J203" s="6">
        <v>2321.4499999999998</v>
      </c>
      <c r="K203" t="s">
        <v>473</v>
      </c>
      <c r="L203" t="s">
        <v>474</v>
      </c>
    </row>
    <row r="204" spans="1:13" ht="15" customHeight="1" x14ac:dyDescent="0.25">
      <c r="A204">
        <v>203</v>
      </c>
      <c r="B204" s="5">
        <v>45708</v>
      </c>
      <c r="C204" t="s">
        <v>33</v>
      </c>
      <c r="D204" t="s">
        <v>42</v>
      </c>
      <c r="E204" t="s">
        <v>43</v>
      </c>
      <c r="F204" t="s">
        <v>44</v>
      </c>
      <c r="G204" s="6">
        <v>2681.6</v>
      </c>
      <c r="H204" s="7">
        <v>0</v>
      </c>
      <c r="I204" s="6">
        <v>0</v>
      </c>
      <c r="J204" s="6">
        <v>2681.6</v>
      </c>
      <c r="K204" t="s">
        <v>475</v>
      </c>
      <c r="L204" t="s">
        <v>476</v>
      </c>
    </row>
    <row r="205" spans="1:13" ht="15" customHeight="1" x14ac:dyDescent="0.25">
      <c r="A205">
        <v>204</v>
      </c>
      <c r="B205" s="5">
        <v>45799</v>
      </c>
      <c r="C205" t="s">
        <v>47</v>
      </c>
      <c r="D205" t="s">
        <v>28</v>
      </c>
      <c r="E205" t="s">
        <v>29</v>
      </c>
      <c r="F205" t="s">
        <v>87</v>
      </c>
      <c r="G205" s="6">
        <v>918.95</v>
      </c>
      <c r="H205" s="7">
        <v>2.1000000000000001E-2</v>
      </c>
      <c r="I205" s="6">
        <v>19.3</v>
      </c>
      <c r="J205" s="6">
        <v>938.25</v>
      </c>
      <c r="K205" t="s">
        <v>477</v>
      </c>
      <c r="L205" t="s">
        <v>478</v>
      </c>
    </row>
    <row r="206" spans="1:13" ht="15" customHeight="1" x14ac:dyDescent="0.25">
      <c r="A206">
        <v>205</v>
      </c>
      <c r="B206" s="5">
        <v>45986</v>
      </c>
      <c r="C206" t="s">
        <v>47</v>
      </c>
      <c r="D206" t="s">
        <v>28</v>
      </c>
      <c r="E206" t="s">
        <v>29</v>
      </c>
      <c r="F206" t="s">
        <v>39</v>
      </c>
      <c r="G206" s="6">
        <v>2906.56</v>
      </c>
      <c r="H206" s="7">
        <v>2.1000000000000001E-2</v>
      </c>
      <c r="I206" s="6">
        <v>61.04</v>
      </c>
      <c r="J206" s="6">
        <v>2967.6</v>
      </c>
      <c r="K206" t="s">
        <v>479</v>
      </c>
      <c r="L206" t="s">
        <v>480</v>
      </c>
    </row>
    <row r="207" spans="1:13" ht="15" customHeight="1" x14ac:dyDescent="0.25">
      <c r="A207">
        <v>206</v>
      </c>
      <c r="B207" s="5">
        <v>45722</v>
      </c>
      <c r="C207" t="s">
        <v>47</v>
      </c>
      <c r="D207" t="s">
        <v>55</v>
      </c>
      <c r="E207" t="s">
        <v>56</v>
      </c>
      <c r="F207" t="s">
        <v>71</v>
      </c>
      <c r="G207" s="6">
        <v>3558.44</v>
      </c>
      <c r="H207" s="7">
        <v>5.5E-2</v>
      </c>
      <c r="I207" s="6">
        <v>195.71</v>
      </c>
      <c r="J207" s="6">
        <v>3754.15</v>
      </c>
      <c r="K207" t="s">
        <v>481</v>
      </c>
      <c r="L207" t="s">
        <v>482</v>
      </c>
    </row>
    <row r="208" spans="1:13" ht="15" customHeight="1" x14ac:dyDescent="0.25">
      <c r="A208">
        <v>207</v>
      </c>
      <c r="B208" s="5">
        <v>45768</v>
      </c>
      <c r="C208" t="s">
        <v>27</v>
      </c>
      <c r="D208" t="s">
        <v>28</v>
      </c>
      <c r="E208" t="s">
        <v>29</v>
      </c>
      <c r="F208" t="s">
        <v>71</v>
      </c>
      <c r="G208" s="6">
        <v>3673.69</v>
      </c>
      <c r="H208" s="7">
        <v>2.1000000000000001E-2</v>
      </c>
      <c r="I208" s="6">
        <v>77.150000000000006</v>
      </c>
      <c r="J208" s="6">
        <v>3750.84</v>
      </c>
      <c r="K208" t="s">
        <v>483</v>
      </c>
      <c r="L208" t="s">
        <v>484</v>
      </c>
    </row>
    <row r="209" spans="1:12" ht="15" customHeight="1" x14ac:dyDescent="0.25">
      <c r="A209">
        <v>208</v>
      </c>
      <c r="B209" s="5">
        <v>45659</v>
      </c>
      <c r="C209" t="s">
        <v>33</v>
      </c>
      <c r="D209" t="s">
        <v>42</v>
      </c>
      <c r="E209" t="s">
        <v>43</v>
      </c>
      <c r="F209" t="s">
        <v>44</v>
      </c>
      <c r="G209" s="6">
        <v>4161.67</v>
      </c>
      <c r="H209" s="7">
        <v>0</v>
      </c>
      <c r="I209" s="6">
        <v>0</v>
      </c>
      <c r="J209" s="6">
        <v>4161.67</v>
      </c>
      <c r="K209" t="s">
        <v>485</v>
      </c>
      <c r="L209" t="s">
        <v>486</v>
      </c>
    </row>
    <row r="210" spans="1:12" ht="15" customHeight="1" x14ac:dyDescent="0.25">
      <c r="A210">
        <v>209</v>
      </c>
      <c r="B210" s="5">
        <v>45747</v>
      </c>
      <c r="C210" t="s">
        <v>27</v>
      </c>
      <c r="D210" t="s">
        <v>55</v>
      </c>
      <c r="E210" t="s">
        <v>56</v>
      </c>
      <c r="F210" t="s">
        <v>39</v>
      </c>
      <c r="G210" s="6">
        <v>565.87</v>
      </c>
      <c r="H210" s="7">
        <v>5.5E-2</v>
      </c>
      <c r="I210" s="6">
        <v>31.12</v>
      </c>
      <c r="J210" s="6">
        <v>596.99</v>
      </c>
      <c r="K210" t="s">
        <v>487</v>
      </c>
      <c r="L210" t="s">
        <v>488</v>
      </c>
    </row>
    <row r="211" spans="1:12" ht="15" customHeight="1" x14ac:dyDescent="0.25">
      <c r="A211">
        <v>210</v>
      </c>
      <c r="B211" s="5">
        <v>45779</v>
      </c>
      <c r="C211" t="s">
        <v>33</v>
      </c>
      <c r="D211" t="s">
        <v>55</v>
      </c>
      <c r="E211" t="s">
        <v>56</v>
      </c>
      <c r="F211" t="s">
        <v>39</v>
      </c>
      <c r="G211" s="6">
        <v>2682.73</v>
      </c>
      <c r="H211" s="7">
        <v>5.5E-2</v>
      </c>
      <c r="I211" s="6">
        <v>147.55000000000001</v>
      </c>
      <c r="J211" s="6">
        <v>2830.28</v>
      </c>
      <c r="K211" t="s">
        <v>489</v>
      </c>
      <c r="L211" t="s">
        <v>490</v>
      </c>
    </row>
    <row r="212" spans="1:12" ht="15" customHeight="1" x14ac:dyDescent="0.25">
      <c r="A212">
        <v>211</v>
      </c>
      <c r="B212" s="5">
        <v>45873</v>
      </c>
      <c r="C212" t="s">
        <v>47</v>
      </c>
      <c r="D212" t="s">
        <v>28</v>
      </c>
      <c r="E212" t="s">
        <v>29</v>
      </c>
      <c r="F212" t="s">
        <v>81</v>
      </c>
      <c r="G212" s="6">
        <v>2405.3000000000002</v>
      </c>
      <c r="H212" s="7">
        <v>2.1000000000000001E-2</v>
      </c>
      <c r="I212" s="6">
        <v>50.51</v>
      </c>
      <c r="J212" s="6">
        <v>2455.81</v>
      </c>
      <c r="K212" t="s">
        <v>491</v>
      </c>
      <c r="L212" t="s">
        <v>492</v>
      </c>
    </row>
    <row r="213" spans="1:12" ht="15" customHeight="1" x14ac:dyDescent="0.25">
      <c r="A213">
        <v>212</v>
      </c>
      <c r="B213" s="5">
        <v>45961</v>
      </c>
      <c r="C213" t="s">
        <v>47</v>
      </c>
      <c r="D213" t="s">
        <v>79</v>
      </c>
      <c r="E213" t="s">
        <v>80</v>
      </c>
      <c r="F213" t="s">
        <v>106</v>
      </c>
      <c r="G213" s="6">
        <v>562.02</v>
      </c>
      <c r="H213" s="7">
        <v>0.2</v>
      </c>
      <c r="I213" s="6">
        <v>112.4</v>
      </c>
      <c r="J213" s="6">
        <v>674.42</v>
      </c>
      <c r="K213" t="s">
        <v>493</v>
      </c>
      <c r="L213" t="s">
        <v>494</v>
      </c>
    </row>
    <row r="214" spans="1:12" ht="15" customHeight="1" x14ac:dyDescent="0.25">
      <c r="A214">
        <v>213</v>
      </c>
      <c r="B214" s="5">
        <v>45995</v>
      </c>
      <c r="C214" t="s">
        <v>27</v>
      </c>
      <c r="D214" t="s">
        <v>28</v>
      </c>
      <c r="E214" t="s">
        <v>29</v>
      </c>
      <c r="F214" t="s">
        <v>76</v>
      </c>
      <c r="G214" s="6">
        <v>2384.81</v>
      </c>
      <c r="H214" s="7">
        <v>2.1000000000000001E-2</v>
      </c>
      <c r="I214" s="6">
        <v>50.08</v>
      </c>
      <c r="J214" s="6">
        <v>2434.89</v>
      </c>
      <c r="K214" t="s">
        <v>495</v>
      </c>
      <c r="L214" t="s">
        <v>496</v>
      </c>
    </row>
    <row r="215" spans="1:12" ht="15" customHeight="1" x14ac:dyDescent="0.25">
      <c r="A215">
        <v>214</v>
      </c>
      <c r="B215" s="5">
        <v>45903</v>
      </c>
      <c r="C215" t="s">
        <v>33</v>
      </c>
      <c r="D215" t="s">
        <v>28</v>
      </c>
      <c r="E215" t="s">
        <v>29</v>
      </c>
      <c r="F215" t="s">
        <v>36</v>
      </c>
      <c r="G215" s="6">
        <v>3825.06</v>
      </c>
      <c r="H215" s="7">
        <v>2.1000000000000001E-2</v>
      </c>
      <c r="I215" s="6">
        <v>80.33</v>
      </c>
      <c r="J215" s="6">
        <v>3905.39</v>
      </c>
      <c r="K215" t="s">
        <v>497</v>
      </c>
      <c r="L215" t="s">
        <v>498</v>
      </c>
    </row>
    <row r="216" spans="1:12" ht="15" customHeight="1" x14ac:dyDescent="0.25">
      <c r="A216">
        <v>215</v>
      </c>
      <c r="B216" s="5">
        <v>45695</v>
      </c>
      <c r="C216" t="s">
        <v>33</v>
      </c>
      <c r="D216" t="s">
        <v>79</v>
      </c>
      <c r="E216" t="s">
        <v>80</v>
      </c>
      <c r="F216" t="s">
        <v>50</v>
      </c>
      <c r="G216" s="6">
        <v>4054.76</v>
      </c>
      <c r="H216" s="7">
        <v>0.2</v>
      </c>
      <c r="I216" s="6">
        <v>810.95</v>
      </c>
      <c r="J216" s="6">
        <v>4865.71</v>
      </c>
      <c r="K216" t="s">
        <v>499</v>
      </c>
      <c r="L216" t="s">
        <v>500</v>
      </c>
    </row>
    <row r="217" spans="1:12" ht="15" customHeight="1" x14ac:dyDescent="0.25">
      <c r="A217">
        <v>216</v>
      </c>
      <c r="B217" s="5">
        <v>45798</v>
      </c>
      <c r="C217" t="s">
        <v>33</v>
      </c>
      <c r="D217" t="s">
        <v>28</v>
      </c>
      <c r="E217" t="s">
        <v>29</v>
      </c>
      <c r="F217" t="s">
        <v>84</v>
      </c>
      <c r="G217" s="6">
        <v>2839.48</v>
      </c>
      <c r="H217" s="7">
        <v>2.1000000000000001E-2</v>
      </c>
      <c r="I217" s="6">
        <v>59.63</v>
      </c>
      <c r="J217" s="6">
        <v>2899.11</v>
      </c>
      <c r="K217" t="s">
        <v>501</v>
      </c>
      <c r="L217" t="s">
        <v>502</v>
      </c>
    </row>
    <row r="218" spans="1:12" ht="15" customHeight="1" x14ac:dyDescent="0.25">
      <c r="A218">
        <v>217</v>
      </c>
      <c r="B218" s="5">
        <v>45929</v>
      </c>
      <c r="C218" t="s">
        <v>27</v>
      </c>
      <c r="D218" t="s">
        <v>55</v>
      </c>
      <c r="E218" t="s">
        <v>56</v>
      </c>
      <c r="F218" t="s">
        <v>106</v>
      </c>
      <c r="G218" s="6">
        <v>1383.45</v>
      </c>
      <c r="H218" s="7">
        <v>5.5E-2</v>
      </c>
      <c r="I218" s="6">
        <v>76.09</v>
      </c>
      <c r="J218" s="6">
        <v>1459.54</v>
      </c>
      <c r="K218" t="s">
        <v>503</v>
      </c>
      <c r="L218" t="s">
        <v>504</v>
      </c>
    </row>
    <row r="219" spans="1:12" ht="15" customHeight="1" x14ac:dyDescent="0.25">
      <c r="A219">
        <v>218</v>
      </c>
      <c r="B219" s="5">
        <v>46017</v>
      </c>
      <c r="C219" t="s">
        <v>47</v>
      </c>
      <c r="D219" t="s">
        <v>28</v>
      </c>
      <c r="E219" t="s">
        <v>29</v>
      </c>
      <c r="F219" t="s">
        <v>120</v>
      </c>
      <c r="G219" s="6">
        <v>585.71</v>
      </c>
      <c r="H219" s="7">
        <v>2.1000000000000001E-2</v>
      </c>
      <c r="I219" s="6">
        <v>12.3</v>
      </c>
      <c r="J219" s="6">
        <v>598.01</v>
      </c>
      <c r="K219" t="s">
        <v>505</v>
      </c>
      <c r="L219" t="s">
        <v>506</v>
      </c>
    </row>
    <row r="220" spans="1:12" ht="15" customHeight="1" x14ac:dyDescent="0.25">
      <c r="A220">
        <v>219</v>
      </c>
      <c r="B220" s="5">
        <v>45768</v>
      </c>
      <c r="C220" t="s">
        <v>27</v>
      </c>
      <c r="D220" t="s">
        <v>42</v>
      </c>
      <c r="E220" t="s">
        <v>43</v>
      </c>
      <c r="F220" t="s">
        <v>44</v>
      </c>
      <c r="G220" s="6">
        <v>3931.42</v>
      </c>
      <c r="H220" s="7">
        <v>0</v>
      </c>
      <c r="I220" s="6">
        <v>0</v>
      </c>
      <c r="J220" s="6">
        <v>3931.42</v>
      </c>
      <c r="K220" t="s">
        <v>507</v>
      </c>
      <c r="L220" t="s">
        <v>508</v>
      </c>
    </row>
    <row r="221" spans="1:12" ht="15" customHeight="1" x14ac:dyDescent="0.25">
      <c r="A221">
        <v>220</v>
      </c>
      <c r="B221" s="5">
        <v>45862</v>
      </c>
      <c r="C221" t="s">
        <v>47</v>
      </c>
      <c r="D221" t="s">
        <v>42</v>
      </c>
      <c r="E221" t="s">
        <v>43</v>
      </c>
      <c r="F221" t="s">
        <v>44</v>
      </c>
      <c r="G221" s="6">
        <v>2028.21</v>
      </c>
      <c r="H221" s="7">
        <v>0</v>
      </c>
      <c r="I221" s="6">
        <v>0</v>
      </c>
      <c r="J221" s="6">
        <v>2028.21</v>
      </c>
      <c r="K221" t="s">
        <v>509</v>
      </c>
      <c r="L221" t="s">
        <v>510</v>
      </c>
    </row>
    <row r="222" spans="1:12" ht="15" customHeight="1" x14ac:dyDescent="0.25">
      <c r="A222">
        <v>221</v>
      </c>
      <c r="B222" s="5">
        <v>45849</v>
      </c>
      <c r="C222" t="s">
        <v>47</v>
      </c>
      <c r="D222" t="s">
        <v>34</v>
      </c>
      <c r="E222" t="s">
        <v>35</v>
      </c>
      <c r="F222" t="s">
        <v>120</v>
      </c>
      <c r="G222" s="6">
        <v>4294.88</v>
      </c>
      <c r="H222" s="7">
        <v>0.2</v>
      </c>
      <c r="I222" s="6">
        <v>858.98</v>
      </c>
      <c r="J222" s="6">
        <v>5153.8599999999997</v>
      </c>
      <c r="K222" t="s">
        <v>511</v>
      </c>
      <c r="L222" t="s">
        <v>512</v>
      </c>
    </row>
    <row r="223" spans="1:12" ht="15" customHeight="1" x14ac:dyDescent="0.25">
      <c r="A223">
        <v>222</v>
      </c>
      <c r="B223" s="5">
        <v>45701</v>
      </c>
      <c r="C223" t="s">
        <v>33</v>
      </c>
      <c r="D223" t="s">
        <v>28</v>
      </c>
      <c r="E223" t="s">
        <v>29</v>
      </c>
      <c r="F223" t="s">
        <v>87</v>
      </c>
      <c r="G223" s="6">
        <v>492.08</v>
      </c>
      <c r="H223" s="7">
        <v>2.1000000000000001E-2</v>
      </c>
      <c r="I223" s="6">
        <v>10.33</v>
      </c>
      <c r="J223" s="6">
        <v>502.41</v>
      </c>
      <c r="K223" t="s">
        <v>513</v>
      </c>
      <c r="L223" t="s">
        <v>514</v>
      </c>
    </row>
    <row r="224" spans="1:12" ht="15" customHeight="1" x14ac:dyDescent="0.25">
      <c r="A224">
        <v>223</v>
      </c>
      <c r="B224" s="5">
        <v>45688</v>
      </c>
      <c r="C224" t="s">
        <v>27</v>
      </c>
      <c r="D224" t="s">
        <v>63</v>
      </c>
      <c r="E224" t="s">
        <v>64</v>
      </c>
      <c r="F224" t="s">
        <v>106</v>
      </c>
      <c r="G224" s="6">
        <v>2672.18</v>
      </c>
      <c r="H224" s="7">
        <v>0.2</v>
      </c>
      <c r="I224" s="6">
        <v>534.44000000000005</v>
      </c>
      <c r="J224" s="6">
        <v>3206.62</v>
      </c>
      <c r="K224" t="s">
        <v>515</v>
      </c>
      <c r="L224" t="s">
        <v>516</v>
      </c>
    </row>
    <row r="225" spans="1:13" ht="15" customHeight="1" x14ac:dyDescent="0.25">
      <c r="A225">
        <v>224</v>
      </c>
      <c r="B225" s="5">
        <v>45868</v>
      </c>
      <c r="C225" t="s">
        <v>47</v>
      </c>
      <c r="D225" t="s">
        <v>34</v>
      </c>
      <c r="E225" t="s">
        <v>35</v>
      </c>
      <c r="F225" t="s">
        <v>120</v>
      </c>
      <c r="G225" s="6">
        <v>1642.9</v>
      </c>
      <c r="H225" s="7">
        <v>0.2</v>
      </c>
      <c r="I225" s="6">
        <v>328.58</v>
      </c>
      <c r="J225" s="6">
        <v>1971.48</v>
      </c>
      <c r="K225" t="s">
        <v>517</v>
      </c>
      <c r="L225" t="s">
        <v>518</v>
      </c>
      <c r="M225" t="s">
        <v>286</v>
      </c>
    </row>
    <row r="226" spans="1:13" ht="15" customHeight="1" x14ac:dyDescent="0.25">
      <c r="A226">
        <v>225</v>
      </c>
      <c r="B226" s="5">
        <v>45684</v>
      </c>
      <c r="C226" t="s">
        <v>47</v>
      </c>
      <c r="D226" t="s">
        <v>42</v>
      </c>
      <c r="E226" t="s">
        <v>43</v>
      </c>
      <c r="F226" t="s">
        <v>44</v>
      </c>
      <c r="G226" s="6">
        <v>3240.98</v>
      </c>
      <c r="H226" s="7">
        <v>0</v>
      </c>
      <c r="I226" s="6">
        <v>0</v>
      </c>
      <c r="J226" s="6">
        <v>3240.98</v>
      </c>
      <c r="K226" t="s">
        <v>519</v>
      </c>
      <c r="L226" t="s">
        <v>520</v>
      </c>
    </row>
    <row r="227" spans="1:13" ht="15" customHeight="1" x14ac:dyDescent="0.25">
      <c r="A227">
        <v>226</v>
      </c>
      <c r="B227" s="5">
        <v>45737</v>
      </c>
      <c r="C227" t="s">
        <v>33</v>
      </c>
      <c r="D227" t="s">
        <v>172</v>
      </c>
      <c r="E227" t="s">
        <v>173</v>
      </c>
      <c r="F227" t="s">
        <v>71</v>
      </c>
      <c r="G227" s="6">
        <v>2982.77</v>
      </c>
      <c r="H227" s="7">
        <v>0.2</v>
      </c>
      <c r="I227" s="6">
        <v>596.54999999999995</v>
      </c>
      <c r="J227" s="6">
        <v>3579.32</v>
      </c>
      <c r="K227" t="s">
        <v>521</v>
      </c>
      <c r="L227" t="s">
        <v>522</v>
      </c>
    </row>
    <row r="228" spans="1:13" ht="15" customHeight="1" x14ac:dyDescent="0.25">
      <c r="A228">
        <v>227</v>
      </c>
      <c r="B228" s="5">
        <v>45846</v>
      </c>
      <c r="C228" t="s">
        <v>33</v>
      </c>
      <c r="D228" t="s">
        <v>55</v>
      </c>
      <c r="E228" t="s">
        <v>56</v>
      </c>
      <c r="F228" t="s">
        <v>174</v>
      </c>
      <c r="G228" s="6">
        <v>587.79</v>
      </c>
      <c r="H228" s="7">
        <v>5.5E-2</v>
      </c>
      <c r="I228" s="6">
        <v>32.33</v>
      </c>
      <c r="J228" s="6">
        <v>620.12</v>
      </c>
      <c r="K228" t="s">
        <v>523</v>
      </c>
      <c r="L228" t="s">
        <v>524</v>
      </c>
    </row>
    <row r="229" spans="1:13" ht="15" customHeight="1" x14ac:dyDescent="0.25">
      <c r="A229">
        <v>228</v>
      </c>
      <c r="B229" s="5">
        <v>45945</v>
      </c>
      <c r="C229" t="s">
        <v>33</v>
      </c>
      <c r="D229" t="s">
        <v>42</v>
      </c>
      <c r="E229" t="s">
        <v>43</v>
      </c>
      <c r="F229" t="s">
        <v>44</v>
      </c>
      <c r="G229" s="6">
        <v>3764.22</v>
      </c>
      <c r="H229" s="7">
        <v>0</v>
      </c>
      <c r="I229" s="6">
        <v>0</v>
      </c>
      <c r="J229" s="6">
        <v>3764.22</v>
      </c>
      <c r="K229" t="s">
        <v>525</v>
      </c>
      <c r="L229" t="s">
        <v>526</v>
      </c>
    </row>
    <row r="230" spans="1:13" ht="15" customHeight="1" x14ac:dyDescent="0.25">
      <c r="A230">
        <v>229</v>
      </c>
      <c r="B230" s="5">
        <v>45671</v>
      </c>
      <c r="C230" t="s">
        <v>27</v>
      </c>
      <c r="D230" t="s">
        <v>181</v>
      </c>
      <c r="E230" t="s">
        <v>182</v>
      </c>
      <c r="F230" t="s">
        <v>120</v>
      </c>
      <c r="G230" s="6">
        <v>2771.76</v>
      </c>
      <c r="H230" s="7">
        <v>0.2</v>
      </c>
      <c r="I230" s="6">
        <v>554.35</v>
      </c>
      <c r="J230" s="6">
        <v>3326.11</v>
      </c>
      <c r="K230" t="s">
        <v>527</v>
      </c>
      <c r="L230" t="s">
        <v>528</v>
      </c>
    </row>
    <row r="231" spans="1:13" ht="15" customHeight="1" x14ac:dyDescent="0.25">
      <c r="A231">
        <v>230</v>
      </c>
      <c r="B231" s="5">
        <v>45750</v>
      </c>
      <c r="C231" t="s">
        <v>27</v>
      </c>
      <c r="D231" t="s">
        <v>55</v>
      </c>
      <c r="E231" t="s">
        <v>56</v>
      </c>
      <c r="F231" t="s">
        <v>174</v>
      </c>
      <c r="G231" s="6">
        <v>1287.8599999999999</v>
      </c>
      <c r="H231" s="7">
        <v>5.5E-2</v>
      </c>
      <c r="I231" s="6">
        <v>70.83</v>
      </c>
      <c r="J231" s="6">
        <v>1358.69</v>
      </c>
      <c r="K231" t="s">
        <v>529</v>
      </c>
      <c r="L231" t="s">
        <v>530</v>
      </c>
    </row>
    <row r="232" spans="1:13" ht="15" customHeight="1" x14ac:dyDescent="0.25">
      <c r="A232">
        <v>231</v>
      </c>
      <c r="B232" s="5">
        <v>45947</v>
      </c>
      <c r="C232" t="s">
        <v>47</v>
      </c>
      <c r="D232" t="s">
        <v>28</v>
      </c>
      <c r="E232" t="s">
        <v>29</v>
      </c>
      <c r="F232" t="s">
        <v>87</v>
      </c>
      <c r="G232" s="6">
        <v>2985.46</v>
      </c>
      <c r="H232" s="7">
        <v>2.1000000000000001E-2</v>
      </c>
      <c r="I232" s="6">
        <v>62.69</v>
      </c>
      <c r="J232" s="6">
        <v>3048.15</v>
      </c>
      <c r="K232" t="s">
        <v>531</v>
      </c>
      <c r="L232" t="s">
        <v>532</v>
      </c>
    </row>
    <row r="233" spans="1:13" ht="15" customHeight="1" x14ac:dyDescent="0.25">
      <c r="A233">
        <v>232</v>
      </c>
      <c r="B233" s="5">
        <v>45673</v>
      </c>
      <c r="C233" t="s">
        <v>27</v>
      </c>
      <c r="D233" t="s">
        <v>181</v>
      </c>
      <c r="E233" t="s">
        <v>182</v>
      </c>
      <c r="F233" t="s">
        <v>106</v>
      </c>
      <c r="G233" s="6">
        <v>485.57</v>
      </c>
      <c r="H233" s="7">
        <v>0.2</v>
      </c>
      <c r="I233" s="6">
        <v>97.11</v>
      </c>
      <c r="J233" s="6">
        <v>582.67999999999995</v>
      </c>
      <c r="K233" t="s">
        <v>533</v>
      </c>
      <c r="L233" t="s">
        <v>534</v>
      </c>
    </row>
    <row r="234" spans="1:13" ht="15" customHeight="1" x14ac:dyDescent="0.25">
      <c r="A234">
        <v>233</v>
      </c>
      <c r="B234" s="5">
        <v>45832</v>
      </c>
      <c r="C234" t="s">
        <v>47</v>
      </c>
      <c r="D234" t="s">
        <v>63</v>
      </c>
      <c r="E234" t="s">
        <v>64</v>
      </c>
      <c r="F234" t="s">
        <v>174</v>
      </c>
      <c r="G234" s="6">
        <v>775.75</v>
      </c>
      <c r="H234" s="7">
        <v>0.2</v>
      </c>
      <c r="I234" s="6">
        <v>155.15</v>
      </c>
      <c r="J234" s="6">
        <v>930.9</v>
      </c>
      <c r="K234" t="s">
        <v>535</v>
      </c>
      <c r="L234" t="s">
        <v>536</v>
      </c>
    </row>
    <row r="235" spans="1:13" ht="15" customHeight="1" x14ac:dyDescent="0.25">
      <c r="A235">
        <v>234</v>
      </c>
      <c r="B235" s="5">
        <v>45701</v>
      </c>
      <c r="C235" t="s">
        <v>47</v>
      </c>
      <c r="D235" t="s">
        <v>42</v>
      </c>
      <c r="E235" t="s">
        <v>43</v>
      </c>
      <c r="F235" t="s">
        <v>44</v>
      </c>
      <c r="G235" s="6">
        <v>2173.39</v>
      </c>
      <c r="H235" s="7">
        <v>0</v>
      </c>
      <c r="I235" s="6">
        <v>0</v>
      </c>
      <c r="J235" s="6">
        <v>2173.39</v>
      </c>
      <c r="K235" t="s">
        <v>537</v>
      </c>
      <c r="L235" t="s">
        <v>538</v>
      </c>
    </row>
    <row r="236" spans="1:13" ht="15" customHeight="1" x14ac:dyDescent="0.25">
      <c r="A236">
        <v>235</v>
      </c>
      <c r="B236" s="5">
        <v>45699</v>
      </c>
      <c r="C236" t="s">
        <v>27</v>
      </c>
      <c r="D236" t="s">
        <v>28</v>
      </c>
      <c r="E236" t="s">
        <v>29</v>
      </c>
      <c r="F236" t="s">
        <v>120</v>
      </c>
      <c r="G236" s="6">
        <v>1282.69</v>
      </c>
      <c r="H236" s="7">
        <v>2.1000000000000001E-2</v>
      </c>
      <c r="I236" s="6">
        <v>26.94</v>
      </c>
      <c r="J236" s="6">
        <v>1309.6300000000001</v>
      </c>
      <c r="K236" t="s">
        <v>539</v>
      </c>
      <c r="L236" t="s">
        <v>540</v>
      </c>
    </row>
    <row r="237" spans="1:13" ht="15" customHeight="1" x14ac:dyDescent="0.25">
      <c r="A237">
        <v>236</v>
      </c>
      <c r="B237" s="5">
        <v>45870</v>
      </c>
      <c r="C237" t="s">
        <v>47</v>
      </c>
      <c r="D237" t="s">
        <v>172</v>
      </c>
      <c r="E237" t="s">
        <v>173</v>
      </c>
      <c r="F237" t="s">
        <v>106</v>
      </c>
      <c r="G237" s="6">
        <v>1287.4000000000001</v>
      </c>
      <c r="H237" s="7">
        <v>0.2</v>
      </c>
      <c r="I237" s="6">
        <v>257.48</v>
      </c>
      <c r="J237" s="6">
        <v>1544.88</v>
      </c>
      <c r="K237" t="s">
        <v>541</v>
      </c>
      <c r="L237" t="s">
        <v>542</v>
      </c>
    </row>
    <row r="238" spans="1:13" ht="15" customHeight="1" x14ac:dyDescent="0.25">
      <c r="A238">
        <v>237</v>
      </c>
      <c r="B238" s="5">
        <v>45803</v>
      </c>
      <c r="C238" t="s">
        <v>47</v>
      </c>
      <c r="D238" t="s">
        <v>63</v>
      </c>
      <c r="E238" t="s">
        <v>64</v>
      </c>
      <c r="F238" t="s">
        <v>84</v>
      </c>
      <c r="G238" s="6">
        <v>3077.72</v>
      </c>
      <c r="H238" s="7">
        <v>0.2</v>
      </c>
      <c r="I238" s="6">
        <v>615.54</v>
      </c>
      <c r="J238" s="6">
        <v>3693.26</v>
      </c>
      <c r="K238" t="s">
        <v>543</v>
      </c>
      <c r="L238" t="s">
        <v>544</v>
      </c>
    </row>
    <row r="239" spans="1:13" ht="15" customHeight="1" x14ac:dyDescent="0.25">
      <c r="A239">
        <v>238</v>
      </c>
      <c r="B239" s="5">
        <v>45681</v>
      </c>
      <c r="C239" t="s">
        <v>27</v>
      </c>
      <c r="D239" t="s">
        <v>34</v>
      </c>
      <c r="E239" t="s">
        <v>35</v>
      </c>
      <c r="F239" t="s">
        <v>84</v>
      </c>
      <c r="G239" s="6">
        <v>1054.69</v>
      </c>
      <c r="H239" s="7">
        <v>0.2</v>
      </c>
      <c r="I239" s="6">
        <v>210.94</v>
      </c>
      <c r="J239" s="6">
        <v>1265.6300000000001</v>
      </c>
      <c r="K239" t="s">
        <v>545</v>
      </c>
      <c r="L239" t="s">
        <v>546</v>
      </c>
    </row>
    <row r="240" spans="1:13" ht="15" customHeight="1" x14ac:dyDescent="0.25">
      <c r="A240">
        <v>239</v>
      </c>
      <c r="B240" s="5">
        <v>45728</v>
      </c>
      <c r="C240" t="s">
        <v>33</v>
      </c>
      <c r="D240" t="s">
        <v>28</v>
      </c>
      <c r="E240" t="s">
        <v>29</v>
      </c>
      <c r="F240" t="s">
        <v>174</v>
      </c>
      <c r="G240" s="6">
        <v>3457.59</v>
      </c>
      <c r="H240" s="7">
        <v>2.1000000000000001E-2</v>
      </c>
      <c r="I240" s="6">
        <v>72.61</v>
      </c>
      <c r="J240" s="6">
        <v>3530.2</v>
      </c>
      <c r="K240" t="s">
        <v>547</v>
      </c>
      <c r="L240" t="s">
        <v>548</v>
      </c>
    </row>
    <row r="241" spans="1:13" ht="15" customHeight="1" x14ac:dyDescent="0.25">
      <c r="A241">
        <v>240</v>
      </c>
      <c r="B241" s="5">
        <v>45747</v>
      </c>
      <c r="C241" t="s">
        <v>33</v>
      </c>
      <c r="D241" t="s">
        <v>28</v>
      </c>
      <c r="E241" t="s">
        <v>29</v>
      </c>
      <c r="F241" t="s">
        <v>106</v>
      </c>
      <c r="G241" s="6">
        <v>651</v>
      </c>
      <c r="H241" s="7">
        <v>2.1000000000000001E-2</v>
      </c>
      <c r="I241" s="6">
        <v>13.67</v>
      </c>
      <c r="J241" s="6">
        <v>664.67</v>
      </c>
      <c r="K241" t="s">
        <v>549</v>
      </c>
      <c r="L241" t="s">
        <v>550</v>
      </c>
    </row>
    <row r="242" spans="1:13" ht="15" customHeight="1" x14ac:dyDescent="0.25">
      <c r="A242">
        <v>241</v>
      </c>
      <c r="B242" s="5">
        <v>46000</v>
      </c>
      <c r="C242" t="s">
        <v>33</v>
      </c>
      <c r="D242" t="s">
        <v>79</v>
      </c>
      <c r="E242" t="s">
        <v>80</v>
      </c>
      <c r="F242" t="s">
        <v>87</v>
      </c>
      <c r="G242" s="6">
        <v>3643.4</v>
      </c>
      <c r="H242" s="7">
        <v>0.2</v>
      </c>
      <c r="I242" s="6">
        <v>728.68</v>
      </c>
      <c r="J242" s="6">
        <v>4372.08</v>
      </c>
      <c r="K242" t="s">
        <v>551</v>
      </c>
      <c r="L242" t="s">
        <v>552</v>
      </c>
    </row>
    <row r="243" spans="1:13" ht="15" customHeight="1" x14ac:dyDescent="0.25">
      <c r="A243">
        <v>242</v>
      </c>
      <c r="B243" s="5">
        <v>45667</v>
      </c>
      <c r="C243" t="s">
        <v>27</v>
      </c>
      <c r="D243" t="s">
        <v>28</v>
      </c>
      <c r="E243" t="s">
        <v>29</v>
      </c>
      <c r="F243" t="s">
        <v>87</v>
      </c>
      <c r="G243" s="6">
        <v>2112.11</v>
      </c>
      <c r="H243" s="7">
        <v>2.1000000000000001E-2</v>
      </c>
      <c r="I243" s="6">
        <v>44.35</v>
      </c>
      <c r="J243" s="6">
        <v>2156.46</v>
      </c>
      <c r="K243" t="s">
        <v>553</v>
      </c>
      <c r="L243" t="s">
        <v>554</v>
      </c>
    </row>
    <row r="244" spans="1:13" ht="15" customHeight="1" x14ac:dyDescent="0.25">
      <c r="A244">
        <v>243</v>
      </c>
      <c r="B244" s="5">
        <v>46021</v>
      </c>
      <c r="C244" t="s">
        <v>27</v>
      </c>
      <c r="D244" t="s">
        <v>63</v>
      </c>
      <c r="E244" t="s">
        <v>64</v>
      </c>
      <c r="F244" t="s">
        <v>174</v>
      </c>
      <c r="G244" s="6">
        <v>2909.43</v>
      </c>
      <c r="H244" s="7">
        <v>0.2</v>
      </c>
      <c r="I244" s="6">
        <v>581.89</v>
      </c>
      <c r="J244" s="6">
        <v>3491.32</v>
      </c>
      <c r="K244" t="s">
        <v>555</v>
      </c>
      <c r="L244" t="s">
        <v>556</v>
      </c>
    </row>
    <row r="245" spans="1:13" ht="15" customHeight="1" x14ac:dyDescent="0.25">
      <c r="A245">
        <v>244</v>
      </c>
      <c r="B245" s="5">
        <v>45824</v>
      </c>
      <c r="C245" t="s">
        <v>47</v>
      </c>
      <c r="D245" t="s">
        <v>28</v>
      </c>
      <c r="E245" t="s">
        <v>29</v>
      </c>
      <c r="F245" t="s">
        <v>84</v>
      </c>
      <c r="G245" s="6">
        <v>839.68</v>
      </c>
      <c r="H245" s="7">
        <v>2.1000000000000001E-2</v>
      </c>
      <c r="I245" s="6">
        <v>17.63</v>
      </c>
      <c r="J245" s="6">
        <v>857.31</v>
      </c>
      <c r="K245" t="s">
        <v>557</v>
      </c>
      <c r="L245" t="s">
        <v>558</v>
      </c>
    </row>
    <row r="246" spans="1:13" ht="15" customHeight="1" x14ac:dyDescent="0.25">
      <c r="A246">
        <v>245</v>
      </c>
      <c r="B246" s="5">
        <v>45881</v>
      </c>
      <c r="C246" t="s">
        <v>27</v>
      </c>
      <c r="D246" t="s">
        <v>100</v>
      </c>
      <c r="E246" t="s">
        <v>101</v>
      </c>
      <c r="F246" t="s">
        <v>44</v>
      </c>
      <c r="G246" s="6">
        <v>2383.96</v>
      </c>
      <c r="H246" s="7">
        <v>0</v>
      </c>
      <c r="I246" s="6">
        <v>0</v>
      </c>
      <c r="J246" s="6">
        <v>2383.96</v>
      </c>
      <c r="K246" t="s">
        <v>559</v>
      </c>
      <c r="L246" t="s">
        <v>560</v>
      </c>
    </row>
    <row r="247" spans="1:13" ht="15" customHeight="1" x14ac:dyDescent="0.25">
      <c r="A247">
        <v>246</v>
      </c>
      <c r="B247" s="5">
        <v>45860</v>
      </c>
      <c r="C247" t="s">
        <v>47</v>
      </c>
      <c r="D247" t="s">
        <v>172</v>
      </c>
      <c r="E247" t="s">
        <v>173</v>
      </c>
      <c r="F247" t="s">
        <v>561</v>
      </c>
      <c r="G247" s="6">
        <v>3927.72</v>
      </c>
      <c r="H247" s="7">
        <v>0.2</v>
      </c>
      <c r="I247" s="6">
        <v>785.54</v>
      </c>
      <c r="J247" s="6">
        <v>4713.26</v>
      </c>
      <c r="K247" t="s">
        <v>562</v>
      </c>
      <c r="L247" t="s">
        <v>563</v>
      </c>
      <c r="M247" t="s">
        <v>68</v>
      </c>
    </row>
    <row r="248" spans="1:13" ht="15" customHeight="1" x14ac:dyDescent="0.25">
      <c r="A248">
        <v>247</v>
      </c>
      <c r="B248" s="5">
        <v>45744</v>
      </c>
      <c r="C248" t="s">
        <v>33</v>
      </c>
      <c r="D248" t="s">
        <v>55</v>
      </c>
      <c r="E248" t="s">
        <v>56</v>
      </c>
      <c r="F248" t="s">
        <v>120</v>
      </c>
      <c r="G248" s="6">
        <v>417.6</v>
      </c>
      <c r="H248" s="7">
        <v>5.5E-2</v>
      </c>
      <c r="I248" s="6">
        <v>22.97</v>
      </c>
      <c r="J248" s="6">
        <v>440.57</v>
      </c>
      <c r="K248" t="s">
        <v>564</v>
      </c>
      <c r="L248" t="s">
        <v>565</v>
      </c>
    </row>
    <row r="249" spans="1:13" ht="15" customHeight="1" x14ac:dyDescent="0.25">
      <c r="A249">
        <v>248</v>
      </c>
      <c r="B249" s="5">
        <v>45988</v>
      </c>
      <c r="C249" t="s">
        <v>27</v>
      </c>
      <c r="D249" t="s">
        <v>79</v>
      </c>
      <c r="E249" t="s">
        <v>80</v>
      </c>
      <c r="F249" t="s">
        <v>71</v>
      </c>
      <c r="G249" s="6">
        <v>3682.46</v>
      </c>
      <c r="H249" s="7">
        <v>0.2</v>
      </c>
      <c r="I249" s="6">
        <v>736.49</v>
      </c>
      <c r="J249" s="6">
        <v>4418.95</v>
      </c>
      <c r="K249" t="s">
        <v>566</v>
      </c>
      <c r="L249" t="s">
        <v>567</v>
      </c>
    </row>
    <row r="250" spans="1:13" ht="15" customHeight="1" x14ac:dyDescent="0.25">
      <c r="A250">
        <v>249</v>
      </c>
      <c r="B250" s="5">
        <v>45966</v>
      </c>
      <c r="C250" t="s">
        <v>33</v>
      </c>
      <c r="D250" t="s">
        <v>55</v>
      </c>
      <c r="E250" t="s">
        <v>56</v>
      </c>
      <c r="F250" t="s">
        <v>120</v>
      </c>
      <c r="G250" s="6">
        <v>755.68</v>
      </c>
      <c r="H250" s="7">
        <v>5.5E-2</v>
      </c>
      <c r="I250" s="6">
        <v>41.56</v>
      </c>
      <c r="J250" s="6">
        <v>797.24</v>
      </c>
      <c r="K250" t="s">
        <v>568</v>
      </c>
      <c r="L250" t="s">
        <v>569</v>
      </c>
    </row>
    <row r="251" spans="1:13" ht="15" customHeight="1" x14ac:dyDescent="0.25">
      <c r="A251">
        <v>250</v>
      </c>
      <c r="B251" s="5">
        <v>45979</v>
      </c>
      <c r="C251" t="s">
        <v>33</v>
      </c>
      <c r="D251" t="s">
        <v>100</v>
      </c>
      <c r="E251" t="s">
        <v>101</v>
      </c>
      <c r="F251" t="s">
        <v>44</v>
      </c>
      <c r="G251" s="6">
        <v>3610.67</v>
      </c>
      <c r="H251" s="7">
        <v>0</v>
      </c>
      <c r="I251" s="6">
        <v>0</v>
      </c>
      <c r="J251" s="6">
        <v>3610.67</v>
      </c>
      <c r="K251" t="s">
        <v>570</v>
      </c>
      <c r="L251" t="s">
        <v>571</v>
      </c>
    </row>
    <row r="252" spans="1:13" ht="15" customHeight="1" x14ac:dyDescent="0.25">
      <c r="A252">
        <v>251</v>
      </c>
      <c r="B252" s="5">
        <v>45947</v>
      </c>
      <c r="C252" t="s">
        <v>27</v>
      </c>
      <c r="D252" t="s">
        <v>79</v>
      </c>
      <c r="E252" t="s">
        <v>80</v>
      </c>
      <c r="F252" t="s">
        <v>84</v>
      </c>
      <c r="G252" s="6">
        <v>2922.02</v>
      </c>
      <c r="H252" s="7">
        <v>0.2</v>
      </c>
      <c r="I252" s="6">
        <v>584.4</v>
      </c>
      <c r="J252" s="6">
        <v>3506.42</v>
      </c>
      <c r="K252" t="s">
        <v>572</v>
      </c>
      <c r="L252" t="s">
        <v>573</v>
      </c>
    </row>
    <row r="253" spans="1:13" ht="15" customHeight="1" x14ac:dyDescent="0.25">
      <c r="A253">
        <v>252</v>
      </c>
      <c r="B253" s="5">
        <v>45883</v>
      </c>
      <c r="C253" t="s">
        <v>27</v>
      </c>
      <c r="D253" t="s">
        <v>55</v>
      </c>
      <c r="E253" t="s">
        <v>56</v>
      </c>
      <c r="F253" t="s">
        <v>76</v>
      </c>
      <c r="G253" s="6">
        <v>381.83</v>
      </c>
      <c r="H253" s="7">
        <v>5.5E-2</v>
      </c>
      <c r="I253" s="6">
        <v>21</v>
      </c>
      <c r="J253" s="6">
        <v>402.83</v>
      </c>
      <c r="K253" t="s">
        <v>574</v>
      </c>
      <c r="L253" t="s">
        <v>575</v>
      </c>
    </row>
    <row r="254" spans="1:13" ht="15" customHeight="1" x14ac:dyDescent="0.25">
      <c r="A254">
        <v>253</v>
      </c>
      <c r="B254" s="5">
        <v>45960</v>
      </c>
      <c r="C254" t="s">
        <v>47</v>
      </c>
      <c r="D254" t="s">
        <v>42</v>
      </c>
      <c r="E254" t="s">
        <v>43</v>
      </c>
      <c r="F254" t="s">
        <v>44</v>
      </c>
      <c r="G254" s="6">
        <v>3017.61</v>
      </c>
      <c r="H254" s="7">
        <v>0</v>
      </c>
      <c r="I254" s="6">
        <v>0</v>
      </c>
      <c r="J254" s="6">
        <v>3017.61</v>
      </c>
      <c r="K254" t="s">
        <v>576</v>
      </c>
      <c r="L254" t="s">
        <v>577</v>
      </c>
    </row>
    <row r="255" spans="1:13" ht="15" customHeight="1" x14ac:dyDescent="0.25">
      <c r="A255">
        <v>254</v>
      </c>
      <c r="B255" s="5">
        <v>45687</v>
      </c>
      <c r="C255" t="s">
        <v>47</v>
      </c>
      <c r="D255" t="s">
        <v>79</v>
      </c>
      <c r="E255" t="s">
        <v>80</v>
      </c>
      <c r="F255" t="s">
        <v>174</v>
      </c>
      <c r="G255" s="6">
        <v>18187.04</v>
      </c>
      <c r="H255" s="7">
        <v>0.2</v>
      </c>
      <c r="I255" s="6">
        <v>3637.41</v>
      </c>
      <c r="J255" s="6">
        <v>21824.45</v>
      </c>
      <c r="K255" t="s">
        <v>578</v>
      </c>
      <c r="L255" t="s">
        <v>579</v>
      </c>
      <c r="M255" t="s">
        <v>580</v>
      </c>
    </row>
    <row r="256" spans="1:13" ht="15" customHeight="1" x14ac:dyDescent="0.25">
      <c r="A256">
        <v>255</v>
      </c>
      <c r="B256" s="5">
        <v>45972</v>
      </c>
      <c r="C256" t="s">
        <v>27</v>
      </c>
      <c r="D256" t="s">
        <v>42</v>
      </c>
      <c r="E256" t="s">
        <v>43</v>
      </c>
      <c r="F256" t="s">
        <v>44</v>
      </c>
      <c r="G256" s="6">
        <v>2722.76</v>
      </c>
      <c r="H256" s="7">
        <v>0</v>
      </c>
      <c r="I256" s="6">
        <v>0</v>
      </c>
      <c r="J256" s="6">
        <v>2722.76</v>
      </c>
      <c r="K256" t="s">
        <v>581</v>
      </c>
      <c r="L256" t="s">
        <v>582</v>
      </c>
    </row>
    <row r="257" spans="1:13" ht="15" customHeight="1" x14ac:dyDescent="0.25">
      <c r="A257">
        <v>256</v>
      </c>
      <c r="B257" s="5">
        <v>45679</v>
      </c>
      <c r="C257" t="s">
        <v>27</v>
      </c>
      <c r="D257" t="s">
        <v>100</v>
      </c>
      <c r="E257" t="s">
        <v>101</v>
      </c>
      <c r="F257" t="s">
        <v>44</v>
      </c>
      <c r="G257" s="6">
        <v>3743.56</v>
      </c>
      <c r="H257" s="7">
        <v>0</v>
      </c>
      <c r="I257" s="6">
        <v>0</v>
      </c>
      <c r="J257" s="6">
        <v>3743.56</v>
      </c>
      <c r="K257" t="s">
        <v>583</v>
      </c>
      <c r="L257" t="s">
        <v>584</v>
      </c>
    </row>
    <row r="258" spans="1:13" ht="15" customHeight="1" x14ac:dyDescent="0.25">
      <c r="A258">
        <v>257</v>
      </c>
      <c r="B258" s="5">
        <v>45901</v>
      </c>
      <c r="C258" t="s">
        <v>33</v>
      </c>
      <c r="D258" t="s">
        <v>55</v>
      </c>
      <c r="E258" t="s">
        <v>56</v>
      </c>
      <c r="F258" t="s">
        <v>39</v>
      </c>
      <c r="G258" s="6">
        <v>2296.04</v>
      </c>
      <c r="H258" s="7">
        <v>5.5E-2</v>
      </c>
      <c r="I258" s="6">
        <v>126.28</v>
      </c>
      <c r="J258" s="6">
        <v>2422.3200000000002</v>
      </c>
      <c r="K258" t="s">
        <v>585</v>
      </c>
      <c r="L258" t="s">
        <v>586</v>
      </c>
    </row>
    <row r="259" spans="1:13" ht="15" customHeight="1" x14ac:dyDescent="0.25">
      <c r="A259">
        <v>258</v>
      </c>
      <c r="B259" s="5">
        <v>45833</v>
      </c>
      <c r="C259" t="s">
        <v>33</v>
      </c>
      <c r="D259" t="s">
        <v>42</v>
      </c>
      <c r="E259" t="s">
        <v>43</v>
      </c>
      <c r="F259" t="s">
        <v>44</v>
      </c>
      <c r="G259" s="6">
        <v>2002.39</v>
      </c>
      <c r="H259" s="7">
        <v>0</v>
      </c>
      <c r="I259" s="6">
        <v>0</v>
      </c>
      <c r="J259" s="6">
        <v>2002.39</v>
      </c>
      <c r="K259" t="s">
        <v>587</v>
      </c>
      <c r="L259" t="s">
        <v>588</v>
      </c>
    </row>
    <row r="260" spans="1:13" ht="15" customHeight="1" x14ac:dyDescent="0.25">
      <c r="A260">
        <v>259</v>
      </c>
      <c r="B260" s="5">
        <v>46020</v>
      </c>
      <c r="C260" t="s">
        <v>33</v>
      </c>
      <c r="D260" t="s">
        <v>28</v>
      </c>
      <c r="E260" t="s">
        <v>29</v>
      </c>
      <c r="F260" t="s">
        <v>76</v>
      </c>
      <c r="G260" s="6">
        <v>2014.89</v>
      </c>
      <c r="H260" s="7">
        <v>2.1000000000000001E-2</v>
      </c>
      <c r="I260" s="6">
        <v>42.31</v>
      </c>
      <c r="J260" s="6">
        <v>2057.1999999999998</v>
      </c>
      <c r="K260" t="s">
        <v>589</v>
      </c>
      <c r="L260" t="s">
        <v>590</v>
      </c>
    </row>
    <row r="261" spans="1:13" ht="15" customHeight="1" x14ac:dyDescent="0.25">
      <c r="A261">
        <v>260</v>
      </c>
      <c r="B261" s="5">
        <v>45848</v>
      </c>
      <c r="C261" t="s">
        <v>27</v>
      </c>
      <c r="D261" t="s">
        <v>172</v>
      </c>
      <c r="E261" t="s">
        <v>173</v>
      </c>
      <c r="F261" t="s">
        <v>36</v>
      </c>
      <c r="G261" s="6">
        <v>4137.28</v>
      </c>
      <c r="H261" s="7">
        <v>0.2</v>
      </c>
      <c r="I261" s="6">
        <v>827.46</v>
      </c>
      <c r="J261" s="6">
        <v>4964.74</v>
      </c>
      <c r="K261" t="s">
        <v>591</v>
      </c>
      <c r="L261" t="s">
        <v>592</v>
      </c>
    </row>
    <row r="262" spans="1:13" ht="15" customHeight="1" x14ac:dyDescent="0.25">
      <c r="A262">
        <v>261</v>
      </c>
      <c r="B262" s="5">
        <v>45684</v>
      </c>
      <c r="C262" t="s">
        <v>47</v>
      </c>
      <c r="D262" t="s">
        <v>34</v>
      </c>
      <c r="E262" t="s">
        <v>35</v>
      </c>
      <c r="F262" t="s">
        <v>120</v>
      </c>
      <c r="G262" s="6">
        <v>3568.38</v>
      </c>
      <c r="H262" s="7">
        <v>0.2</v>
      </c>
      <c r="I262" s="6">
        <v>713.68</v>
      </c>
      <c r="J262" s="6">
        <v>4282.0600000000004</v>
      </c>
      <c r="K262" t="s">
        <v>593</v>
      </c>
      <c r="L262" t="s">
        <v>594</v>
      </c>
    </row>
    <row r="263" spans="1:13" ht="15" customHeight="1" x14ac:dyDescent="0.25">
      <c r="A263">
        <v>262</v>
      </c>
      <c r="B263" s="5">
        <v>45943</v>
      </c>
      <c r="C263" t="s">
        <v>33</v>
      </c>
      <c r="D263" t="s">
        <v>55</v>
      </c>
      <c r="E263" t="s">
        <v>56</v>
      </c>
      <c r="F263" t="s">
        <v>174</v>
      </c>
      <c r="G263" s="6">
        <v>3078.44</v>
      </c>
      <c r="H263" s="7">
        <v>5.5E-2</v>
      </c>
      <c r="I263" s="6">
        <v>169.31</v>
      </c>
      <c r="J263" s="6">
        <v>3247.75</v>
      </c>
      <c r="K263" t="s">
        <v>595</v>
      </c>
      <c r="L263" t="s">
        <v>596</v>
      </c>
    </row>
    <row r="264" spans="1:13" ht="15" customHeight="1" x14ac:dyDescent="0.25">
      <c r="A264">
        <v>263</v>
      </c>
      <c r="B264" s="5">
        <v>45966</v>
      </c>
      <c r="C264" t="s">
        <v>27</v>
      </c>
      <c r="D264" t="s">
        <v>42</v>
      </c>
      <c r="E264" t="s">
        <v>43</v>
      </c>
      <c r="F264" t="s">
        <v>44</v>
      </c>
      <c r="G264" s="6">
        <v>2600.0700000000002</v>
      </c>
      <c r="H264" s="7">
        <v>0</v>
      </c>
      <c r="I264" s="6">
        <v>0</v>
      </c>
      <c r="J264" s="6">
        <v>2600.0700000000002</v>
      </c>
      <c r="K264" t="s">
        <v>597</v>
      </c>
      <c r="L264" t="s">
        <v>598</v>
      </c>
    </row>
    <row r="265" spans="1:13" ht="15" customHeight="1" x14ac:dyDescent="0.25">
      <c r="A265">
        <v>264</v>
      </c>
      <c r="B265" s="5">
        <v>45993</v>
      </c>
      <c r="C265" t="s">
        <v>27</v>
      </c>
      <c r="D265" t="s">
        <v>28</v>
      </c>
      <c r="E265" t="s">
        <v>29</v>
      </c>
      <c r="F265" t="s">
        <v>36</v>
      </c>
      <c r="G265" s="6">
        <v>3167.28</v>
      </c>
      <c r="H265" s="7">
        <v>2.1000000000000001E-2</v>
      </c>
      <c r="I265" s="6">
        <v>66.510000000000005</v>
      </c>
      <c r="J265" s="6">
        <v>3233.79</v>
      </c>
      <c r="K265" t="s">
        <v>599</v>
      </c>
      <c r="L265" t="s">
        <v>600</v>
      </c>
    </row>
    <row r="266" spans="1:13" ht="15" customHeight="1" x14ac:dyDescent="0.25">
      <c r="A266">
        <v>265</v>
      </c>
      <c r="B266" s="5">
        <v>45701</v>
      </c>
      <c r="C266" t="s">
        <v>27</v>
      </c>
      <c r="D266" t="s">
        <v>601</v>
      </c>
      <c r="E266" t="s">
        <v>116</v>
      </c>
      <c r="F266" t="s">
        <v>44</v>
      </c>
      <c r="G266" s="6">
        <v>2704.03</v>
      </c>
      <c r="H266" s="7">
        <v>0</v>
      </c>
      <c r="I266" s="6">
        <v>0</v>
      </c>
      <c r="J266" s="6">
        <v>2704.03</v>
      </c>
      <c r="K266" t="s">
        <v>602</v>
      </c>
      <c r="L266" t="s">
        <v>603</v>
      </c>
      <c r="M266" t="s">
        <v>119</v>
      </c>
    </row>
    <row r="267" spans="1:13" ht="15" customHeight="1" x14ac:dyDescent="0.25">
      <c r="A267">
        <v>266</v>
      </c>
      <c r="B267" s="5">
        <v>46001</v>
      </c>
      <c r="C267" t="s">
        <v>47</v>
      </c>
      <c r="D267" t="s">
        <v>42</v>
      </c>
      <c r="E267" t="s">
        <v>43</v>
      </c>
      <c r="F267" t="s">
        <v>44</v>
      </c>
      <c r="G267" s="6">
        <v>4073.06</v>
      </c>
      <c r="H267" s="7">
        <v>0</v>
      </c>
      <c r="I267" s="6">
        <v>0</v>
      </c>
      <c r="J267" s="6">
        <v>4073.06</v>
      </c>
      <c r="K267" t="s">
        <v>604</v>
      </c>
      <c r="L267" t="s">
        <v>605</v>
      </c>
    </row>
    <row r="268" spans="1:13" ht="15" customHeight="1" x14ac:dyDescent="0.25">
      <c r="A268">
        <v>267</v>
      </c>
      <c r="B268" s="5">
        <v>46001</v>
      </c>
      <c r="C268" t="s">
        <v>27</v>
      </c>
      <c r="D268" t="s">
        <v>28</v>
      </c>
      <c r="E268" t="s">
        <v>29</v>
      </c>
      <c r="F268" t="s">
        <v>50</v>
      </c>
      <c r="G268" s="6">
        <v>1951.46</v>
      </c>
      <c r="H268" s="7">
        <v>2.1000000000000001E-2</v>
      </c>
      <c r="I268" s="6">
        <v>40.98</v>
      </c>
      <c r="J268" s="6">
        <v>1992.44</v>
      </c>
      <c r="K268" t="s">
        <v>606</v>
      </c>
      <c r="L268" t="s">
        <v>607</v>
      </c>
    </row>
    <row r="269" spans="1:13" ht="15" customHeight="1" x14ac:dyDescent="0.25">
      <c r="A269">
        <v>268</v>
      </c>
      <c r="B269" s="5">
        <v>45832</v>
      </c>
      <c r="C269" t="s">
        <v>47</v>
      </c>
      <c r="D269" t="s">
        <v>55</v>
      </c>
      <c r="E269" t="s">
        <v>56</v>
      </c>
      <c r="F269" t="s">
        <v>76</v>
      </c>
      <c r="G269" s="6">
        <v>4268.6899999999996</v>
      </c>
      <c r="H269" s="7">
        <v>5.5E-2</v>
      </c>
      <c r="I269" s="6">
        <v>234.78</v>
      </c>
      <c r="J269" s="6">
        <v>4503.47</v>
      </c>
      <c r="K269" t="s">
        <v>608</v>
      </c>
      <c r="L269" t="s">
        <v>609</v>
      </c>
    </row>
    <row r="270" spans="1:13" ht="15" customHeight="1" x14ac:dyDescent="0.25">
      <c r="A270">
        <v>269</v>
      </c>
      <c r="B270" s="5">
        <v>45737</v>
      </c>
      <c r="C270" t="s">
        <v>33</v>
      </c>
      <c r="D270" t="s">
        <v>94</v>
      </c>
      <c r="E270" t="s">
        <v>95</v>
      </c>
      <c r="F270" t="s">
        <v>44</v>
      </c>
      <c r="G270" s="6">
        <v>2611.0700000000002</v>
      </c>
      <c r="H270" s="7">
        <v>0</v>
      </c>
      <c r="I270" s="6">
        <v>0</v>
      </c>
      <c r="J270" s="6">
        <v>2611.0700000000002</v>
      </c>
      <c r="K270" t="s">
        <v>610</v>
      </c>
      <c r="L270" t="s">
        <v>611</v>
      </c>
    </row>
    <row r="271" spans="1:13" ht="15" customHeight="1" x14ac:dyDescent="0.25">
      <c r="A271">
        <v>270</v>
      </c>
      <c r="B271" s="5">
        <v>45677</v>
      </c>
      <c r="C271" t="s">
        <v>27</v>
      </c>
      <c r="D271" t="s">
        <v>42</v>
      </c>
      <c r="E271" t="s">
        <v>43</v>
      </c>
      <c r="F271" t="s">
        <v>44</v>
      </c>
      <c r="G271" s="6">
        <v>3903.34</v>
      </c>
      <c r="H271" s="7">
        <v>0</v>
      </c>
      <c r="I271" s="6">
        <v>0</v>
      </c>
      <c r="J271" s="6">
        <v>3903.34</v>
      </c>
      <c r="K271" t="s">
        <v>612</v>
      </c>
      <c r="L271" t="s">
        <v>613</v>
      </c>
    </row>
    <row r="272" spans="1:13" ht="15" customHeight="1" x14ac:dyDescent="0.25">
      <c r="A272">
        <v>271</v>
      </c>
      <c r="B272" s="5">
        <v>45736</v>
      </c>
      <c r="C272" t="s">
        <v>33</v>
      </c>
      <c r="D272" t="s">
        <v>172</v>
      </c>
      <c r="E272" t="s">
        <v>173</v>
      </c>
      <c r="F272" t="s">
        <v>81</v>
      </c>
      <c r="G272" s="6">
        <v>797.13</v>
      </c>
      <c r="H272" s="7">
        <v>0.2</v>
      </c>
      <c r="I272" s="6">
        <v>159.43</v>
      </c>
      <c r="J272" s="6">
        <v>956.56</v>
      </c>
      <c r="K272" t="s">
        <v>614</v>
      </c>
      <c r="L272" t="s">
        <v>615</v>
      </c>
    </row>
    <row r="273" spans="1:12" ht="15" customHeight="1" x14ac:dyDescent="0.25">
      <c r="A273">
        <v>272</v>
      </c>
      <c r="B273" s="5">
        <v>45742</v>
      </c>
      <c r="C273" t="s">
        <v>27</v>
      </c>
      <c r="D273" t="s">
        <v>42</v>
      </c>
      <c r="E273" t="s">
        <v>43</v>
      </c>
      <c r="F273" t="s">
        <v>44</v>
      </c>
      <c r="G273" s="6">
        <v>1904.86</v>
      </c>
      <c r="H273" s="7">
        <v>0</v>
      </c>
      <c r="I273" s="6">
        <v>0</v>
      </c>
      <c r="J273" s="6">
        <v>1904.86</v>
      </c>
      <c r="K273" t="s">
        <v>616</v>
      </c>
      <c r="L273" t="s">
        <v>617</v>
      </c>
    </row>
    <row r="274" spans="1:12" ht="15" customHeight="1" x14ac:dyDescent="0.25">
      <c r="A274">
        <v>273</v>
      </c>
      <c r="B274" s="5">
        <v>45803</v>
      </c>
      <c r="C274" t="s">
        <v>27</v>
      </c>
      <c r="D274" t="s">
        <v>42</v>
      </c>
      <c r="E274" t="s">
        <v>43</v>
      </c>
      <c r="F274" t="s">
        <v>44</v>
      </c>
      <c r="G274" s="6">
        <v>3681.12</v>
      </c>
      <c r="H274" s="7">
        <v>0</v>
      </c>
      <c r="I274" s="6">
        <v>0</v>
      </c>
      <c r="J274" s="6">
        <v>3681.12</v>
      </c>
      <c r="K274" t="s">
        <v>618</v>
      </c>
      <c r="L274" t="s">
        <v>619</v>
      </c>
    </row>
    <row r="275" spans="1:12" ht="15" customHeight="1" x14ac:dyDescent="0.25">
      <c r="A275">
        <v>274</v>
      </c>
      <c r="B275" s="5">
        <v>45898</v>
      </c>
      <c r="C275" t="s">
        <v>27</v>
      </c>
      <c r="D275" t="s">
        <v>55</v>
      </c>
      <c r="E275" t="s">
        <v>56</v>
      </c>
      <c r="F275" t="s">
        <v>71</v>
      </c>
      <c r="G275" s="6">
        <v>4075.57</v>
      </c>
      <c r="H275" s="7">
        <v>5.5E-2</v>
      </c>
      <c r="I275" s="6">
        <v>224.16</v>
      </c>
      <c r="J275" s="6">
        <v>4299.7299999999996</v>
      </c>
      <c r="K275" t="s">
        <v>620</v>
      </c>
      <c r="L275" t="s">
        <v>621</v>
      </c>
    </row>
    <row r="276" spans="1:12" ht="15" customHeight="1" x14ac:dyDescent="0.25">
      <c r="A276">
        <v>275</v>
      </c>
      <c r="B276" s="5">
        <v>45883</v>
      </c>
      <c r="C276" t="s">
        <v>27</v>
      </c>
      <c r="D276" t="s">
        <v>100</v>
      </c>
      <c r="E276" t="s">
        <v>101</v>
      </c>
      <c r="F276" t="s">
        <v>44</v>
      </c>
      <c r="G276" s="6">
        <v>2476.25</v>
      </c>
      <c r="H276" s="7">
        <v>0</v>
      </c>
      <c r="I276" s="6">
        <v>0</v>
      </c>
      <c r="J276" s="6">
        <v>2476.25</v>
      </c>
      <c r="K276" t="s">
        <v>622</v>
      </c>
      <c r="L276" t="s">
        <v>623</v>
      </c>
    </row>
    <row r="277" spans="1:12" ht="15" customHeight="1" x14ac:dyDescent="0.25">
      <c r="A277">
        <v>276</v>
      </c>
      <c r="B277" s="5">
        <v>45740</v>
      </c>
      <c r="C277" t="s">
        <v>27</v>
      </c>
      <c r="D277" t="s">
        <v>172</v>
      </c>
      <c r="E277" t="s">
        <v>173</v>
      </c>
      <c r="F277" t="s">
        <v>84</v>
      </c>
      <c r="G277" s="6">
        <v>3690.66</v>
      </c>
      <c r="H277" s="7">
        <v>0.2</v>
      </c>
      <c r="I277" s="6">
        <v>738.13</v>
      </c>
      <c r="J277" s="6">
        <v>4428.79</v>
      </c>
      <c r="K277" t="s">
        <v>624</v>
      </c>
      <c r="L277" t="s">
        <v>625</v>
      </c>
    </row>
    <row r="278" spans="1:12" ht="15" customHeight="1" x14ac:dyDescent="0.25">
      <c r="A278">
        <v>277</v>
      </c>
      <c r="B278" s="5">
        <v>45904</v>
      </c>
      <c r="C278" t="s">
        <v>47</v>
      </c>
      <c r="D278" t="s">
        <v>28</v>
      </c>
      <c r="E278" t="s">
        <v>29</v>
      </c>
      <c r="F278" t="s">
        <v>106</v>
      </c>
      <c r="G278" s="6">
        <v>3943.6</v>
      </c>
      <c r="H278" s="7">
        <v>2.1000000000000001E-2</v>
      </c>
      <c r="I278" s="6">
        <v>82.82</v>
      </c>
      <c r="J278" s="6">
        <v>4026.42</v>
      </c>
      <c r="K278" t="s">
        <v>626</v>
      </c>
      <c r="L278" t="s">
        <v>627</v>
      </c>
    </row>
    <row r="279" spans="1:12" ht="15" customHeight="1" x14ac:dyDescent="0.25">
      <c r="A279">
        <v>278</v>
      </c>
      <c r="B279" s="5">
        <v>45721</v>
      </c>
      <c r="C279" t="s">
        <v>27</v>
      </c>
      <c r="D279" t="s">
        <v>42</v>
      </c>
      <c r="E279" t="s">
        <v>43</v>
      </c>
      <c r="F279" t="s">
        <v>44</v>
      </c>
      <c r="G279" s="6">
        <v>3631.48</v>
      </c>
      <c r="H279" s="7">
        <v>0</v>
      </c>
      <c r="I279" s="6">
        <v>0</v>
      </c>
      <c r="J279" s="6">
        <v>3631.48</v>
      </c>
      <c r="K279" t="s">
        <v>628</v>
      </c>
      <c r="L279" t="s">
        <v>629</v>
      </c>
    </row>
    <row r="280" spans="1:12" ht="15" customHeight="1" x14ac:dyDescent="0.25">
      <c r="A280">
        <v>279</v>
      </c>
      <c r="B280" s="5">
        <v>45733</v>
      </c>
      <c r="C280" t="s">
        <v>47</v>
      </c>
      <c r="D280" t="s">
        <v>100</v>
      </c>
      <c r="E280" t="s">
        <v>101</v>
      </c>
      <c r="F280" t="s">
        <v>44</v>
      </c>
      <c r="G280" s="6">
        <v>2020.11</v>
      </c>
      <c r="H280" s="7">
        <v>0</v>
      </c>
      <c r="I280" s="6">
        <v>0</v>
      </c>
      <c r="J280" s="6">
        <v>2020.11</v>
      </c>
      <c r="K280" t="s">
        <v>630</v>
      </c>
      <c r="L280" t="s">
        <v>631</v>
      </c>
    </row>
    <row r="281" spans="1:12" ht="15" customHeight="1" x14ac:dyDescent="0.25">
      <c r="A281">
        <v>280</v>
      </c>
      <c r="B281" s="5">
        <v>45671</v>
      </c>
      <c r="C281" t="s">
        <v>47</v>
      </c>
      <c r="D281" t="s">
        <v>100</v>
      </c>
      <c r="E281" t="s">
        <v>101</v>
      </c>
      <c r="F281" t="s">
        <v>44</v>
      </c>
      <c r="G281" s="6">
        <v>2751.49</v>
      </c>
      <c r="H281" s="7">
        <v>0</v>
      </c>
      <c r="I281" s="6">
        <v>0</v>
      </c>
      <c r="J281" s="6">
        <v>2751.49</v>
      </c>
      <c r="K281" t="s">
        <v>632</v>
      </c>
      <c r="L281" t="s">
        <v>633</v>
      </c>
    </row>
    <row r="282" spans="1:12" ht="15" customHeight="1" x14ac:dyDescent="0.25">
      <c r="A282">
        <v>281</v>
      </c>
      <c r="B282" s="5">
        <v>45699</v>
      </c>
      <c r="C282" t="s">
        <v>33</v>
      </c>
      <c r="D282" t="s">
        <v>63</v>
      </c>
      <c r="E282" t="s">
        <v>64</v>
      </c>
      <c r="F282" t="s">
        <v>39</v>
      </c>
      <c r="G282" s="6">
        <v>1737.11</v>
      </c>
      <c r="H282" s="7">
        <v>0.2</v>
      </c>
      <c r="I282" s="6">
        <v>347.42</v>
      </c>
      <c r="J282" s="6">
        <v>2084.5300000000002</v>
      </c>
      <c r="K282" t="s">
        <v>634</v>
      </c>
      <c r="L282" t="s">
        <v>635</v>
      </c>
    </row>
    <row r="283" spans="1:12" ht="15" customHeight="1" x14ac:dyDescent="0.25">
      <c r="A283">
        <v>282</v>
      </c>
      <c r="B283" s="5">
        <v>45728</v>
      </c>
      <c r="C283" t="s">
        <v>33</v>
      </c>
      <c r="D283" t="s">
        <v>42</v>
      </c>
      <c r="E283" t="s">
        <v>43</v>
      </c>
      <c r="F283" t="s">
        <v>44</v>
      </c>
      <c r="G283" s="6">
        <v>4001.75</v>
      </c>
      <c r="H283" s="7">
        <v>0</v>
      </c>
      <c r="I283" s="6">
        <v>0</v>
      </c>
      <c r="J283" s="6">
        <v>4001.75</v>
      </c>
      <c r="K283" t="s">
        <v>636</v>
      </c>
      <c r="L283" t="s">
        <v>637</v>
      </c>
    </row>
    <row r="284" spans="1:12" ht="15" customHeight="1" x14ac:dyDescent="0.25">
      <c r="A284">
        <v>283</v>
      </c>
      <c r="B284" s="5">
        <v>45898</v>
      </c>
      <c r="C284" t="s">
        <v>27</v>
      </c>
      <c r="D284" t="s">
        <v>42</v>
      </c>
      <c r="E284" t="s">
        <v>43</v>
      </c>
      <c r="F284" t="s">
        <v>44</v>
      </c>
      <c r="G284" s="6">
        <v>1812.6</v>
      </c>
      <c r="H284" s="7">
        <v>0</v>
      </c>
      <c r="I284" s="6">
        <v>0</v>
      </c>
      <c r="J284" s="6">
        <v>1812.6</v>
      </c>
      <c r="K284" t="s">
        <v>638</v>
      </c>
      <c r="L284" t="s">
        <v>639</v>
      </c>
    </row>
    <row r="285" spans="1:12" ht="15" customHeight="1" x14ac:dyDescent="0.25">
      <c r="A285">
        <v>284</v>
      </c>
      <c r="B285" s="5">
        <v>45734</v>
      </c>
      <c r="C285" t="s">
        <v>33</v>
      </c>
      <c r="D285" t="s">
        <v>55</v>
      </c>
      <c r="E285" t="s">
        <v>56</v>
      </c>
      <c r="F285" t="s">
        <v>81</v>
      </c>
      <c r="G285" s="6">
        <v>2505.71</v>
      </c>
      <c r="H285" s="7">
        <v>5.5E-2</v>
      </c>
      <c r="I285" s="6">
        <v>137.81</v>
      </c>
      <c r="J285" s="6">
        <v>2643.52</v>
      </c>
      <c r="K285" t="s">
        <v>640</v>
      </c>
      <c r="L285" t="s">
        <v>641</v>
      </c>
    </row>
    <row r="286" spans="1:12" ht="15" customHeight="1" x14ac:dyDescent="0.25">
      <c r="A286">
        <v>285</v>
      </c>
      <c r="B286" s="5">
        <v>45805</v>
      </c>
      <c r="C286" t="s">
        <v>27</v>
      </c>
      <c r="D286" t="s">
        <v>63</v>
      </c>
      <c r="E286" t="s">
        <v>64</v>
      </c>
      <c r="F286" t="s">
        <v>87</v>
      </c>
      <c r="G286" s="6">
        <v>1130.3699999999999</v>
      </c>
      <c r="H286" s="7">
        <v>0.2</v>
      </c>
      <c r="I286" s="6">
        <v>226.07</v>
      </c>
      <c r="J286" s="6">
        <v>1356.44</v>
      </c>
      <c r="K286" t="s">
        <v>642</v>
      </c>
      <c r="L286" t="s">
        <v>643</v>
      </c>
    </row>
    <row r="287" spans="1:12" ht="15" customHeight="1" x14ac:dyDescent="0.25">
      <c r="A287">
        <v>286</v>
      </c>
      <c r="B287" s="5">
        <v>45714</v>
      </c>
      <c r="C287" t="s">
        <v>33</v>
      </c>
      <c r="D287" t="s">
        <v>63</v>
      </c>
      <c r="E287" t="s">
        <v>64</v>
      </c>
      <c r="F287" t="s">
        <v>76</v>
      </c>
      <c r="G287" s="6">
        <v>3778.16</v>
      </c>
      <c r="H287" s="7">
        <v>0.2</v>
      </c>
      <c r="I287" s="6">
        <v>755.63</v>
      </c>
      <c r="J287" s="6">
        <v>4533.79</v>
      </c>
      <c r="K287" t="s">
        <v>644</v>
      </c>
      <c r="L287" t="s">
        <v>645</v>
      </c>
    </row>
    <row r="288" spans="1:12" ht="15" customHeight="1" x14ac:dyDescent="0.25">
      <c r="A288">
        <v>287</v>
      </c>
      <c r="B288" s="5">
        <v>45952</v>
      </c>
      <c r="C288" t="s">
        <v>27</v>
      </c>
      <c r="D288" t="s">
        <v>28</v>
      </c>
      <c r="E288" t="s">
        <v>29</v>
      </c>
      <c r="F288" t="s">
        <v>30</v>
      </c>
      <c r="G288" s="6">
        <v>1149.3699999999999</v>
      </c>
      <c r="H288" s="7">
        <v>2.1000000000000001E-2</v>
      </c>
      <c r="I288" s="6">
        <v>24.14</v>
      </c>
      <c r="J288" s="6">
        <v>1173.51</v>
      </c>
      <c r="K288" t="s">
        <v>646</v>
      </c>
      <c r="L288" t="s">
        <v>647</v>
      </c>
    </row>
    <row r="289" spans="1:12" ht="15" customHeight="1" x14ac:dyDescent="0.25">
      <c r="A289">
        <v>288</v>
      </c>
      <c r="B289" s="5">
        <v>45838</v>
      </c>
      <c r="C289" t="s">
        <v>47</v>
      </c>
      <c r="D289" t="s">
        <v>28</v>
      </c>
      <c r="E289" t="s">
        <v>29</v>
      </c>
      <c r="F289" t="s">
        <v>36</v>
      </c>
      <c r="G289" s="6">
        <v>1143.29</v>
      </c>
      <c r="H289" s="7">
        <v>2.1000000000000001E-2</v>
      </c>
      <c r="I289" s="6">
        <v>24.01</v>
      </c>
      <c r="J289" s="6">
        <v>1167.3</v>
      </c>
      <c r="K289" t="s">
        <v>648</v>
      </c>
      <c r="L289" t="s">
        <v>649</v>
      </c>
    </row>
    <row r="290" spans="1:12" ht="15" customHeight="1" x14ac:dyDescent="0.25">
      <c r="A290">
        <v>289</v>
      </c>
      <c r="B290" s="5">
        <v>45926</v>
      </c>
      <c r="C290" t="s">
        <v>27</v>
      </c>
      <c r="D290" t="s">
        <v>34</v>
      </c>
      <c r="E290" t="s">
        <v>35</v>
      </c>
      <c r="F290" t="s">
        <v>87</v>
      </c>
      <c r="G290" s="6">
        <v>4387.97</v>
      </c>
      <c r="H290" s="7">
        <v>0.2</v>
      </c>
      <c r="I290" s="6">
        <v>877.59</v>
      </c>
      <c r="J290" s="6">
        <v>5265.56</v>
      </c>
      <c r="K290" t="s">
        <v>650</v>
      </c>
      <c r="L290" t="s">
        <v>651</v>
      </c>
    </row>
    <row r="291" spans="1:12" ht="15" customHeight="1" x14ac:dyDescent="0.25">
      <c r="A291">
        <v>290</v>
      </c>
      <c r="B291" s="5">
        <v>45917</v>
      </c>
      <c r="C291" t="s">
        <v>27</v>
      </c>
      <c r="D291" t="s">
        <v>79</v>
      </c>
      <c r="E291" t="s">
        <v>80</v>
      </c>
      <c r="F291" t="s">
        <v>36</v>
      </c>
      <c r="G291" s="6">
        <v>2529.35</v>
      </c>
      <c r="H291" s="7">
        <v>0.2</v>
      </c>
      <c r="I291" s="6">
        <v>505.87</v>
      </c>
      <c r="J291" s="6">
        <v>3035.22</v>
      </c>
      <c r="K291" t="s">
        <v>652</v>
      </c>
      <c r="L291" t="s">
        <v>653</v>
      </c>
    </row>
    <row r="292" spans="1:12" ht="15" customHeight="1" x14ac:dyDescent="0.25">
      <c r="A292">
        <v>291</v>
      </c>
      <c r="B292" s="5">
        <v>45849</v>
      </c>
      <c r="C292" t="s">
        <v>33</v>
      </c>
      <c r="D292" t="s">
        <v>181</v>
      </c>
      <c r="E292" t="s">
        <v>182</v>
      </c>
      <c r="F292" t="s">
        <v>39</v>
      </c>
      <c r="G292" s="6">
        <v>1201.1300000000001</v>
      </c>
      <c r="H292" s="7">
        <v>0.2</v>
      </c>
      <c r="I292" s="6">
        <v>240.23</v>
      </c>
      <c r="J292" s="6">
        <v>1441.36</v>
      </c>
      <c r="K292" t="s">
        <v>654</v>
      </c>
      <c r="L292" t="s">
        <v>655</v>
      </c>
    </row>
    <row r="293" spans="1:12" ht="15" customHeight="1" x14ac:dyDescent="0.25">
      <c r="A293">
        <v>292</v>
      </c>
      <c r="B293" s="5">
        <v>45994</v>
      </c>
      <c r="C293" t="s">
        <v>33</v>
      </c>
      <c r="D293" t="s">
        <v>55</v>
      </c>
      <c r="E293" t="s">
        <v>56</v>
      </c>
      <c r="F293" t="s">
        <v>84</v>
      </c>
      <c r="G293" s="6">
        <v>2856.9</v>
      </c>
      <c r="H293" s="7">
        <v>5.5E-2</v>
      </c>
      <c r="I293" s="6">
        <v>157.13</v>
      </c>
      <c r="J293" s="6">
        <v>3014.03</v>
      </c>
      <c r="K293" t="s">
        <v>656</v>
      </c>
      <c r="L293" t="s">
        <v>657</v>
      </c>
    </row>
    <row r="294" spans="1:12" ht="15" customHeight="1" x14ac:dyDescent="0.25">
      <c r="A294">
        <v>293</v>
      </c>
      <c r="B294" s="5">
        <v>45838</v>
      </c>
      <c r="C294" t="s">
        <v>47</v>
      </c>
      <c r="D294" t="s">
        <v>28</v>
      </c>
      <c r="E294" t="s">
        <v>29</v>
      </c>
      <c r="F294" t="s">
        <v>120</v>
      </c>
      <c r="G294" s="6">
        <v>2493.38</v>
      </c>
      <c r="H294" s="7">
        <v>2.1000000000000001E-2</v>
      </c>
      <c r="I294" s="6">
        <v>52.36</v>
      </c>
      <c r="J294" s="6">
        <v>2545.7399999999998</v>
      </c>
      <c r="K294" t="s">
        <v>658</v>
      </c>
      <c r="L294" t="s">
        <v>659</v>
      </c>
    </row>
    <row r="295" spans="1:12" ht="15" customHeight="1" x14ac:dyDescent="0.25">
      <c r="A295">
        <v>294</v>
      </c>
      <c r="B295" s="5">
        <v>46014</v>
      </c>
      <c r="C295" t="s">
        <v>27</v>
      </c>
      <c r="D295" t="s">
        <v>79</v>
      </c>
      <c r="E295" t="s">
        <v>80</v>
      </c>
      <c r="F295" t="s">
        <v>30</v>
      </c>
      <c r="G295" s="6">
        <v>2195.11</v>
      </c>
      <c r="H295" s="7">
        <v>0.2</v>
      </c>
      <c r="I295" s="6">
        <v>439.02</v>
      </c>
      <c r="J295" s="6">
        <v>2634.13</v>
      </c>
      <c r="K295" t="s">
        <v>660</v>
      </c>
      <c r="L295" t="s">
        <v>661</v>
      </c>
    </row>
    <row r="296" spans="1:12" ht="15" customHeight="1" x14ac:dyDescent="0.25">
      <c r="A296">
        <v>295</v>
      </c>
      <c r="B296" s="5">
        <v>45761</v>
      </c>
      <c r="C296" t="s">
        <v>33</v>
      </c>
      <c r="D296" t="s">
        <v>28</v>
      </c>
      <c r="E296" t="s">
        <v>29</v>
      </c>
      <c r="F296" t="s">
        <v>71</v>
      </c>
      <c r="G296" s="6">
        <v>273.62</v>
      </c>
      <c r="H296" s="7">
        <v>2.1000000000000001E-2</v>
      </c>
      <c r="I296" s="6">
        <v>5.75</v>
      </c>
      <c r="J296" s="6">
        <v>279.37</v>
      </c>
      <c r="K296" t="s">
        <v>662</v>
      </c>
      <c r="L296" t="s">
        <v>663</v>
      </c>
    </row>
    <row r="297" spans="1:12" ht="15" customHeight="1" x14ac:dyDescent="0.25">
      <c r="A297">
        <v>296</v>
      </c>
      <c r="B297" s="5">
        <v>45861</v>
      </c>
      <c r="C297" t="s">
        <v>47</v>
      </c>
      <c r="D297" t="s">
        <v>100</v>
      </c>
      <c r="E297" t="s">
        <v>101</v>
      </c>
      <c r="F297" t="s">
        <v>44</v>
      </c>
      <c r="G297" s="6">
        <v>3103.27</v>
      </c>
      <c r="H297" s="7">
        <v>0</v>
      </c>
      <c r="I297" s="6">
        <v>0</v>
      </c>
      <c r="J297" s="6">
        <v>3103.27</v>
      </c>
      <c r="K297" t="s">
        <v>664</v>
      </c>
      <c r="L297" t="s">
        <v>665</v>
      </c>
    </row>
    <row r="298" spans="1:12" ht="15" customHeight="1" x14ac:dyDescent="0.25">
      <c r="A298">
        <v>297</v>
      </c>
      <c r="B298" s="5">
        <v>45755</v>
      </c>
      <c r="C298" t="s">
        <v>33</v>
      </c>
      <c r="D298" t="s">
        <v>42</v>
      </c>
      <c r="E298" t="s">
        <v>43</v>
      </c>
      <c r="F298" t="s">
        <v>44</v>
      </c>
      <c r="G298" s="6">
        <v>3869.13</v>
      </c>
      <c r="H298" s="7">
        <v>0</v>
      </c>
      <c r="I298" s="6">
        <v>0</v>
      </c>
      <c r="J298" s="6">
        <v>3869.13</v>
      </c>
      <c r="K298" t="s">
        <v>666</v>
      </c>
      <c r="L298" t="s">
        <v>667</v>
      </c>
    </row>
    <row r="299" spans="1:12" ht="15" customHeight="1" x14ac:dyDescent="0.25">
      <c r="A299">
        <v>298</v>
      </c>
      <c r="B299" s="5">
        <v>45721</v>
      </c>
      <c r="C299" t="s">
        <v>27</v>
      </c>
      <c r="D299" t="s">
        <v>55</v>
      </c>
      <c r="E299" t="s">
        <v>56</v>
      </c>
      <c r="F299" t="s">
        <v>36</v>
      </c>
      <c r="G299" s="6">
        <v>3613.09</v>
      </c>
      <c r="H299" s="7">
        <v>5.5E-2</v>
      </c>
      <c r="I299" s="6">
        <v>198.72</v>
      </c>
      <c r="J299" s="6">
        <v>3811.81</v>
      </c>
      <c r="K299" t="s">
        <v>668</v>
      </c>
      <c r="L299" t="s">
        <v>669</v>
      </c>
    </row>
    <row r="300" spans="1:12" ht="15" customHeight="1" x14ac:dyDescent="0.25">
      <c r="A300">
        <v>299</v>
      </c>
      <c r="B300" s="5">
        <v>45855</v>
      </c>
      <c r="C300" t="s">
        <v>27</v>
      </c>
      <c r="D300" t="s">
        <v>79</v>
      </c>
      <c r="E300" t="s">
        <v>80</v>
      </c>
      <c r="F300" t="s">
        <v>30</v>
      </c>
      <c r="G300" s="6">
        <v>1578.54</v>
      </c>
      <c r="H300" s="7">
        <v>0.2</v>
      </c>
      <c r="I300" s="6">
        <v>315.70999999999998</v>
      </c>
      <c r="J300" s="6">
        <v>1894.25</v>
      </c>
      <c r="K300" t="s">
        <v>670</v>
      </c>
      <c r="L300" t="s">
        <v>671</v>
      </c>
    </row>
    <row r="301" spans="1:12" ht="15" customHeight="1" x14ac:dyDescent="0.25">
      <c r="A301">
        <v>300</v>
      </c>
      <c r="B301" s="5">
        <v>45923</v>
      </c>
      <c r="C301" t="s">
        <v>27</v>
      </c>
      <c r="D301" t="s">
        <v>79</v>
      </c>
      <c r="E301" t="s">
        <v>80</v>
      </c>
      <c r="F301" t="s">
        <v>87</v>
      </c>
      <c r="G301" s="6">
        <v>1258.9100000000001</v>
      </c>
      <c r="H301" s="7">
        <v>0.2</v>
      </c>
      <c r="I301" s="6">
        <v>251.78</v>
      </c>
      <c r="J301" s="6">
        <v>1510.69</v>
      </c>
      <c r="K301" t="s">
        <v>672</v>
      </c>
      <c r="L301" t="s">
        <v>673</v>
      </c>
    </row>
    <row r="302" spans="1:12" ht="15" customHeight="1" x14ac:dyDescent="0.25">
      <c r="A302">
        <v>301</v>
      </c>
      <c r="B302" s="5">
        <v>45966</v>
      </c>
      <c r="C302" t="s">
        <v>47</v>
      </c>
      <c r="D302" t="s">
        <v>28</v>
      </c>
      <c r="E302" t="s">
        <v>29</v>
      </c>
      <c r="F302" t="s">
        <v>30</v>
      </c>
      <c r="G302" s="6">
        <v>4478.33</v>
      </c>
      <c r="H302" s="7">
        <v>2.1000000000000001E-2</v>
      </c>
      <c r="I302" s="6">
        <v>94.04</v>
      </c>
      <c r="J302" s="6">
        <v>4572.37</v>
      </c>
      <c r="K302" t="s">
        <v>674</v>
      </c>
      <c r="L302" t="s">
        <v>675</v>
      </c>
    </row>
    <row r="303" spans="1:12" ht="15" customHeight="1" x14ac:dyDescent="0.25">
      <c r="A303">
        <v>302</v>
      </c>
      <c r="B303" s="5">
        <v>45698</v>
      </c>
      <c r="C303" t="s">
        <v>47</v>
      </c>
      <c r="D303" t="s">
        <v>55</v>
      </c>
      <c r="E303" t="s">
        <v>56</v>
      </c>
      <c r="F303" t="s">
        <v>174</v>
      </c>
      <c r="G303" s="6">
        <v>1529.41</v>
      </c>
      <c r="H303" s="7">
        <v>5.5E-2</v>
      </c>
      <c r="I303" s="6">
        <v>84.12</v>
      </c>
      <c r="J303" s="6">
        <v>1613.53</v>
      </c>
      <c r="K303" t="s">
        <v>676</v>
      </c>
      <c r="L303" t="s">
        <v>677</v>
      </c>
    </row>
    <row r="304" spans="1:12" ht="15" customHeight="1" x14ac:dyDescent="0.25">
      <c r="A304">
        <v>303</v>
      </c>
      <c r="B304" s="5">
        <v>45876</v>
      </c>
      <c r="C304" t="s">
        <v>47</v>
      </c>
      <c r="D304" t="s">
        <v>172</v>
      </c>
      <c r="E304" t="s">
        <v>173</v>
      </c>
      <c r="F304" t="s">
        <v>76</v>
      </c>
      <c r="G304" s="6">
        <v>816.57</v>
      </c>
      <c r="H304" s="7">
        <v>0.2</v>
      </c>
      <c r="I304" s="6">
        <v>163.31</v>
      </c>
      <c r="J304" s="6">
        <v>979.88</v>
      </c>
      <c r="K304" t="s">
        <v>678</v>
      </c>
      <c r="L304" t="s">
        <v>679</v>
      </c>
    </row>
    <row r="305" spans="1:13" ht="15" customHeight="1" x14ac:dyDescent="0.25">
      <c r="A305">
        <v>304</v>
      </c>
      <c r="B305" s="5">
        <v>45838</v>
      </c>
      <c r="C305" t="s">
        <v>47</v>
      </c>
      <c r="D305" t="s">
        <v>28</v>
      </c>
      <c r="E305" t="s">
        <v>29</v>
      </c>
      <c r="F305" t="s">
        <v>36</v>
      </c>
      <c r="G305" s="6">
        <v>2797.64</v>
      </c>
      <c r="H305" s="7">
        <v>2.1000000000000001E-2</v>
      </c>
      <c r="I305" s="6">
        <v>58.75</v>
      </c>
      <c r="J305" s="6">
        <v>2856.39</v>
      </c>
      <c r="K305" t="s">
        <v>680</v>
      </c>
      <c r="L305" t="s">
        <v>681</v>
      </c>
    </row>
    <row r="306" spans="1:13" ht="15" customHeight="1" x14ac:dyDescent="0.25">
      <c r="A306">
        <v>305</v>
      </c>
      <c r="B306" s="5">
        <v>45687</v>
      </c>
      <c r="C306" t="s">
        <v>27</v>
      </c>
      <c r="D306" t="s">
        <v>94</v>
      </c>
      <c r="E306" t="s">
        <v>95</v>
      </c>
      <c r="F306" t="s">
        <v>44</v>
      </c>
      <c r="G306" s="6">
        <v>2093.7800000000002</v>
      </c>
      <c r="H306" s="7">
        <v>0</v>
      </c>
      <c r="I306" s="6">
        <v>0</v>
      </c>
      <c r="J306" s="6">
        <v>2093.7800000000002</v>
      </c>
      <c r="K306" t="s">
        <v>682</v>
      </c>
      <c r="L306" t="s">
        <v>683</v>
      </c>
    </row>
    <row r="307" spans="1:13" ht="15" customHeight="1" x14ac:dyDescent="0.25">
      <c r="A307">
        <v>306</v>
      </c>
      <c r="B307" s="5">
        <v>45673</v>
      </c>
      <c r="C307" t="s">
        <v>27</v>
      </c>
      <c r="D307" t="s">
        <v>42</v>
      </c>
      <c r="E307" t="s">
        <v>43</v>
      </c>
      <c r="F307" t="s">
        <v>44</v>
      </c>
      <c r="G307" s="6">
        <v>3258.17</v>
      </c>
      <c r="H307" s="7">
        <v>0</v>
      </c>
      <c r="I307" s="6">
        <v>0</v>
      </c>
      <c r="J307" s="6">
        <v>3258.17</v>
      </c>
      <c r="K307" t="s">
        <v>684</v>
      </c>
      <c r="L307" t="s">
        <v>685</v>
      </c>
    </row>
    <row r="308" spans="1:13" ht="15" customHeight="1" x14ac:dyDescent="0.25">
      <c r="A308">
        <v>307</v>
      </c>
      <c r="B308" s="5">
        <v>45692</v>
      </c>
      <c r="C308" t="s">
        <v>47</v>
      </c>
      <c r="D308" t="s">
        <v>28</v>
      </c>
      <c r="E308" t="s">
        <v>29</v>
      </c>
      <c r="F308" t="s">
        <v>120</v>
      </c>
      <c r="G308" s="6">
        <v>1123.0999999999999</v>
      </c>
      <c r="H308" s="7">
        <v>2.1000000000000001E-2</v>
      </c>
      <c r="I308" s="6">
        <v>23.59</v>
      </c>
      <c r="J308" s="6">
        <v>1146.69</v>
      </c>
      <c r="K308" t="s">
        <v>686</v>
      </c>
      <c r="L308" t="s">
        <v>687</v>
      </c>
    </row>
    <row r="309" spans="1:13" ht="15" customHeight="1" x14ac:dyDescent="0.25">
      <c r="A309">
        <v>308</v>
      </c>
      <c r="B309" s="5">
        <v>45674</v>
      </c>
      <c r="C309" t="s">
        <v>47</v>
      </c>
      <c r="D309" t="s">
        <v>63</v>
      </c>
      <c r="E309" t="s">
        <v>64</v>
      </c>
      <c r="F309" t="s">
        <v>120</v>
      </c>
      <c r="G309" s="6">
        <v>2754.52</v>
      </c>
      <c r="H309" s="7">
        <v>0.2</v>
      </c>
      <c r="I309" s="6">
        <v>550.9</v>
      </c>
      <c r="J309" s="6">
        <v>3305.42</v>
      </c>
      <c r="K309" t="s">
        <v>688</v>
      </c>
      <c r="L309" t="s">
        <v>689</v>
      </c>
    </row>
    <row r="310" spans="1:13" ht="15" customHeight="1" x14ac:dyDescent="0.25">
      <c r="A310">
        <v>309</v>
      </c>
      <c r="B310" s="5">
        <v>45951</v>
      </c>
      <c r="C310" t="s">
        <v>47</v>
      </c>
      <c r="D310" t="s">
        <v>63</v>
      </c>
      <c r="E310" t="s">
        <v>64</v>
      </c>
      <c r="F310" t="s">
        <v>50</v>
      </c>
      <c r="G310" s="6">
        <v>688.61</v>
      </c>
      <c r="H310" s="7">
        <v>0.2</v>
      </c>
      <c r="I310" s="6">
        <v>137.72</v>
      </c>
      <c r="J310" s="6">
        <v>826.33</v>
      </c>
      <c r="K310" t="s">
        <v>690</v>
      </c>
      <c r="L310" t="s">
        <v>691</v>
      </c>
    </row>
    <row r="311" spans="1:13" ht="15" customHeight="1" x14ac:dyDescent="0.25">
      <c r="A311">
        <v>310</v>
      </c>
      <c r="B311" s="5">
        <v>45785</v>
      </c>
      <c r="C311" t="s">
        <v>47</v>
      </c>
      <c r="D311" t="s">
        <v>181</v>
      </c>
      <c r="E311" t="s">
        <v>182</v>
      </c>
      <c r="F311" t="s">
        <v>39</v>
      </c>
      <c r="G311" s="6">
        <v>4325.5</v>
      </c>
      <c r="H311" s="7">
        <v>0.2</v>
      </c>
      <c r="I311" s="6">
        <v>865.1</v>
      </c>
      <c r="J311" s="6">
        <v>5190.6000000000004</v>
      </c>
      <c r="K311" t="s">
        <v>692</v>
      </c>
      <c r="L311" t="s">
        <v>693</v>
      </c>
    </row>
    <row r="312" spans="1:13" ht="15" customHeight="1" x14ac:dyDescent="0.25">
      <c r="A312">
        <v>311</v>
      </c>
      <c r="B312" s="5">
        <v>45856</v>
      </c>
      <c r="C312" t="s">
        <v>33</v>
      </c>
      <c r="D312" t="s">
        <v>79</v>
      </c>
      <c r="E312" t="s">
        <v>80</v>
      </c>
      <c r="F312" t="s">
        <v>87</v>
      </c>
      <c r="G312" s="6">
        <v>4117.8599999999997</v>
      </c>
      <c r="H312" s="7">
        <v>0.2</v>
      </c>
      <c r="I312" s="6">
        <v>823.57</v>
      </c>
      <c r="J312" s="6">
        <v>4941.43</v>
      </c>
      <c r="K312" t="s">
        <v>694</v>
      </c>
      <c r="L312" t="s">
        <v>695</v>
      </c>
    </row>
    <row r="313" spans="1:13" ht="15" customHeight="1" x14ac:dyDescent="0.25">
      <c r="A313">
        <v>312</v>
      </c>
      <c r="B313" s="5">
        <v>45971</v>
      </c>
      <c r="C313" t="s">
        <v>47</v>
      </c>
      <c r="D313" t="s">
        <v>42</v>
      </c>
      <c r="E313" t="s">
        <v>43</v>
      </c>
      <c r="F313" t="s">
        <v>44</v>
      </c>
      <c r="G313" s="6">
        <v>3999.55</v>
      </c>
      <c r="H313" s="7">
        <v>0</v>
      </c>
      <c r="I313" s="6">
        <v>0</v>
      </c>
      <c r="J313" s="6">
        <v>3999.55</v>
      </c>
      <c r="K313" t="s">
        <v>696</v>
      </c>
      <c r="L313" t="s">
        <v>697</v>
      </c>
    </row>
    <row r="314" spans="1:13" ht="15" customHeight="1" x14ac:dyDescent="0.25">
      <c r="A314">
        <v>313</v>
      </c>
      <c r="B314" s="5">
        <v>45695</v>
      </c>
      <c r="C314" t="s">
        <v>33</v>
      </c>
      <c r="D314" t="s">
        <v>28</v>
      </c>
      <c r="E314" t="s">
        <v>29</v>
      </c>
      <c r="F314" t="s">
        <v>81</v>
      </c>
      <c r="G314" s="6">
        <v>2078.0300000000002</v>
      </c>
      <c r="H314" s="7">
        <v>2.1000000000000001E-2</v>
      </c>
      <c r="I314" s="6">
        <v>43.64</v>
      </c>
      <c r="J314" s="6">
        <v>2121.67</v>
      </c>
      <c r="K314" t="s">
        <v>698</v>
      </c>
      <c r="L314" t="s">
        <v>699</v>
      </c>
    </row>
    <row r="315" spans="1:13" ht="15" customHeight="1" x14ac:dyDescent="0.25">
      <c r="A315">
        <v>314</v>
      </c>
      <c r="B315" s="5">
        <v>45821</v>
      </c>
      <c r="C315" t="s">
        <v>33</v>
      </c>
      <c r="D315" t="s">
        <v>42</v>
      </c>
      <c r="E315" t="s">
        <v>43</v>
      </c>
      <c r="F315" t="s">
        <v>44</v>
      </c>
      <c r="G315" s="6">
        <v>3502.9</v>
      </c>
      <c r="H315" s="7">
        <v>0</v>
      </c>
      <c r="I315" s="6">
        <v>0</v>
      </c>
      <c r="J315" s="6">
        <v>3502.9</v>
      </c>
      <c r="K315" t="s">
        <v>700</v>
      </c>
      <c r="L315" t="s">
        <v>701</v>
      </c>
    </row>
    <row r="316" spans="1:13" ht="15" customHeight="1" x14ac:dyDescent="0.25">
      <c r="A316">
        <v>315</v>
      </c>
      <c r="B316" s="5">
        <v>45811</v>
      </c>
      <c r="C316" t="s">
        <v>27</v>
      </c>
      <c r="D316" t="s">
        <v>55</v>
      </c>
      <c r="E316" t="s">
        <v>56</v>
      </c>
      <c r="F316" t="s">
        <v>81</v>
      </c>
      <c r="G316" s="6">
        <v>3843.02</v>
      </c>
      <c r="H316" s="7">
        <v>5.5E-2</v>
      </c>
      <c r="I316" s="6">
        <v>211.37</v>
      </c>
      <c r="J316" s="6">
        <v>4054.39</v>
      </c>
      <c r="K316" t="s">
        <v>702</v>
      </c>
      <c r="L316" t="s">
        <v>703</v>
      </c>
      <c r="M316" t="s">
        <v>286</v>
      </c>
    </row>
    <row r="317" spans="1:13" ht="15" customHeight="1" x14ac:dyDescent="0.25">
      <c r="A317">
        <v>316</v>
      </c>
      <c r="B317" s="5">
        <v>45918</v>
      </c>
      <c r="C317" t="s">
        <v>27</v>
      </c>
      <c r="D317" t="s">
        <v>181</v>
      </c>
      <c r="E317" t="s">
        <v>182</v>
      </c>
      <c r="F317" t="s">
        <v>71</v>
      </c>
      <c r="G317" s="6">
        <v>1071.1500000000001</v>
      </c>
      <c r="H317" s="7">
        <v>0.2</v>
      </c>
      <c r="I317" s="6">
        <v>214.23</v>
      </c>
      <c r="J317" s="6">
        <v>1285.3800000000001</v>
      </c>
      <c r="K317" t="s">
        <v>704</v>
      </c>
      <c r="L317" t="s">
        <v>705</v>
      </c>
    </row>
    <row r="318" spans="1:13" ht="15" customHeight="1" x14ac:dyDescent="0.25">
      <c r="A318">
        <v>317</v>
      </c>
      <c r="B318" s="5">
        <v>45910</v>
      </c>
      <c r="C318" t="s">
        <v>33</v>
      </c>
      <c r="D318" t="s">
        <v>55</v>
      </c>
      <c r="E318" t="s">
        <v>56</v>
      </c>
      <c r="F318" t="s">
        <v>106</v>
      </c>
      <c r="G318" s="6">
        <v>196.18</v>
      </c>
      <c r="H318" s="7">
        <v>5.5E-2</v>
      </c>
      <c r="I318" s="6">
        <v>10.79</v>
      </c>
      <c r="J318" s="6">
        <v>206.97</v>
      </c>
      <c r="K318" t="s">
        <v>706</v>
      </c>
      <c r="L318" t="s">
        <v>707</v>
      </c>
    </row>
    <row r="319" spans="1:13" ht="15" customHeight="1" x14ac:dyDescent="0.25">
      <c r="A319">
        <v>318</v>
      </c>
      <c r="B319" s="5">
        <v>45940</v>
      </c>
      <c r="C319" t="s">
        <v>47</v>
      </c>
      <c r="D319" t="s">
        <v>79</v>
      </c>
      <c r="E319" t="s">
        <v>80</v>
      </c>
      <c r="F319" t="s">
        <v>87</v>
      </c>
      <c r="G319" s="6">
        <v>653.59</v>
      </c>
      <c r="H319" s="7">
        <v>0.2</v>
      </c>
      <c r="I319" s="6">
        <v>130.72</v>
      </c>
      <c r="J319" s="6">
        <v>784.31</v>
      </c>
      <c r="K319" t="s">
        <v>708</v>
      </c>
      <c r="L319" t="s">
        <v>709</v>
      </c>
    </row>
    <row r="320" spans="1:13" ht="15" customHeight="1" x14ac:dyDescent="0.25">
      <c r="A320">
        <v>319</v>
      </c>
      <c r="B320" s="5">
        <v>45903</v>
      </c>
      <c r="C320" t="s">
        <v>47</v>
      </c>
      <c r="D320" t="s">
        <v>63</v>
      </c>
      <c r="E320" t="s">
        <v>64</v>
      </c>
      <c r="F320" t="s">
        <v>36</v>
      </c>
      <c r="G320" s="6">
        <v>2403.5700000000002</v>
      </c>
      <c r="H320" s="7">
        <v>0.2</v>
      </c>
      <c r="I320" s="6">
        <v>480.71</v>
      </c>
      <c r="J320" s="6">
        <v>2884.28</v>
      </c>
      <c r="K320" t="s">
        <v>710</v>
      </c>
      <c r="L320" t="s">
        <v>711</v>
      </c>
    </row>
    <row r="321" spans="1:13" ht="15" customHeight="1" x14ac:dyDescent="0.25">
      <c r="A321">
        <v>320</v>
      </c>
      <c r="B321" s="5">
        <v>45820</v>
      </c>
      <c r="C321" t="s">
        <v>27</v>
      </c>
      <c r="D321" t="s">
        <v>28</v>
      </c>
      <c r="E321" t="s">
        <v>29</v>
      </c>
      <c r="F321" t="s">
        <v>76</v>
      </c>
      <c r="G321" s="6">
        <v>2919.14</v>
      </c>
      <c r="H321" s="7">
        <v>2.1000000000000001E-2</v>
      </c>
      <c r="I321" s="6">
        <v>61.3</v>
      </c>
      <c r="J321" s="6">
        <v>2980.44</v>
      </c>
      <c r="K321" t="s">
        <v>712</v>
      </c>
      <c r="L321" t="s">
        <v>713</v>
      </c>
    </row>
    <row r="322" spans="1:13" ht="15" customHeight="1" x14ac:dyDescent="0.25">
      <c r="A322">
        <v>321</v>
      </c>
      <c r="B322" s="5">
        <v>45723</v>
      </c>
      <c r="C322" t="s">
        <v>27</v>
      </c>
      <c r="D322" t="s">
        <v>172</v>
      </c>
      <c r="E322" t="s">
        <v>173</v>
      </c>
      <c r="F322" t="s">
        <v>106</v>
      </c>
      <c r="G322" s="6">
        <v>3960.58</v>
      </c>
      <c r="H322" s="7">
        <v>0.2</v>
      </c>
      <c r="I322" s="6">
        <v>792.12</v>
      </c>
      <c r="J322" s="6">
        <v>4752.7</v>
      </c>
      <c r="K322" t="s">
        <v>714</v>
      </c>
      <c r="L322" t="s">
        <v>715</v>
      </c>
    </row>
    <row r="323" spans="1:13" ht="15" customHeight="1" x14ac:dyDescent="0.25">
      <c r="A323">
        <v>322</v>
      </c>
      <c r="B323" s="5">
        <v>45915</v>
      </c>
      <c r="C323" t="s">
        <v>27</v>
      </c>
      <c r="D323" t="s">
        <v>28</v>
      </c>
      <c r="E323" t="s">
        <v>29</v>
      </c>
      <c r="F323" t="s">
        <v>39</v>
      </c>
      <c r="G323" s="6">
        <v>4105.3500000000004</v>
      </c>
      <c r="H323" s="7">
        <v>2.1000000000000001E-2</v>
      </c>
      <c r="I323" s="6">
        <v>86.21</v>
      </c>
      <c r="J323" s="6">
        <v>4191.5600000000004</v>
      </c>
      <c r="K323" t="s">
        <v>716</v>
      </c>
      <c r="L323" t="s">
        <v>717</v>
      </c>
    </row>
    <row r="324" spans="1:13" ht="15" customHeight="1" x14ac:dyDescent="0.25">
      <c r="A324">
        <v>323</v>
      </c>
      <c r="B324" s="5">
        <v>45813</v>
      </c>
      <c r="C324" t="s">
        <v>33</v>
      </c>
      <c r="D324" t="s">
        <v>172</v>
      </c>
      <c r="E324" t="s">
        <v>173</v>
      </c>
      <c r="F324" t="s">
        <v>50</v>
      </c>
      <c r="G324" s="6">
        <v>807.78</v>
      </c>
      <c r="H324" s="7">
        <v>0.2</v>
      </c>
      <c r="I324" s="6">
        <v>161.56</v>
      </c>
      <c r="J324" s="6">
        <v>969.34</v>
      </c>
      <c r="K324" t="s">
        <v>718</v>
      </c>
      <c r="L324" t="s">
        <v>719</v>
      </c>
    </row>
    <row r="325" spans="1:13" ht="15" customHeight="1" x14ac:dyDescent="0.25">
      <c r="A325">
        <v>324</v>
      </c>
      <c r="B325" s="5">
        <v>45923</v>
      </c>
      <c r="C325" t="s">
        <v>33</v>
      </c>
      <c r="D325" t="s">
        <v>55</v>
      </c>
      <c r="E325" t="s">
        <v>56</v>
      </c>
      <c r="F325" t="s">
        <v>87</v>
      </c>
      <c r="G325" s="6">
        <v>4035.57</v>
      </c>
      <c r="H325" s="7">
        <v>5.5E-2</v>
      </c>
      <c r="I325" s="6">
        <v>221.96</v>
      </c>
      <c r="J325" s="6">
        <v>4257.53</v>
      </c>
      <c r="K325" t="s">
        <v>720</v>
      </c>
      <c r="L325" t="s">
        <v>721</v>
      </c>
    </row>
    <row r="326" spans="1:13" ht="15" customHeight="1" x14ac:dyDescent="0.25">
      <c r="A326">
        <v>325</v>
      </c>
      <c r="B326" s="5">
        <v>45940</v>
      </c>
      <c r="C326" t="s">
        <v>33</v>
      </c>
      <c r="D326" t="s">
        <v>181</v>
      </c>
      <c r="E326" t="s">
        <v>182</v>
      </c>
      <c r="F326" t="s">
        <v>120</v>
      </c>
      <c r="G326" s="6">
        <v>1293.07</v>
      </c>
      <c r="H326" s="7">
        <v>0.2</v>
      </c>
      <c r="I326" s="6">
        <v>258.61</v>
      </c>
      <c r="J326" s="6">
        <v>1551.68</v>
      </c>
      <c r="K326" t="s">
        <v>722</v>
      </c>
      <c r="L326" t="s">
        <v>723</v>
      </c>
    </row>
    <row r="327" spans="1:13" ht="15" customHeight="1" x14ac:dyDescent="0.25">
      <c r="A327">
        <v>326</v>
      </c>
      <c r="B327" s="5">
        <v>45915</v>
      </c>
      <c r="C327" t="s">
        <v>27</v>
      </c>
      <c r="D327" t="s">
        <v>172</v>
      </c>
      <c r="E327" t="s">
        <v>173</v>
      </c>
      <c r="F327" t="s">
        <v>84</v>
      </c>
      <c r="G327" s="6">
        <v>3000</v>
      </c>
      <c r="H327" s="7">
        <v>0.2</v>
      </c>
      <c r="I327" s="6">
        <v>600</v>
      </c>
      <c r="J327" s="6">
        <v>3600</v>
      </c>
      <c r="K327" t="s">
        <v>724</v>
      </c>
      <c r="L327" t="s">
        <v>725</v>
      </c>
      <c r="M327" t="s">
        <v>143</v>
      </c>
    </row>
    <row r="328" spans="1:13" ht="15" customHeight="1" x14ac:dyDescent="0.25">
      <c r="A328">
        <v>327</v>
      </c>
      <c r="B328" s="5">
        <v>45967</v>
      </c>
      <c r="C328" t="s">
        <v>33</v>
      </c>
      <c r="D328" t="s">
        <v>28</v>
      </c>
      <c r="E328" t="s">
        <v>29</v>
      </c>
      <c r="F328" t="s">
        <v>84</v>
      </c>
      <c r="G328" s="6">
        <v>1572.28</v>
      </c>
      <c r="H328" s="7">
        <v>2.1000000000000001E-2</v>
      </c>
      <c r="I328" s="6">
        <v>33.020000000000003</v>
      </c>
      <c r="J328" s="6">
        <v>1605.3</v>
      </c>
      <c r="K328" t="s">
        <v>726</v>
      </c>
      <c r="L328" t="s">
        <v>727</v>
      </c>
    </row>
    <row r="329" spans="1:13" ht="15" customHeight="1" x14ac:dyDescent="0.25">
      <c r="A329">
        <v>328</v>
      </c>
      <c r="B329" s="5">
        <v>45986</v>
      </c>
      <c r="C329" t="s">
        <v>33</v>
      </c>
      <c r="D329" t="s">
        <v>28</v>
      </c>
      <c r="E329" t="s">
        <v>29</v>
      </c>
      <c r="F329" t="s">
        <v>174</v>
      </c>
      <c r="G329" s="6">
        <v>3487.92</v>
      </c>
      <c r="H329" s="7">
        <v>2.1000000000000001E-2</v>
      </c>
      <c r="I329" s="6">
        <v>73.25</v>
      </c>
      <c r="J329" s="6">
        <v>3561.17</v>
      </c>
      <c r="K329" t="s">
        <v>728</v>
      </c>
      <c r="L329" t="s">
        <v>729</v>
      </c>
    </row>
    <row r="330" spans="1:13" ht="15" customHeight="1" x14ac:dyDescent="0.25">
      <c r="A330">
        <v>329</v>
      </c>
      <c r="B330" s="5">
        <v>45974</v>
      </c>
      <c r="C330" t="s">
        <v>33</v>
      </c>
      <c r="D330" t="s">
        <v>42</v>
      </c>
      <c r="E330" t="s">
        <v>43</v>
      </c>
      <c r="F330" t="s">
        <v>44</v>
      </c>
      <c r="G330" s="6">
        <v>2995.29</v>
      </c>
      <c r="H330" s="7">
        <v>0</v>
      </c>
      <c r="I330" s="6">
        <v>0</v>
      </c>
      <c r="J330" s="6">
        <v>2995.29</v>
      </c>
      <c r="K330" t="s">
        <v>730</v>
      </c>
      <c r="L330" t="s">
        <v>731</v>
      </c>
    </row>
    <row r="331" spans="1:13" ht="15" customHeight="1" x14ac:dyDescent="0.25">
      <c r="A331">
        <v>330</v>
      </c>
      <c r="B331" s="5">
        <v>45812</v>
      </c>
      <c r="C331" t="s">
        <v>27</v>
      </c>
      <c r="D331" t="s">
        <v>55</v>
      </c>
      <c r="E331" t="s">
        <v>56</v>
      </c>
      <c r="F331" t="s">
        <v>120</v>
      </c>
      <c r="G331" s="6">
        <v>2214.62</v>
      </c>
      <c r="H331" s="7">
        <v>5.5E-2</v>
      </c>
      <c r="I331" s="6">
        <v>121.8</v>
      </c>
      <c r="J331" s="6">
        <v>2336.42</v>
      </c>
      <c r="K331" t="s">
        <v>732</v>
      </c>
      <c r="L331" t="s">
        <v>733</v>
      </c>
    </row>
    <row r="332" spans="1:13" ht="15" customHeight="1" x14ac:dyDescent="0.25">
      <c r="A332">
        <v>331</v>
      </c>
      <c r="B332" s="5">
        <v>46010</v>
      </c>
      <c r="C332" t="s">
        <v>47</v>
      </c>
      <c r="D332" t="s">
        <v>79</v>
      </c>
      <c r="E332" t="s">
        <v>80</v>
      </c>
      <c r="F332" t="s">
        <v>76</v>
      </c>
      <c r="G332" s="6">
        <v>344.82</v>
      </c>
      <c r="H332" s="7">
        <v>0.2</v>
      </c>
      <c r="I332" s="6">
        <v>68.959999999999994</v>
      </c>
      <c r="J332" s="6">
        <v>413.78</v>
      </c>
      <c r="K332" t="s">
        <v>734</v>
      </c>
      <c r="L332" t="s">
        <v>735</v>
      </c>
    </row>
    <row r="333" spans="1:13" ht="15" customHeight="1" x14ac:dyDescent="0.25">
      <c r="A333">
        <v>332</v>
      </c>
      <c r="B333" s="5">
        <v>45832</v>
      </c>
      <c r="C333" t="s">
        <v>47</v>
      </c>
      <c r="D333" t="s">
        <v>79</v>
      </c>
      <c r="E333" t="s">
        <v>80</v>
      </c>
      <c r="F333" t="s">
        <v>50</v>
      </c>
      <c r="G333" s="6">
        <v>2761.44</v>
      </c>
      <c r="H333" s="7">
        <v>0.2</v>
      </c>
      <c r="I333" s="6">
        <v>552.29</v>
      </c>
      <c r="J333" s="6">
        <v>3313.73</v>
      </c>
      <c r="K333" t="s">
        <v>736</v>
      </c>
      <c r="L333" t="s">
        <v>737</v>
      </c>
    </row>
    <row r="334" spans="1:13" ht="15" customHeight="1" x14ac:dyDescent="0.25">
      <c r="A334">
        <v>333</v>
      </c>
      <c r="B334" s="5">
        <v>45834</v>
      </c>
      <c r="C334" t="s">
        <v>47</v>
      </c>
      <c r="D334" t="s">
        <v>42</v>
      </c>
      <c r="E334" t="s">
        <v>43</v>
      </c>
      <c r="F334" t="s">
        <v>44</v>
      </c>
      <c r="G334" s="6">
        <v>2113.84</v>
      </c>
      <c r="H334" s="7">
        <v>0</v>
      </c>
      <c r="I334" s="6">
        <v>0</v>
      </c>
      <c r="J334" s="6">
        <v>2113.84</v>
      </c>
      <c r="K334" t="s">
        <v>738</v>
      </c>
      <c r="L334" t="s">
        <v>739</v>
      </c>
    </row>
    <row r="335" spans="1:13" ht="15" customHeight="1" x14ac:dyDescent="0.25">
      <c r="A335">
        <v>334</v>
      </c>
      <c r="B335" s="5">
        <v>45821</v>
      </c>
      <c r="C335" t="s">
        <v>27</v>
      </c>
      <c r="D335" t="s">
        <v>172</v>
      </c>
      <c r="E335" t="s">
        <v>173</v>
      </c>
      <c r="F335" t="s">
        <v>87</v>
      </c>
      <c r="G335" s="6">
        <v>1148.48</v>
      </c>
      <c r="H335" s="7">
        <v>0.2</v>
      </c>
      <c r="I335" s="6">
        <v>229.7</v>
      </c>
      <c r="J335" s="6">
        <v>1378.18</v>
      </c>
      <c r="K335" t="s">
        <v>740</v>
      </c>
      <c r="L335" t="s">
        <v>741</v>
      </c>
    </row>
    <row r="336" spans="1:13" ht="15" customHeight="1" x14ac:dyDescent="0.25">
      <c r="A336">
        <v>335</v>
      </c>
      <c r="B336" s="5">
        <v>45707</v>
      </c>
      <c r="C336" t="s">
        <v>47</v>
      </c>
      <c r="D336" t="s">
        <v>55</v>
      </c>
      <c r="E336" t="s">
        <v>56</v>
      </c>
      <c r="F336" t="s">
        <v>36</v>
      </c>
      <c r="G336" s="6">
        <v>303.68</v>
      </c>
      <c r="H336" s="7">
        <v>5.5E-2</v>
      </c>
      <c r="I336" s="6">
        <v>16.7</v>
      </c>
      <c r="J336" s="6">
        <v>320.38</v>
      </c>
      <c r="K336" t="s">
        <v>742</v>
      </c>
      <c r="L336" t="s">
        <v>743</v>
      </c>
    </row>
    <row r="337" spans="1:13" ht="15" customHeight="1" x14ac:dyDescent="0.25">
      <c r="A337">
        <v>336</v>
      </c>
      <c r="B337" s="5">
        <v>45825</v>
      </c>
      <c r="C337" t="s">
        <v>47</v>
      </c>
      <c r="D337" t="s">
        <v>55</v>
      </c>
      <c r="E337" t="s">
        <v>56</v>
      </c>
      <c r="F337" t="s">
        <v>81</v>
      </c>
      <c r="G337" s="6">
        <v>4207.18</v>
      </c>
      <c r="H337" s="7">
        <v>5.5E-2</v>
      </c>
      <c r="I337" s="6">
        <v>231.39</v>
      </c>
      <c r="J337" s="6">
        <v>4438.57</v>
      </c>
      <c r="K337" t="s">
        <v>744</v>
      </c>
      <c r="L337" t="s">
        <v>745</v>
      </c>
    </row>
    <row r="338" spans="1:13" ht="15" customHeight="1" x14ac:dyDescent="0.25">
      <c r="A338">
        <v>337</v>
      </c>
      <c r="B338" s="5">
        <v>45897</v>
      </c>
      <c r="C338" t="s">
        <v>33</v>
      </c>
      <c r="D338" t="s">
        <v>42</v>
      </c>
      <c r="E338" t="s">
        <v>43</v>
      </c>
      <c r="F338" t="s">
        <v>44</v>
      </c>
      <c r="G338" s="6">
        <v>2540.5</v>
      </c>
      <c r="H338" s="7">
        <v>0</v>
      </c>
      <c r="I338" s="6">
        <v>0</v>
      </c>
      <c r="J338" s="6">
        <v>2540.5</v>
      </c>
      <c r="K338" t="s">
        <v>746</v>
      </c>
      <c r="L338" t="s">
        <v>747</v>
      </c>
    </row>
    <row r="339" spans="1:13" ht="15" customHeight="1" x14ac:dyDescent="0.25">
      <c r="A339">
        <v>338</v>
      </c>
      <c r="B339" s="5">
        <v>45916</v>
      </c>
      <c r="C339" t="s">
        <v>33</v>
      </c>
      <c r="D339" t="s">
        <v>100</v>
      </c>
      <c r="E339" t="s">
        <v>101</v>
      </c>
      <c r="F339" t="s">
        <v>44</v>
      </c>
      <c r="G339" s="6">
        <v>2377.75</v>
      </c>
      <c r="H339" s="7">
        <v>0</v>
      </c>
      <c r="I339" s="6">
        <v>0</v>
      </c>
      <c r="J339" s="6">
        <v>2377.75</v>
      </c>
      <c r="K339" t="s">
        <v>748</v>
      </c>
      <c r="L339" t="s">
        <v>749</v>
      </c>
    </row>
    <row r="340" spans="1:13" ht="15" customHeight="1" x14ac:dyDescent="0.25">
      <c r="A340">
        <v>339</v>
      </c>
      <c r="B340" s="5">
        <v>45911</v>
      </c>
      <c r="C340" t="s">
        <v>47</v>
      </c>
      <c r="D340" t="s">
        <v>28</v>
      </c>
      <c r="E340" t="s">
        <v>29</v>
      </c>
      <c r="F340" t="s">
        <v>120</v>
      </c>
      <c r="G340" s="6">
        <v>2721.03</v>
      </c>
      <c r="H340" s="7">
        <v>2.1000000000000001E-2</v>
      </c>
      <c r="I340" s="6">
        <v>57.14</v>
      </c>
      <c r="J340" s="6">
        <v>2778.17</v>
      </c>
      <c r="K340" t="s">
        <v>750</v>
      </c>
      <c r="L340" t="s">
        <v>751</v>
      </c>
    </row>
    <row r="341" spans="1:13" ht="15" customHeight="1" x14ac:dyDescent="0.25">
      <c r="A341">
        <v>340</v>
      </c>
      <c r="B341" s="5">
        <v>45713</v>
      </c>
      <c r="C341" t="s">
        <v>47</v>
      </c>
      <c r="D341" t="s">
        <v>55</v>
      </c>
      <c r="E341" t="s">
        <v>56</v>
      </c>
      <c r="F341" t="s">
        <v>174</v>
      </c>
      <c r="G341" s="6">
        <v>1984.7</v>
      </c>
      <c r="H341" s="7">
        <v>5.5E-2</v>
      </c>
      <c r="I341" s="6">
        <v>109.16</v>
      </c>
      <c r="J341" s="6">
        <v>2093.86</v>
      </c>
      <c r="K341" t="s">
        <v>752</v>
      </c>
      <c r="L341" t="s">
        <v>753</v>
      </c>
    </row>
    <row r="342" spans="1:13" ht="15" customHeight="1" x14ac:dyDescent="0.25">
      <c r="A342">
        <v>341</v>
      </c>
      <c r="B342" s="5">
        <v>45845</v>
      </c>
      <c r="C342" t="s">
        <v>47</v>
      </c>
      <c r="D342" t="s">
        <v>42</v>
      </c>
      <c r="E342" t="s">
        <v>43</v>
      </c>
      <c r="F342" t="s">
        <v>44</v>
      </c>
      <c r="G342" s="6">
        <v>1922.78</v>
      </c>
      <c r="H342" s="7">
        <v>0</v>
      </c>
      <c r="I342" s="6">
        <v>0</v>
      </c>
      <c r="J342" s="6">
        <v>1922.78</v>
      </c>
      <c r="K342" t="s">
        <v>754</v>
      </c>
      <c r="L342" t="s">
        <v>755</v>
      </c>
    </row>
    <row r="343" spans="1:13" ht="15" customHeight="1" x14ac:dyDescent="0.25">
      <c r="A343">
        <v>342</v>
      </c>
      <c r="B343" s="5">
        <v>45805</v>
      </c>
      <c r="C343" t="s">
        <v>33</v>
      </c>
      <c r="D343" t="s">
        <v>55</v>
      </c>
      <c r="E343" t="s">
        <v>56</v>
      </c>
      <c r="F343" t="s">
        <v>106</v>
      </c>
      <c r="G343" s="6">
        <v>12000</v>
      </c>
      <c r="H343" s="7">
        <v>5.5E-2</v>
      </c>
      <c r="I343" s="6">
        <v>660</v>
      </c>
      <c r="J343" s="6">
        <v>12660</v>
      </c>
      <c r="K343" t="s">
        <v>756</v>
      </c>
      <c r="L343" t="s">
        <v>757</v>
      </c>
      <c r="M343" t="s">
        <v>143</v>
      </c>
    </row>
    <row r="344" spans="1:13" ht="15" customHeight="1" x14ac:dyDescent="0.25">
      <c r="A344">
        <v>343</v>
      </c>
      <c r="B344" s="5">
        <v>46006</v>
      </c>
      <c r="C344" t="s">
        <v>27</v>
      </c>
      <c r="D344" t="s">
        <v>55</v>
      </c>
      <c r="E344" t="s">
        <v>56</v>
      </c>
      <c r="F344" t="s">
        <v>30</v>
      </c>
      <c r="G344" s="6">
        <v>2780.81</v>
      </c>
      <c r="H344" s="7">
        <v>5.5E-2</v>
      </c>
      <c r="I344" s="6">
        <v>152.94</v>
      </c>
      <c r="J344" s="6">
        <v>2933.75</v>
      </c>
      <c r="K344" t="s">
        <v>758</v>
      </c>
      <c r="L344" t="s">
        <v>759</v>
      </c>
    </row>
    <row r="345" spans="1:13" ht="15" customHeight="1" x14ac:dyDescent="0.25">
      <c r="A345">
        <v>344</v>
      </c>
      <c r="B345" s="5">
        <v>45831</v>
      </c>
      <c r="C345" t="s">
        <v>47</v>
      </c>
      <c r="D345" t="s">
        <v>63</v>
      </c>
      <c r="E345" t="s">
        <v>64</v>
      </c>
      <c r="F345" t="s">
        <v>50</v>
      </c>
      <c r="G345" s="6">
        <v>2545.62</v>
      </c>
      <c r="H345" s="7">
        <v>0.2</v>
      </c>
      <c r="I345" s="6">
        <v>509.12</v>
      </c>
      <c r="J345" s="6">
        <v>3054.74</v>
      </c>
      <c r="K345" t="s">
        <v>760</v>
      </c>
      <c r="L345" t="s">
        <v>761</v>
      </c>
    </row>
    <row r="346" spans="1:13" ht="15" customHeight="1" x14ac:dyDescent="0.25">
      <c r="A346">
        <v>345</v>
      </c>
      <c r="B346" s="5">
        <v>45918</v>
      </c>
      <c r="C346" t="s">
        <v>33</v>
      </c>
      <c r="D346" t="s">
        <v>28</v>
      </c>
      <c r="E346" t="s">
        <v>29</v>
      </c>
      <c r="F346" t="s">
        <v>39</v>
      </c>
      <c r="G346" s="6">
        <v>1854.13</v>
      </c>
      <c r="H346" s="7">
        <v>2.1000000000000001E-2</v>
      </c>
      <c r="I346" s="6">
        <v>38.94</v>
      </c>
      <c r="J346" s="6">
        <v>1893.07</v>
      </c>
      <c r="K346" t="s">
        <v>762</v>
      </c>
      <c r="L346" t="s">
        <v>763</v>
      </c>
    </row>
    <row r="347" spans="1:13" ht="15" customHeight="1" x14ac:dyDescent="0.25">
      <c r="A347">
        <v>346</v>
      </c>
      <c r="B347" s="5">
        <v>45828</v>
      </c>
      <c r="C347" t="s">
        <v>33</v>
      </c>
      <c r="D347" t="s">
        <v>28</v>
      </c>
      <c r="E347" t="s">
        <v>29</v>
      </c>
      <c r="F347" t="s">
        <v>106</v>
      </c>
      <c r="G347" s="6">
        <v>3633.53</v>
      </c>
      <c r="H347" s="7">
        <v>2.1000000000000001E-2</v>
      </c>
      <c r="I347" s="6">
        <v>76.3</v>
      </c>
      <c r="J347" s="6">
        <v>3709.83</v>
      </c>
      <c r="K347" t="s">
        <v>764</v>
      </c>
      <c r="L347" t="s">
        <v>765</v>
      </c>
    </row>
    <row r="348" spans="1:13" ht="15" customHeight="1" x14ac:dyDescent="0.25">
      <c r="A348">
        <v>347</v>
      </c>
      <c r="B348" s="5">
        <v>45729</v>
      </c>
      <c r="C348" t="s">
        <v>33</v>
      </c>
      <c r="D348" t="s">
        <v>172</v>
      </c>
      <c r="E348" t="s">
        <v>173</v>
      </c>
      <c r="F348" t="s">
        <v>84</v>
      </c>
      <c r="G348" s="6">
        <v>1529.61</v>
      </c>
      <c r="H348" s="7">
        <v>0.2</v>
      </c>
      <c r="I348" s="6">
        <v>305.92</v>
      </c>
      <c r="J348" s="6">
        <v>1835.53</v>
      </c>
      <c r="K348" t="s">
        <v>766</v>
      </c>
      <c r="L348" t="s">
        <v>767</v>
      </c>
    </row>
    <row r="349" spans="1:13" ht="15" customHeight="1" x14ac:dyDescent="0.25">
      <c r="A349">
        <v>348</v>
      </c>
      <c r="B349" s="5">
        <v>45973</v>
      </c>
      <c r="C349" t="s">
        <v>33</v>
      </c>
      <c r="D349" t="s">
        <v>63</v>
      </c>
      <c r="E349" t="s">
        <v>64</v>
      </c>
      <c r="F349" t="s">
        <v>174</v>
      </c>
      <c r="G349" s="6">
        <v>3347.79</v>
      </c>
      <c r="H349" s="7">
        <v>0.2</v>
      </c>
      <c r="I349" s="6">
        <v>669.56</v>
      </c>
      <c r="J349" s="6">
        <v>4017.35</v>
      </c>
      <c r="K349" t="s">
        <v>768</v>
      </c>
      <c r="L349" t="s">
        <v>769</v>
      </c>
    </row>
    <row r="350" spans="1:13" ht="15" customHeight="1" x14ac:dyDescent="0.25">
      <c r="A350">
        <v>349</v>
      </c>
      <c r="B350" s="5">
        <v>45918</v>
      </c>
      <c r="C350" t="s">
        <v>47</v>
      </c>
      <c r="D350" t="s">
        <v>79</v>
      </c>
      <c r="E350" t="s">
        <v>80</v>
      </c>
      <c r="F350" t="s">
        <v>81</v>
      </c>
      <c r="G350" s="6">
        <v>2432.94</v>
      </c>
      <c r="H350" s="7">
        <v>0.2</v>
      </c>
      <c r="I350" s="6">
        <v>486.59</v>
      </c>
      <c r="J350" s="6">
        <v>2919.53</v>
      </c>
      <c r="K350" t="s">
        <v>770</v>
      </c>
      <c r="L350" t="s">
        <v>771</v>
      </c>
    </row>
    <row r="351" spans="1:13" ht="15" customHeight="1" x14ac:dyDescent="0.25">
      <c r="A351">
        <v>350</v>
      </c>
      <c r="B351" s="5">
        <v>45666</v>
      </c>
      <c r="C351" t="s">
        <v>47</v>
      </c>
      <c r="D351" t="s">
        <v>79</v>
      </c>
      <c r="E351" t="s">
        <v>80</v>
      </c>
      <c r="F351" t="s">
        <v>120</v>
      </c>
      <c r="G351" s="6">
        <v>1708.14</v>
      </c>
      <c r="H351" s="7">
        <v>0</v>
      </c>
      <c r="I351" s="6">
        <v>0</v>
      </c>
      <c r="J351" s="6">
        <v>1708.14</v>
      </c>
      <c r="K351" t="s">
        <v>772</v>
      </c>
      <c r="L351" t="s">
        <v>773</v>
      </c>
      <c r="M351" t="s">
        <v>447</v>
      </c>
    </row>
    <row r="352" spans="1:13" ht="15" customHeight="1" x14ac:dyDescent="0.25">
      <c r="A352">
        <v>351</v>
      </c>
      <c r="B352" s="5">
        <v>46010</v>
      </c>
      <c r="C352" t="s">
        <v>47</v>
      </c>
      <c r="D352" t="s">
        <v>172</v>
      </c>
      <c r="E352" t="s">
        <v>173</v>
      </c>
      <c r="F352" t="s">
        <v>84</v>
      </c>
      <c r="G352" s="6">
        <v>2861.33</v>
      </c>
      <c r="H352" s="7">
        <v>0.2</v>
      </c>
      <c r="I352" s="6">
        <v>572.27</v>
      </c>
      <c r="J352" s="6">
        <v>3433.6</v>
      </c>
      <c r="K352" t="s">
        <v>774</v>
      </c>
      <c r="L352" t="s">
        <v>775</v>
      </c>
    </row>
    <row r="353" spans="1:12" ht="15" customHeight="1" x14ac:dyDescent="0.25">
      <c r="A353">
        <v>352</v>
      </c>
      <c r="B353" s="5">
        <v>45954</v>
      </c>
      <c r="C353" t="s">
        <v>47</v>
      </c>
      <c r="D353" t="s">
        <v>94</v>
      </c>
      <c r="E353" t="s">
        <v>95</v>
      </c>
      <c r="F353" t="s">
        <v>44</v>
      </c>
      <c r="G353" s="6">
        <v>2303.5</v>
      </c>
      <c r="H353" s="7">
        <v>0</v>
      </c>
      <c r="I353" s="6">
        <v>0</v>
      </c>
      <c r="J353" s="6">
        <v>2303.5</v>
      </c>
      <c r="K353" t="s">
        <v>776</v>
      </c>
      <c r="L353" t="s">
        <v>777</v>
      </c>
    </row>
    <row r="354" spans="1:12" ht="15" customHeight="1" x14ac:dyDescent="0.25">
      <c r="A354">
        <v>353</v>
      </c>
      <c r="B354" s="5">
        <v>45980</v>
      </c>
      <c r="C354" t="s">
        <v>47</v>
      </c>
      <c r="D354" t="s">
        <v>28</v>
      </c>
      <c r="E354" t="s">
        <v>29</v>
      </c>
      <c r="F354" t="s">
        <v>36</v>
      </c>
      <c r="G354" s="6">
        <v>3267.63</v>
      </c>
      <c r="H354" s="7">
        <v>2.1000000000000001E-2</v>
      </c>
      <c r="I354" s="6">
        <v>68.62</v>
      </c>
      <c r="J354" s="6">
        <v>3336.25</v>
      </c>
      <c r="K354" t="s">
        <v>778</v>
      </c>
      <c r="L354" t="s">
        <v>779</v>
      </c>
    </row>
    <row r="355" spans="1:12" ht="15" customHeight="1" x14ac:dyDescent="0.25">
      <c r="A355">
        <v>354</v>
      </c>
      <c r="B355" s="5">
        <v>45951</v>
      </c>
      <c r="C355" t="s">
        <v>27</v>
      </c>
      <c r="D355" t="s">
        <v>55</v>
      </c>
      <c r="E355" t="s">
        <v>56</v>
      </c>
      <c r="F355" t="s">
        <v>87</v>
      </c>
      <c r="G355" s="6">
        <v>4271.07</v>
      </c>
      <c r="H355" s="7">
        <v>5.5E-2</v>
      </c>
      <c r="I355" s="6">
        <v>234.91</v>
      </c>
      <c r="J355" s="6">
        <v>4505.9799999999996</v>
      </c>
      <c r="K355" t="s">
        <v>780</v>
      </c>
      <c r="L355" t="s">
        <v>781</v>
      </c>
    </row>
    <row r="356" spans="1:12" ht="15" customHeight="1" x14ac:dyDescent="0.25">
      <c r="A356">
        <v>355</v>
      </c>
      <c r="B356" s="5">
        <v>45735</v>
      </c>
      <c r="C356" t="s">
        <v>33</v>
      </c>
      <c r="D356" t="s">
        <v>79</v>
      </c>
      <c r="E356" t="s">
        <v>80</v>
      </c>
      <c r="F356" t="s">
        <v>71</v>
      </c>
      <c r="G356" s="6">
        <v>1905.28</v>
      </c>
      <c r="H356" s="7">
        <v>0.2</v>
      </c>
      <c r="I356" s="6">
        <v>381.06</v>
      </c>
      <c r="J356" s="6">
        <v>2286.34</v>
      </c>
      <c r="K356" t="s">
        <v>782</v>
      </c>
      <c r="L356" t="s">
        <v>783</v>
      </c>
    </row>
    <row r="357" spans="1:12" ht="15" customHeight="1" x14ac:dyDescent="0.25">
      <c r="A357">
        <v>356</v>
      </c>
      <c r="B357" s="5">
        <v>45728</v>
      </c>
      <c r="C357" t="s">
        <v>27</v>
      </c>
      <c r="D357" t="s">
        <v>42</v>
      </c>
      <c r="E357" t="s">
        <v>43</v>
      </c>
      <c r="F357" t="s">
        <v>44</v>
      </c>
      <c r="G357" s="6">
        <v>3146.13</v>
      </c>
      <c r="H357" s="7">
        <v>0</v>
      </c>
      <c r="I357" s="6">
        <v>0</v>
      </c>
      <c r="J357" s="6">
        <v>3146.13</v>
      </c>
      <c r="K357" t="s">
        <v>784</v>
      </c>
      <c r="L357" t="s">
        <v>785</v>
      </c>
    </row>
    <row r="358" spans="1:12" ht="15" customHeight="1" x14ac:dyDescent="0.25">
      <c r="A358">
        <v>357</v>
      </c>
      <c r="B358" s="5">
        <v>45818</v>
      </c>
      <c r="C358" t="s">
        <v>47</v>
      </c>
      <c r="D358" t="s">
        <v>172</v>
      </c>
      <c r="E358" t="s">
        <v>173</v>
      </c>
      <c r="F358" t="s">
        <v>76</v>
      </c>
      <c r="G358" s="6">
        <v>4308.55</v>
      </c>
      <c r="H358" s="7">
        <v>0.2</v>
      </c>
      <c r="I358" s="6">
        <v>861.71</v>
      </c>
      <c r="J358" s="6">
        <v>5170.26</v>
      </c>
      <c r="K358" t="s">
        <v>786</v>
      </c>
      <c r="L358" t="s">
        <v>787</v>
      </c>
    </row>
    <row r="359" spans="1:12" ht="15" customHeight="1" x14ac:dyDescent="0.25">
      <c r="A359">
        <v>358</v>
      </c>
      <c r="B359" s="5">
        <v>46006</v>
      </c>
      <c r="C359" t="s">
        <v>47</v>
      </c>
      <c r="D359" t="s">
        <v>172</v>
      </c>
      <c r="E359" t="s">
        <v>173</v>
      </c>
      <c r="F359" t="s">
        <v>81</v>
      </c>
      <c r="G359" s="6">
        <v>2923.43</v>
      </c>
      <c r="H359" s="7">
        <v>0.2</v>
      </c>
      <c r="I359" s="6">
        <v>584.69000000000005</v>
      </c>
      <c r="J359" s="6">
        <v>3508.12</v>
      </c>
      <c r="K359" t="s">
        <v>788</v>
      </c>
      <c r="L359" t="s">
        <v>789</v>
      </c>
    </row>
    <row r="360" spans="1:12" ht="15" customHeight="1" x14ac:dyDescent="0.25">
      <c r="A360">
        <v>359</v>
      </c>
      <c r="B360" s="5">
        <v>45784</v>
      </c>
      <c r="C360" t="s">
        <v>27</v>
      </c>
      <c r="D360" t="s">
        <v>79</v>
      </c>
      <c r="E360" t="s">
        <v>80</v>
      </c>
      <c r="F360" t="s">
        <v>174</v>
      </c>
      <c r="G360" s="6">
        <v>1313.21</v>
      </c>
      <c r="H360" s="7">
        <v>0.2</v>
      </c>
      <c r="I360" s="6">
        <v>262.64</v>
      </c>
      <c r="J360" s="6">
        <v>1575.85</v>
      </c>
      <c r="K360" t="s">
        <v>790</v>
      </c>
      <c r="L360" t="s">
        <v>791</v>
      </c>
    </row>
    <row r="361" spans="1:12" ht="15" customHeight="1" x14ac:dyDescent="0.25">
      <c r="A361">
        <v>360</v>
      </c>
      <c r="B361" s="5">
        <v>45764</v>
      </c>
      <c r="C361" t="s">
        <v>47</v>
      </c>
      <c r="D361" t="s">
        <v>42</v>
      </c>
      <c r="E361" t="s">
        <v>43</v>
      </c>
      <c r="F361" t="s">
        <v>44</v>
      </c>
      <c r="G361" s="6">
        <v>2973.61</v>
      </c>
      <c r="H361" s="7">
        <v>0</v>
      </c>
      <c r="I361" s="6">
        <v>0</v>
      </c>
      <c r="J361" s="6">
        <v>2973.61</v>
      </c>
      <c r="K361" t="s">
        <v>792</v>
      </c>
      <c r="L361" t="s">
        <v>793</v>
      </c>
    </row>
    <row r="362" spans="1:12" ht="15" customHeight="1" x14ac:dyDescent="0.25">
      <c r="A362">
        <v>361</v>
      </c>
      <c r="B362" s="5">
        <v>45798</v>
      </c>
      <c r="C362" t="s">
        <v>47</v>
      </c>
      <c r="D362" t="s">
        <v>172</v>
      </c>
      <c r="E362" t="s">
        <v>173</v>
      </c>
      <c r="F362" t="s">
        <v>84</v>
      </c>
      <c r="G362" s="6">
        <v>1352.03</v>
      </c>
      <c r="H362" s="7">
        <v>0.2</v>
      </c>
      <c r="I362" s="6">
        <v>270.41000000000003</v>
      </c>
      <c r="J362" s="6">
        <v>1622.44</v>
      </c>
      <c r="K362" t="s">
        <v>794</v>
      </c>
      <c r="L362" t="s">
        <v>795</v>
      </c>
    </row>
    <row r="363" spans="1:12" ht="15" customHeight="1" x14ac:dyDescent="0.25">
      <c r="A363">
        <v>362</v>
      </c>
      <c r="B363" s="5">
        <v>45860</v>
      </c>
      <c r="C363" t="s">
        <v>27</v>
      </c>
      <c r="D363" t="s">
        <v>63</v>
      </c>
      <c r="E363" t="s">
        <v>64</v>
      </c>
      <c r="F363" t="s">
        <v>30</v>
      </c>
      <c r="G363" s="6">
        <v>3697.23</v>
      </c>
      <c r="H363" s="7">
        <v>0.2</v>
      </c>
      <c r="I363" s="6">
        <v>739.45</v>
      </c>
      <c r="J363" s="6">
        <v>4436.68</v>
      </c>
      <c r="K363" t="s">
        <v>796</v>
      </c>
      <c r="L363" t="s">
        <v>797</v>
      </c>
    </row>
    <row r="364" spans="1:12" ht="15" customHeight="1" x14ac:dyDescent="0.25">
      <c r="A364">
        <v>363</v>
      </c>
      <c r="B364" s="5">
        <v>45698</v>
      </c>
      <c r="C364" t="s">
        <v>33</v>
      </c>
      <c r="D364" t="s">
        <v>55</v>
      </c>
      <c r="E364" t="s">
        <v>56</v>
      </c>
      <c r="F364" t="s">
        <v>76</v>
      </c>
      <c r="G364" s="6">
        <v>1610.93</v>
      </c>
      <c r="H364" s="7">
        <v>5.5E-2</v>
      </c>
      <c r="I364" s="6">
        <v>88.6</v>
      </c>
      <c r="J364" s="6">
        <v>1699.53</v>
      </c>
      <c r="K364" t="s">
        <v>798</v>
      </c>
      <c r="L364" t="s">
        <v>799</v>
      </c>
    </row>
    <row r="365" spans="1:12" ht="15" customHeight="1" x14ac:dyDescent="0.25">
      <c r="A365">
        <v>364</v>
      </c>
      <c r="B365" s="5">
        <v>45761</v>
      </c>
      <c r="C365" t="s">
        <v>47</v>
      </c>
      <c r="D365" t="s">
        <v>42</v>
      </c>
      <c r="E365" t="s">
        <v>43</v>
      </c>
      <c r="F365" t="s">
        <v>44</v>
      </c>
      <c r="G365" s="6">
        <v>2450.7199999999998</v>
      </c>
      <c r="H365" s="7">
        <v>0</v>
      </c>
      <c r="I365" s="6">
        <v>0</v>
      </c>
      <c r="J365" s="6">
        <v>2450.7199999999998</v>
      </c>
      <c r="K365" t="s">
        <v>800</v>
      </c>
      <c r="L365" t="s">
        <v>801</v>
      </c>
    </row>
    <row r="366" spans="1:12" ht="15" customHeight="1" x14ac:dyDescent="0.25">
      <c r="A366">
        <v>365</v>
      </c>
      <c r="B366" s="5">
        <v>45713</v>
      </c>
      <c r="C366" t="s">
        <v>27</v>
      </c>
      <c r="D366" t="s">
        <v>55</v>
      </c>
      <c r="E366" t="s">
        <v>56</v>
      </c>
      <c r="F366" t="s">
        <v>84</v>
      </c>
      <c r="G366" s="6">
        <v>2801.29</v>
      </c>
      <c r="H366" s="7">
        <v>5.5E-2</v>
      </c>
      <c r="I366" s="6">
        <v>154.07</v>
      </c>
      <c r="J366" s="6">
        <v>2955.36</v>
      </c>
      <c r="K366" t="s">
        <v>802</v>
      </c>
      <c r="L366" t="s">
        <v>803</v>
      </c>
    </row>
    <row r="367" spans="1:12" ht="15" customHeight="1" x14ac:dyDescent="0.25">
      <c r="A367">
        <v>366</v>
      </c>
      <c r="B367" s="5">
        <v>45929</v>
      </c>
      <c r="C367" t="s">
        <v>33</v>
      </c>
      <c r="D367" t="s">
        <v>28</v>
      </c>
      <c r="E367" t="s">
        <v>29</v>
      </c>
      <c r="F367" t="s">
        <v>71</v>
      </c>
      <c r="G367" s="6">
        <v>1077.47</v>
      </c>
      <c r="H367" s="7">
        <v>2.1000000000000001E-2</v>
      </c>
      <c r="I367" s="6">
        <v>22.63</v>
      </c>
      <c r="J367" s="6">
        <v>1100.0999999999999</v>
      </c>
      <c r="K367" t="s">
        <v>804</v>
      </c>
      <c r="L367" t="s">
        <v>805</v>
      </c>
    </row>
    <row r="368" spans="1:12" ht="15" customHeight="1" x14ac:dyDescent="0.25">
      <c r="A368">
        <v>367</v>
      </c>
      <c r="B368" s="5">
        <v>45709</v>
      </c>
      <c r="C368" t="s">
        <v>33</v>
      </c>
      <c r="D368" t="s">
        <v>63</v>
      </c>
      <c r="E368" t="s">
        <v>64</v>
      </c>
      <c r="F368" t="s">
        <v>30</v>
      </c>
      <c r="G368" s="6">
        <v>3090.87</v>
      </c>
      <c r="H368" s="7">
        <v>0.2</v>
      </c>
      <c r="I368" s="6">
        <v>618.16999999999996</v>
      </c>
      <c r="J368" s="6">
        <v>3709.04</v>
      </c>
      <c r="K368" t="s">
        <v>806</v>
      </c>
      <c r="L368" t="s">
        <v>807</v>
      </c>
    </row>
    <row r="369" spans="1:12" ht="15" customHeight="1" x14ac:dyDescent="0.25">
      <c r="A369">
        <v>368</v>
      </c>
      <c r="B369" s="5">
        <v>45866</v>
      </c>
      <c r="C369" t="s">
        <v>27</v>
      </c>
      <c r="D369" t="s">
        <v>94</v>
      </c>
      <c r="E369" t="s">
        <v>95</v>
      </c>
      <c r="F369" t="s">
        <v>44</v>
      </c>
      <c r="G369" s="6">
        <v>2701.62</v>
      </c>
      <c r="H369" s="7">
        <v>0</v>
      </c>
      <c r="I369" s="6">
        <v>0</v>
      </c>
      <c r="J369" s="6">
        <v>2701.62</v>
      </c>
      <c r="K369" t="s">
        <v>808</v>
      </c>
      <c r="L369" t="s">
        <v>809</v>
      </c>
    </row>
    <row r="370" spans="1:12" ht="15" customHeight="1" x14ac:dyDescent="0.25">
      <c r="A370">
        <v>369</v>
      </c>
      <c r="B370" s="5">
        <v>45805</v>
      </c>
      <c r="C370" t="s">
        <v>47</v>
      </c>
      <c r="D370" t="s">
        <v>34</v>
      </c>
      <c r="E370" t="s">
        <v>35</v>
      </c>
      <c r="F370" t="s">
        <v>120</v>
      </c>
      <c r="G370" s="6">
        <v>1499.56</v>
      </c>
      <c r="H370" s="7">
        <v>0.2</v>
      </c>
      <c r="I370" s="6">
        <v>299.91000000000003</v>
      </c>
      <c r="J370" s="6">
        <v>1799.47</v>
      </c>
      <c r="K370" t="s">
        <v>810</v>
      </c>
      <c r="L370" t="s">
        <v>811</v>
      </c>
    </row>
    <row r="371" spans="1:12" ht="15" customHeight="1" x14ac:dyDescent="0.25">
      <c r="A371">
        <v>370</v>
      </c>
      <c r="B371" s="5">
        <v>45776</v>
      </c>
      <c r="C371" t="s">
        <v>33</v>
      </c>
      <c r="D371" t="s">
        <v>34</v>
      </c>
      <c r="E371" t="s">
        <v>35</v>
      </c>
      <c r="F371" t="s">
        <v>81</v>
      </c>
      <c r="G371" s="6">
        <v>2445.37</v>
      </c>
      <c r="H371" s="7">
        <v>0.2</v>
      </c>
      <c r="I371" s="6">
        <v>489.07</v>
      </c>
      <c r="J371" s="6">
        <v>2934.44</v>
      </c>
      <c r="K371" t="s">
        <v>812</v>
      </c>
      <c r="L371" t="s">
        <v>813</v>
      </c>
    </row>
    <row r="372" spans="1:12" ht="15" customHeight="1" x14ac:dyDescent="0.25">
      <c r="A372">
        <v>371</v>
      </c>
      <c r="B372" s="5">
        <v>45747</v>
      </c>
      <c r="C372" t="s">
        <v>33</v>
      </c>
      <c r="D372" t="s">
        <v>100</v>
      </c>
      <c r="E372" t="s">
        <v>101</v>
      </c>
      <c r="F372" t="s">
        <v>44</v>
      </c>
      <c r="G372" s="6">
        <v>3810.25</v>
      </c>
      <c r="H372" s="7">
        <v>0</v>
      </c>
      <c r="I372" s="6">
        <v>0</v>
      </c>
      <c r="J372" s="6">
        <v>3810.25</v>
      </c>
      <c r="K372" t="s">
        <v>814</v>
      </c>
      <c r="L372" t="s">
        <v>815</v>
      </c>
    </row>
    <row r="373" spans="1:12" ht="15" customHeight="1" x14ac:dyDescent="0.25">
      <c r="A373">
        <v>372</v>
      </c>
      <c r="B373" s="5">
        <v>45806</v>
      </c>
      <c r="C373" t="s">
        <v>47</v>
      </c>
      <c r="D373" t="s">
        <v>42</v>
      </c>
      <c r="E373" t="s">
        <v>43</v>
      </c>
      <c r="F373" t="s">
        <v>44</v>
      </c>
      <c r="G373" s="6">
        <v>1822.24</v>
      </c>
      <c r="H373" s="7">
        <v>0</v>
      </c>
      <c r="I373" s="6">
        <v>0</v>
      </c>
      <c r="J373" s="6">
        <v>1822.24</v>
      </c>
      <c r="K373" t="s">
        <v>816</v>
      </c>
      <c r="L373" t="s">
        <v>817</v>
      </c>
    </row>
    <row r="374" spans="1:12" ht="15" customHeight="1" x14ac:dyDescent="0.25">
      <c r="A374">
        <v>373</v>
      </c>
      <c r="B374" s="5">
        <v>45803</v>
      </c>
      <c r="C374" t="s">
        <v>27</v>
      </c>
      <c r="D374" t="s">
        <v>28</v>
      </c>
      <c r="E374" t="s">
        <v>29</v>
      </c>
      <c r="F374" t="s">
        <v>120</v>
      </c>
      <c r="G374" s="6">
        <v>2088.2199999999998</v>
      </c>
      <c r="H374" s="7">
        <v>2.1000000000000001E-2</v>
      </c>
      <c r="I374" s="6">
        <v>43.85</v>
      </c>
      <c r="J374" s="6">
        <v>2132.0700000000002</v>
      </c>
      <c r="K374" t="s">
        <v>818</v>
      </c>
      <c r="L374" t="s">
        <v>819</v>
      </c>
    </row>
    <row r="375" spans="1:12" ht="15" customHeight="1" x14ac:dyDescent="0.25">
      <c r="A375">
        <v>374</v>
      </c>
      <c r="B375" s="5">
        <v>45726</v>
      </c>
      <c r="C375" t="s">
        <v>27</v>
      </c>
      <c r="D375" t="s">
        <v>79</v>
      </c>
      <c r="E375" t="s">
        <v>80</v>
      </c>
      <c r="F375" t="s">
        <v>76</v>
      </c>
      <c r="G375" s="6">
        <v>3841.68</v>
      </c>
      <c r="H375" s="7">
        <v>0.2</v>
      </c>
      <c r="I375" s="6">
        <v>768.34</v>
      </c>
      <c r="J375" s="6">
        <v>4610.0200000000004</v>
      </c>
      <c r="K375" t="s">
        <v>820</v>
      </c>
      <c r="L375" t="s">
        <v>821</v>
      </c>
    </row>
    <row r="376" spans="1:12" ht="15" customHeight="1" x14ac:dyDescent="0.25">
      <c r="A376">
        <v>375</v>
      </c>
      <c r="B376" s="5">
        <v>45827</v>
      </c>
      <c r="C376" t="s">
        <v>33</v>
      </c>
      <c r="D376" t="s">
        <v>42</v>
      </c>
      <c r="E376" t="s">
        <v>43</v>
      </c>
      <c r="F376" t="s">
        <v>44</v>
      </c>
      <c r="G376" s="6">
        <v>2901.39</v>
      </c>
      <c r="H376" s="7">
        <v>0</v>
      </c>
      <c r="I376" s="6">
        <v>0</v>
      </c>
      <c r="J376" s="6">
        <v>2901.39</v>
      </c>
      <c r="K376" t="s">
        <v>822</v>
      </c>
      <c r="L376" t="s">
        <v>823</v>
      </c>
    </row>
    <row r="377" spans="1:12" ht="15" customHeight="1" x14ac:dyDescent="0.25">
      <c r="A377">
        <v>376</v>
      </c>
      <c r="B377" s="5">
        <v>46003</v>
      </c>
      <c r="C377" t="s">
        <v>27</v>
      </c>
      <c r="D377" t="s">
        <v>28</v>
      </c>
      <c r="E377" t="s">
        <v>29</v>
      </c>
      <c r="F377" t="s">
        <v>30</v>
      </c>
      <c r="G377" s="6">
        <v>3427.19</v>
      </c>
      <c r="H377" s="7">
        <v>2.1000000000000001E-2</v>
      </c>
      <c r="I377" s="6">
        <v>71.97</v>
      </c>
      <c r="J377" s="6">
        <v>3499.16</v>
      </c>
      <c r="K377" t="s">
        <v>824</v>
      </c>
      <c r="L377" t="s">
        <v>825</v>
      </c>
    </row>
    <row r="378" spans="1:12" ht="15" customHeight="1" x14ac:dyDescent="0.25">
      <c r="A378">
        <v>377</v>
      </c>
      <c r="B378" s="5">
        <v>45876</v>
      </c>
      <c r="C378" t="s">
        <v>27</v>
      </c>
      <c r="D378" t="s">
        <v>100</v>
      </c>
      <c r="E378" t="s">
        <v>101</v>
      </c>
      <c r="F378" t="s">
        <v>44</v>
      </c>
      <c r="G378" s="6">
        <v>2008.17</v>
      </c>
      <c r="H378" s="7">
        <v>0</v>
      </c>
      <c r="I378" s="6">
        <v>0</v>
      </c>
      <c r="J378" s="6">
        <v>2008.17</v>
      </c>
      <c r="K378" t="s">
        <v>826</v>
      </c>
      <c r="L378" t="s">
        <v>827</v>
      </c>
    </row>
    <row r="379" spans="1:12" ht="15" customHeight="1" x14ac:dyDescent="0.25">
      <c r="A379">
        <v>378</v>
      </c>
      <c r="B379" s="5">
        <v>45729</v>
      </c>
      <c r="C379" t="s">
        <v>33</v>
      </c>
      <c r="D379" t="s">
        <v>28</v>
      </c>
      <c r="E379" t="s">
        <v>29</v>
      </c>
      <c r="F379" t="s">
        <v>71</v>
      </c>
      <c r="G379" s="6">
        <v>2190.35</v>
      </c>
      <c r="H379" s="7">
        <v>2.1000000000000001E-2</v>
      </c>
      <c r="I379" s="6">
        <v>46</v>
      </c>
      <c r="J379" s="6">
        <v>2236.35</v>
      </c>
      <c r="K379" t="s">
        <v>828</v>
      </c>
      <c r="L379" t="s">
        <v>829</v>
      </c>
    </row>
    <row r="380" spans="1:12" ht="15" customHeight="1" x14ac:dyDescent="0.25">
      <c r="A380">
        <v>379</v>
      </c>
      <c r="B380" s="5">
        <v>45826</v>
      </c>
      <c r="C380" t="s">
        <v>47</v>
      </c>
      <c r="D380" t="s">
        <v>63</v>
      </c>
      <c r="E380" t="s">
        <v>64</v>
      </c>
      <c r="F380" t="s">
        <v>81</v>
      </c>
      <c r="G380" s="6">
        <v>1414.6</v>
      </c>
      <c r="H380" s="7">
        <v>0.2</v>
      </c>
      <c r="I380" s="6">
        <v>282.92</v>
      </c>
      <c r="J380" s="6">
        <v>1697.52</v>
      </c>
      <c r="K380" t="s">
        <v>830</v>
      </c>
      <c r="L380" t="s">
        <v>831</v>
      </c>
    </row>
    <row r="381" spans="1:12" ht="15" customHeight="1" x14ac:dyDescent="0.25">
      <c r="A381">
        <v>380</v>
      </c>
      <c r="B381" s="5">
        <v>45842</v>
      </c>
      <c r="C381" t="s">
        <v>33</v>
      </c>
      <c r="D381" t="s">
        <v>55</v>
      </c>
      <c r="E381" t="s">
        <v>56</v>
      </c>
      <c r="F381" t="s">
        <v>39</v>
      </c>
      <c r="G381" s="6">
        <v>3142.04</v>
      </c>
      <c r="H381" s="7">
        <v>5.5E-2</v>
      </c>
      <c r="I381" s="6">
        <v>172.81</v>
      </c>
      <c r="J381" s="6">
        <v>3314.85</v>
      </c>
      <c r="K381" t="s">
        <v>832</v>
      </c>
      <c r="L381" t="s">
        <v>833</v>
      </c>
    </row>
    <row r="382" spans="1:12" ht="15" customHeight="1" x14ac:dyDescent="0.25">
      <c r="A382">
        <v>381</v>
      </c>
      <c r="B382" s="5">
        <v>46009</v>
      </c>
      <c r="C382" t="s">
        <v>33</v>
      </c>
      <c r="D382" t="s">
        <v>79</v>
      </c>
      <c r="E382" t="s">
        <v>80</v>
      </c>
      <c r="F382" t="s">
        <v>81</v>
      </c>
      <c r="G382" s="6">
        <v>2301.14</v>
      </c>
      <c r="H382" s="7">
        <v>0.2</v>
      </c>
      <c r="I382" s="6">
        <v>460.23</v>
      </c>
      <c r="J382" s="6">
        <v>2761.37</v>
      </c>
      <c r="K382" t="s">
        <v>834</v>
      </c>
      <c r="L382" t="s">
        <v>835</v>
      </c>
    </row>
    <row r="383" spans="1:12" ht="15" customHeight="1" x14ac:dyDescent="0.25">
      <c r="A383">
        <v>382</v>
      </c>
      <c r="B383" s="5">
        <v>45985</v>
      </c>
      <c r="C383" t="s">
        <v>47</v>
      </c>
      <c r="D383" t="s">
        <v>42</v>
      </c>
      <c r="E383" t="s">
        <v>43</v>
      </c>
      <c r="F383" t="s">
        <v>44</v>
      </c>
      <c r="G383" s="6">
        <v>2508.09</v>
      </c>
      <c r="H383" s="7">
        <v>0</v>
      </c>
      <c r="I383" s="6">
        <v>0</v>
      </c>
      <c r="J383" s="6">
        <v>2508.09</v>
      </c>
      <c r="K383" t="s">
        <v>836</v>
      </c>
      <c r="L383" t="s">
        <v>837</v>
      </c>
    </row>
    <row r="384" spans="1:12" ht="15" customHeight="1" x14ac:dyDescent="0.25">
      <c r="A384">
        <v>383</v>
      </c>
      <c r="B384" s="5">
        <v>45726</v>
      </c>
      <c r="C384" t="s">
        <v>33</v>
      </c>
      <c r="D384" t="s">
        <v>28</v>
      </c>
      <c r="E384" t="s">
        <v>29</v>
      </c>
      <c r="F384" t="s">
        <v>76</v>
      </c>
      <c r="G384" s="6">
        <v>2193.56</v>
      </c>
      <c r="H384" s="7">
        <v>2.1000000000000001E-2</v>
      </c>
      <c r="I384" s="6">
        <v>46.06</v>
      </c>
      <c r="J384" s="6">
        <v>2239.62</v>
      </c>
      <c r="K384" t="s">
        <v>838</v>
      </c>
      <c r="L384" t="s">
        <v>839</v>
      </c>
    </row>
    <row r="385" spans="1:13" ht="15" customHeight="1" x14ac:dyDescent="0.25">
      <c r="A385">
        <v>384</v>
      </c>
      <c r="B385" s="5">
        <v>46017</v>
      </c>
      <c r="C385" t="s">
        <v>27</v>
      </c>
      <c r="D385" t="s">
        <v>63</v>
      </c>
      <c r="E385" t="s">
        <v>64</v>
      </c>
      <c r="F385" t="s">
        <v>76</v>
      </c>
      <c r="G385" s="6">
        <v>2507.62</v>
      </c>
      <c r="H385" s="7">
        <v>0.2</v>
      </c>
      <c r="I385" s="6">
        <v>501.52</v>
      </c>
      <c r="J385" s="6">
        <v>3009.14</v>
      </c>
      <c r="K385" t="s">
        <v>840</v>
      </c>
      <c r="L385" t="s">
        <v>841</v>
      </c>
    </row>
    <row r="386" spans="1:13" ht="15" customHeight="1" x14ac:dyDescent="0.25">
      <c r="A386">
        <v>385</v>
      </c>
      <c r="B386" s="5">
        <v>45769</v>
      </c>
      <c r="C386" t="s">
        <v>27</v>
      </c>
      <c r="D386" t="s">
        <v>42</v>
      </c>
      <c r="E386" t="s">
        <v>43</v>
      </c>
      <c r="F386" t="s">
        <v>44</v>
      </c>
      <c r="G386" s="6">
        <v>3432.82</v>
      </c>
      <c r="H386" s="7">
        <v>0</v>
      </c>
      <c r="I386" s="6">
        <v>0</v>
      </c>
      <c r="J386" s="6">
        <v>3432.82</v>
      </c>
      <c r="K386" t="s">
        <v>842</v>
      </c>
      <c r="L386" t="s">
        <v>843</v>
      </c>
      <c r="M386" t="s">
        <v>286</v>
      </c>
    </row>
    <row r="387" spans="1:13" ht="15" customHeight="1" x14ac:dyDescent="0.25">
      <c r="A387">
        <v>386</v>
      </c>
      <c r="B387" s="5">
        <v>45946</v>
      </c>
      <c r="C387" t="s">
        <v>33</v>
      </c>
      <c r="D387" t="s">
        <v>172</v>
      </c>
      <c r="E387" t="s">
        <v>173</v>
      </c>
      <c r="F387" t="s">
        <v>106</v>
      </c>
      <c r="G387" s="6">
        <v>575.96</v>
      </c>
      <c r="H387" s="7">
        <v>0.2</v>
      </c>
      <c r="I387" s="6">
        <v>115.19</v>
      </c>
      <c r="J387" s="6">
        <v>691.15</v>
      </c>
      <c r="K387" t="s">
        <v>844</v>
      </c>
      <c r="L387" t="s">
        <v>845</v>
      </c>
    </row>
    <row r="388" spans="1:13" ht="15" customHeight="1" x14ac:dyDescent="0.25">
      <c r="A388">
        <v>387</v>
      </c>
      <c r="B388" s="5">
        <v>45734</v>
      </c>
      <c r="C388" t="s">
        <v>33</v>
      </c>
      <c r="D388" t="s">
        <v>172</v>
      </c>
      <c r="E388" t="s">
        <v>173</v>
      </c>
      <c r="F388" t="s">
        <v>106</v>
      </c>
      <c r="G388" s="6">
        <v>807.25</v>
      </c>
      <c r="H388" s="7">
        <v>0.2</v>
      </c>
      <c r="I388" s="6">
        <v>161.44999999999999</v>
      </c>
      <c r="J388" s="6">
        <v>968.7</v>
      </c>
      <c r="K388" t="s">
        <v>846</v>
      </c>
      <c r="L388" t="s">
        <v>847</v>
      </c>
    </row>
    <row r="389" spans="1:13" ht="15" customHeight="1" x14ac:dyDescent="0.25">
      <c r="A389">
        <v>388</v>
      </c>
      <c r="B389" s="5">
        <v>45908</v>
      </c>
      <c r="C389" t="s">
        <v>33</v>
      </c>
      <c r="D389" t="s">
        <v>34</v>
      </c>
      <c r="E389" t="s">
        <v>35</v>
      </c>
      <c r="F389" t="s">
        <v>106</v>
      </c>
      <c r="G389" s="6">
        <v>481.96</v>
      </c>
      <c r="H389" s="7">
        <v>0.2</v>
      </c>
      <c r="I389" s="6">
        <v>96.39</v>
      </c>
      <c r="J389" s="6">
        <v>578.35</v>
      </c>
      <c r="K389" t="s">
        <v>848</v>
      </c>
      <c r="L389" t="s">
        <v>849</v>
      </c>
    </row>
    <row r="390" spans="1:13" ht="15" customHeight="1" x14ac:dyDescent="0.25">
      <c r="A390">
        <v>389</v>
      </c>
      <c r="B390" s="5">
        <v>45870</v>
      </c>
      <c r="C390" t="s">
        <v>33</v>
      </c>
      <c r="D390" t="s">
        <v>79</v>
      </c>
      <c r="E390" t="s">
        <v>80</v>
      </c>
      <c r="F390" t="s">
        <v>39</v>
      </c>
      <c r="G390" s="6">
        <v>2099.0500000000002</v>
      </c>
      <c r="H390" s="7">
        <v>0.2</v>
      </c>
      <c r="I390" s="6">
        <v>419.81</v>
      </c>
      <c r="J390" s="6">
        <v>2518.86</v>
      </c>
      <c r="K390" t="s">
        <v>850</v>
      </c>
      <c r="L390" t="s">
        <v>851</v>
      </c>
    </row>
    <row r="391" spans="1:13" ht="15" customHeight="1" x14ac:dyDescent="0.25">
      <c r="A391">
        <v>390</v>
      </c>
      <c r="B391" s="5">
        <v>45860</v>
      </c>
      <c r="C391" t="s">
        <v>47</v>
      </c>
      <c r="D391" t="s">
        <v>34</v>
      </c>
      <c r="E391" t="s">
        <v>35</v>
      </c>
      <c r="F391" t="s">
        <v>39</v>
      </c>
      <c r="G391" s="6">
        <v>1204.7</v>
      </c>
      <c r="H391" s="7">
        <v>0.2</v>
      </c>
      <c r="I391" s="6">
        <v>240.94</v>
      </c>
      <c r="J391" s="6">
        <v>1445.64</v>
      </c>
      <c r="K391" t="s">
        <v>852</v>
      </c>
      <c r="L391" t="s">
        <v>853</v>
      </c>
    </row>
    <row r="392" spans="1:13" ht="15" customHeight="1" x14ac:dyDescent="0.25">
      <c r="A392">
        <v>391</v>
      </c>
      <c r="B392" s="5">
        <v>45681</v>
      </c>
      <c r="C392" t="s">
        <v>33</v>
      </c>
      <c r="D392" t="s">
        <v>172</v>
      </c>
      <c r="E392" t="s">
        <v>173</v>
      </c>
      <c r="F392" t="s">
        <v>81</v>
      </c>
      <c r="G392" s="6">
        <v>1952.74</v>
      </c>
      <c r="H392" s="7">
        <v>0.2</v>
      </c>
      <c r="I392" s="6">
        <v>390.55</v>
      </c>
      <c r="J392" s="6">
        <v>2343.29</v>
      </c>
      <c r="K392" t="s">
        <v>854</v>
      </c>
      <c r="L392" t="s">
        <v>855</v>
      </c>
    </row>
    <row r="393" spans="1:13" ht="15" customHeight="1" x14ac:dyDescent="0.25">
      <c r="A393">
        <v>392</v>
      </c>
      <c r="B393" s="5">
        <v>45693</v>
      </c>
      <c r="C393" t="s">
        <v>27</v>
      </c>
      <c r="D393" t="s">
        <v>856</v>
      </c>
      <c r="E393" t="s">
        <v>116</v>
      </c>
      <c r="F393" t="s">
        <v>44</v>
      </c>
      <c r="G393" s="6">
        <v>1680.18</v>
      </c>
      <c r="H393" s="7">
        <v>0</v>
      </c>
      <c r="I393" s="6">
        <v>0</v>
      </c>
      <c r="J393" s="6">
        <v>1680.18</v>
      </c>
      <c r="K393" t="s">
        <v>857</v>
      </c>
      <c r="L393" t="s">
        <v>858</v>
      </c>
      <c r="M393" t="s">
        <v>119</v>
      </c>
    </row>
    <row r="394" spans="1:13" ht="15" customHeight="1" x14ac:dyDescent="0.25">
      <c r="A394">
        <v>393</v>
      </c>
      <c r="B394" s="5">
        <v>45727</v>
      </c>
      <c r="C394" t="s">
        <v>47</v>
      </c>
      <c r="D394" t="s">
        <v>28</v>
      </c>
      <c r="E394" t="s">
        <v>29</v>
      </c>
      <c r="F394" t="s">
        <v>81</v>
      </c>
      <c r="G394" s="6">
        <v>3464.96</v>
      </c>
      <c r="H394" s="7">
        <v>2.1000000000000001E-2</v>
      </c>
      <c r="I394" s="6">
        <v>72.760000000000005</v>
      </c>
      <c r="J394" s="6">
        <v>3537.72</v>
      </c>
      <c r="K394" t="s">
        <v>859</v>
      </c>
      <c r="L394" t="s">
        <v>860</v>
      </c>
    </row>
    <row r="395" spans="1:13" ht="15" customHeight="1" x14ac:dyDescent="0.25">
      <c r="A395">
        <v>394</v>
      </c>
      <c r="B395" s="5">
        <v>45853</v>
      </c>
      <c r="C395" t="s">
        <v>47</v>
      </c>
      <c r="D395" t="s">
        <v>63</v>
      </c>
      <c r="E395" t="s">
        <v>64</v>
      </c>
      <c r="F395" t="s">
        <v>36</v>
      </c>
      <c r="G395" s="6">
        <v>2062.5300000000002</v>
      </c>
      <c r="H395" s="7">
        <v>0.2</v>
      </c>
      <c r="I395" s="6">
        <v>412.51</v>
      </c>
      <c r="J395" s="6">
        <v>2475.04</v>
      </c>
      <c r="K395" t="s">
        <v>861</v>
      </c>
      <c r="L395" t="s">
        <v>862</v>
      </c>
    </row>
    <row r="396" spans="1:13" ht="15" customHeight="1" x14ac:dyDescent="0.25">
      <c r="A396">
        <v>395</v>
      </c>
      <c r="B396" s="5">
        <v>45996</v>
      </c>
      <c r="C396" t="s">
        <v>33</v>
      </c>
      <c r="D396" t="s">
        <v>34</v>
      </c>
      <c r="E396" t="s">
        <v>35</v>
      </c>
      <c r="F396" t="s">
        <v>30</v>
      </c>
      <c r="G396" s="6">
        <v>3945.53</v>
      </c>
      <c r="H396" s="7">
        <v>0.2</v>
      </c>
      <c r="I396" s="6">
        <v>789.11</v>
      </c>
      <c r="J396" s="6">
        <v>4734.6400000000003</v>
      </c>
      <c r="K396" t="s">
        <v>863</v>
      </c>
      <c r="L396" t="s">
        <v>864</v>
      </c>
    </row>
    <row r="397" spans="1:13" ht="15" customHeight="1" x14ac:dyDescent="0.25">
      <c r="A397">
        <v>396</v>
      </c>
      <c r="B397" s="5">
        <v>45933</v>
      </c>
      <c r="C397" t="s">
        <v>47</v>
      </c>
      <c r="D397" t="s">
        <v>28</v>
      </c>
      <c r="E397" t="s">
        <v>29</v>
      </c>
      <c r="F397" t="s">
        <v>30</v>
      </c>
      <c r="G397" s="6">
        <v>1817.32</v>
      </c>
      <c r="H397" s="7">
        <v>2.1000000000000001E-2</v>
      </c>
      <c r="I397" s="6">
        <v>38.159999999999997</v>
      </c>
      <c r="J397" s="6">
        <v>1855.48</v>
      </c>
      <c r="K397" t="s">
        <v>865</v>
      </c>
      <c r="L397" t="s">
        <v>866</v>
      </c>
    </row>
    <row r="398" spans="1:13" ht="15" customHeight="1" x14ac:dyDescent="0.25">
      <c r="A398">
        <v>397</v>
      </c>
      <c r="B398" s="5">
        <v>45810</v>
      </c>
      <c r="C398" t="s">
        <v>33</v>
      </c>
      <c r="D398" t="s">
        <v>42</v>
      </c>
      <c r="E398" t="s">
        <v>43</v>
      </c>
      <c r="F398" t="s">
        <v>44</v>
      </c>
      <c r="G398" s="6">
        <v>3525.83</v>
      </c>
      <c r="H398" s="7">
        <v>0</v>
      </c>
      <c r="I398" s="6">
        <v>0</v>
      </c>
      <c r="J398" s="6">
        <v>3525.83</v>
      </c>
      <c r="K398" t="s">
        <v>867</v>
      </c>
      <c r="L398" t="s">
        <v>868</v>
      </c>
    </row>
    <row r="399" spans="1:13" ht="15" customHeight="1" x14ac:dyDescent="0.25">
      <c r="A399">
        <v>398</v>
      </c>
      <c r="B399" s="5">
        <v>45775</v>
      </c>
      <c r="C399" t="s">
        <v>27</v>
      </c>
      <c r="D399" t="s">
        <v>63</v>
      </c>
      <c r="E399" t="s">
        <v>64</v>
      </c>
      <c r="F399" t="s">
        <v>50</v>
      </c>
      <c r="G399" s="6">
        <v>1174</v>
      </c>
      <c r="H399" s="7">
        <v>0.2</v>
      </c>
      <c r="I399" s="6">
        <v>234.8</v>
      </c>
      <c r="J399" s="6">
        <v>1408.8</v>
      </c>
      <c r="K399" t="s">
        <v>869</v>
      </c>
      <c r="L399" t="s">
        <v>870</v>
      </c>
    </row>
    <row r="400" spans="1:13" ht="15" customHeight="1" x14ac:dyDescent="0.25">
      <c r="A400">
        <v>399</v>
      </c>
      <c r="B400" s="5">
        <v>45715</v>
      </c>
      <c r="C400" t="s">
        <v>47</v>
      </c>
      <c r="D400" t="s">
        <v>28</v>
      </c>
      <c r="E400" t="s">
        <v>29</v>
      </c>
      <c r="F400" t="s">
        <v>120</v>
      </c>
      <c r="G400" s="6">
        <v>222.4</v>
      </c>
      <c r="H400" s="7">
        <v>2.1000000000000001E-2</v>
      </c>
      <c r="I400" s="6">
        <v>4.67</v>
      </c>
      <c r="J400" s="6">
        <v>227.07</v>
      </c>
      <c r="K400" t="s">
        <v>871</v>
      </c>
      <c r="L400" t="s">
        <v>872</v>
      </c>
    </row>
    <row r="401" spans="1:12" ht="15" customHeight="1" x14ac:dyDescent="0.25">
      <c r="A401">
        <v>400</v>
      </c>
      <c r="B401" s="5">
        <v>45666</v>
      </c>
      <c r="C401" t="s">
        <v>27</v>
      </c>
      <c r="D401" t="s">
        <v>42</v>
      </c>
      <c r="E401" t="s">
        <v>43</v>
      </c>
      <c r="F401" t="s">
        <v>44</v>
      </c>
      <c r="G401" s="6">
        <v>1961.5</v>
      </c>
      <c r="H401" s="7">
        <v>0</v>
      </c>
      <c r="I401" s="6">
        <v>0</v>
      </c>
      <c r="J401" s="6">
        <v>1961.5</v>
      </c>
      <c r="K401" t="s">
        <v>873</v>
      </c>
      <c r="L401" t="s">
        <v>874</v>
      </c>
    </row>
    <row r="402" spans="1:12" ht="15" customHeight="1" x14ac:dyDescent="0.25">
      <c r="A402">
        <v>401</v>
      </c>
      <c r="B402" s="5">
        <v>46002</v>
      </c>
      <c r="C402" t="s">
        <v>33</v>
      </c>
      <c r="D402" t="s">
        <v>79</v>
      </c>
      <c r="E402" t="s">
        <v>80</v>
      </c>
      <c r="F402" t="s">
        <v>39</v>
      </c>
      <c r="G402" s="6">
        <v>3188.53</v>
      </c>
      <c r="H402" s="7">
        <v>0.2</v>
      </c>
      <c r="I402" s="6">
        <v>637.71</v>
      </c>
      <c r="J402" s="6">
        <v>3826.24</v>
      </c>
      <c r="K402" t="s">
        <v>875</v>
      </c>
      <c r="L402" t="s">
        <v>876</v>
      </c>
    </row>
    <row r="403" spans="1:12" ht="15" customHeight="1" x14ac:dyDescent="0.25">
      <c r="A403">
        <v>402</v>
      </c>
      <c r="B403" s="5">
        <v>45882</v>
      </c>
      <c r="C403" t="s">
        <v>27</v>
      </c>
      <c r="D403" t="s">
        <v>28</v>
      </c>
      <c r="E403" t="s">
        <v>29</v>
      </c>
      <c r="F403" t="s">
        <v>71</v>
      </c>
      <c r="G403" s="6">
        <v>1115.78</v>
      </c>
      <c r="H403" s="7">
        <v>2.1000000000000001E-2</v>
      </c>
      <c r="I403" s="6">
        <v>23.43</v>
      </c>
      <c r="J403" s="6">
        <v>1139.21</v>
      </c>
      <c r="K403" t="s">
        <v>877</v>
      </c>
      <c r="L403" t="s">
        <v>878</v>
      </c>
    </row>
    <row r="404" spans="1:12" ht="15" customHeight="1" x14ac:dyDescent="0.25">
      <c r="A404">
        <v>403</v>
      </c>
      <c r="B404" s="5">
        <v>45806</v>
      </c>
      <c r="C404" t="s">
        <v>33</v>
      </c>
      <c r="D404" t="s">
        <v>28</v>
      </c>
      <c r="E404" t="s">
        <v>29</v>
      </c>
      <c r="F404" t="s">
        <v>81</v>
      </c>
      <c r="G404" s="6">
        <v>1114.99</v>
      </c>
      <c r="H404" s="7">
        <v>2.1000000000000001E-2</v>
      </c>
      <c r="I404" s="6">
        <v>23.41</v>
      </c>
      <c r="J404" s="6">
        <v>1138.4000000000001</v>
      </c>
      <c r="K404" t="s">
        <v>879</v>
      </c>
      <c r="L404" t="s">
        <v>880</v>
      </c>
    </row>
    <row r="405" spans="1:12" ht="15" customHeight="1" x14ac:dyDescent="0.25">
      <c r="A405">
        <v>404</v>
      </c>
      <c r="B405" s="5">
        <v>46002</v>
      </c>
      <c r="C405" t="s">
        <v>47</v>
      </c>
      <c r="D405" t="s">
        <v>172</v>
      </c>
      <c r="E405" t="s">
        <v>173</v>
      </c>
      <c r="F405" t="s">
        <v>71</v>
      </c>
      <c r="G405" s="6">
        <v>3697.25</v>
      </c>
      <c r="H405" s="7">
        <v>0.2</v>
      </c>
      <c r="I405" s="6">
        <v>739.45</v>
      </c>
      <c r="J405" s="6">
        <v>4436.7</v>
      </c>
      <c r="K405" t="s">
        <v>881</v>
      </c>
      <c r="L405" t="s">
        <v>882</v>
      </c>
    </row>
    <row r="406" spans="1:12" ht="15" customHeight="1" x14ac:dyDescent="0.25">
      <c r="A406">
        <v>405</v>
      </c>
      <c r="B406" s="5">
        <v>45924</v>
      </c>
      <c r="C406" t="s">
        <v>33</v>
      </c>
      <c r="D406" t="s">
        <v>94</v>
      </c>
      <c r="E406" t="s">
        <v>95</v>
      </c>
      <c r="F406" t="s">
        <v>44</v>
      </c>
      <c r="G406" s="6">
        <v>1251.25</v>
      </c>
      <c r="H406" s="7">
        <v>0</v>
      </c>
      <c r="I406" s="6">
        <v>0</v>
      </c>
      <c r="J406" s="6">
        <v>1251.25</v>
      </c>
      <c r="K406" t="s">
        <v>883</v>
      </c>
      <c r="L406" t="s">
        <v>884</v>
      </c>
    </row>
    <row r="407" spans="1:12" ht="15" customHeight="1" x14ac:dyDescent="0.25">
      <c r="A407">
        <v>406</v>
      </c>
      <c r="B407" s="5">
        <v>45747</v>
      </c>
      <c r="C407" t="s">
        <v>27</v>
      </c>
      <c r="D407" t="s">
        <v>100</v>
      </c>
      <c r="E407" t="s">
        <v>101</v>
      </c>
      <c r="F407" t="s">
        <v>44</v>
      </c>
      <c r="G407" s="6">
        <v>2825.28</v>
      </c>
      <c r="H407" s="7">
        <v>0</v>
      </c>
      <c r="I407" s="6">
        <v>0</v>
      </c>
      <c r="J407" s="6">
        <v>2825.28</v>
      </c>
      <c r="K407" t="s">
        <v>885</v>
      </c>
      <c r="L407" t="s">
        <v>886</v>
      </c>
    </row>
    <row r="408" spans="1:12" ht="15" customHeight="1" x14ac:dyDescent="0.25">
      <c r="A408">
        <v>407</v>
      </c>
      <c r="B408" s="5">
        <v>45987</v>
      </c>
      <c r="C408" t="s">
        <v>33</v>
      </c>
      <c r="D408" t="s">
        <v>94</v>
      </c>
      <c r="E408" t="s">
        <v>95</v>
      </c>
      <c r="F408" t="s">
        <v>44</v>
      </c>
      <c r="G408" s="6">
        <v>2464.5100000000002</v>
      </c>
      <c r="H408" s="7">
        <v>0</v>
      </c>
      <c r="I408" s="6">
        <v>0</v>
      </c>
      <c r="J408" s="6">
        <v>2464.5100000000002</v>
      </c>
      <c r="K408" t="s">
        <v>887</v>
      </c>
      <c r="L408" t="s">
        <v>888</v>
      </c>
    </row>
    <row r="409" spans="1:12" ht="15" customHeight="1" x14ac:dyDescent="0.25">
      <c r="A409">
        <v>408</v>
      </c>
      <c r="B409" s="5">
        <v>45734</v>
      </c>
      <c r="C409" t="s">
        <v>27</v>
      </c>
      <c r="D409" t="s">
        <v>63</v>
      </c>
      <c r="E409" t="s">
        <v>64</v>
      </c>
      <c r="F409" t="s">
        <v>30</v>
      </c>
      <c r="G409" s="6">
        <v>1405.51</v>
      </c>
      <c r="H409" s="7">
        <v>0.2</v>
      </c>
      <c r="I409" s="6">
        <v>281.10000000000002</v>
      </c>
      <c r="J409" s="6">
        <v>1686.61</v>
      </c>
      <c r="K409" t="s">
        <v>889</v>
      </c>
      <c r="L409" t="s">
        <v>890</v>
      </c>
    </row>
    <row r="410" spans="1:12" ht="15" customHeight="1" x14ac:dyDescent="0.25">
      <c r="A410">
        <v>409</v>
      </c>
      <c r="B410" s="5">
        <v>45811</v>
      </c>
      <c r="C410" t="s">
        <v>27</v>
      </c>
      <c r="D410" t="s">
        <v>79</v>
      </c>
      <c r="E410" t="s">
        <v>80</v>
      </c>
      <c r="F410" t="s">
        <v>30</v>
      </c>
      <c r="G410" s="6">
        <v>3870.33</v>
      </c>
      <c r="H410" s="7">
        <v>0.2</v>
      </c>
      <c r="I410" s="6">
        <v>774.07</v>
      </c>
      <c r="J410" s="6">
        <v>4644.3999999999996</v>
      </c>
      <c r="K410" t="s">
        <v>891</v>
      </c>
      <c r="L410" t="s">
        <v>892</v>
      </c>
    </row>
    <row r="411" spans="1:12" ht="15" customHeight="1" x14ac:dyDescent="0.25">
      <c r="A411">
        <v>410</v>
      </c>
      <c r="B411" s="5">
        <v>45945</v>
      </c>
      <c r="C411" t="s">
        <v>47</v>
      </c>
      <c r="D411" t="s">
        <v>100</v>
      </c>
      <c r="E411" t="s">
        <v>101</v>
      </c>
      <c r="F411" t="s">
        <v>44</v>
      </c>
      <c r="G411" s="6">
        <v>2799.62</v>
      </c>
      <c r="H411" s="7">
        <v>0</v>
      </c>
      <c r="I411" s="6">
        <v>0</v>
      </c>
      <c r="J411" s="6">
        <v>2799.62</v>
      </c>
      <c r="K411" t="s">
        <v>893</v>
      </c>
      <c r="L411" t="s">
        <v>894</v>
      </c>
    </row>
    <row r="412" spans="1:12" ht="15" customHeight="1" x14ac:dyDescent="0.25">
      <c r="A412">
        <v>411</v>
      </c>
      <c r="B412" s="5">
        <v>45762</v>
      </c>
      <c r="C412" t="s">
        <v>33</v>
      </c>
      <c r="D412" t="s">
        <v>63</v>
      </c>
      <c r="E412" t="s">
        <v>64</v>
      </c>
      <c r="F412" t="s">
        <v>87</v>
      </c>
      <c r="G412" s="6">
        <v>1539.76</v>
      </c>
      <c r="H412" s="7">
        <v>0.2</v>
      </c>
      <c r="I412" s="6">
        <v>307.95</v>
      </c>
      <c r="J412" s="6">
        <v>1847.71</v>
      </c>
      <c r="K412" t="s">
        <v>895</v>
      </c>
      <c r="L412" t="s">
        <v>896</v>
      </c>
    </row>
    <row r="413" spans="1:12" ht="15" customHeight="1" x14ac:dyDescent="0.25">
      <c r="A413">
        <v>412</v>
      </c>
      <c r="B413" s="5">
        <v>45755</v>
      </c>
      <c r="C413" t="s">
        <v>47</v>
      </c>
      <c r="D413" t="s">
        <v>28</v>
      </c>
      <c r="E413" t="s">
        <v>29</v>
      </c>
      <c r="F413" t="s">
        <v>36</v>
      </c>
      <c r="G413" s="6">
        <v>307.79000000000002</v>
      </c>
      <c r="H413" s="7">
        <v>2.1000000000000001E-2</v>
      </c>
      <c r="I413" s="6">
        <v>6.46</v>
      </c>
      <c r="J413" s="6">
        <v>314.25</v>
      </c>
      <c r="K413" t="s">
        <v>897</v>
      </c>
      <c r="L413" t="s">
        <v>898</v>
      </c>
    </row>
    <row r="414" spans="1:12" ht="15" customHeight="1" x14ac:dyDescent="0.25">
      <c r="A414">
        <v>413</v>
      </c>
      <c r="B414" s="5">
        <v>45695</v>
      </c>
      <c r="C414" t="s">
        <v>27</v>
      </c>
      <c r="D414" t="s">
        <v>172</v>
      </c>
      <c r="E414" t="s">
        <v>173</v>
      </c>
      <c r="F414" t="s">
        <v>84</v>
      </c>
      <c r="G414" s="6">
        <v>911.68</v>
      </c>
      <c r="H414" s="7">
        <v>0.2</v>
      </c>
      <c r="I414" s="6">
        <v>182.34</v>
      </c>
      <c r="J414" s="6">
        <v>1094.02</v>
      </c>
      <c r="K414" t="s">
        <v>899</v>
      </c>
      <c r="L414" t="s">
        <v>900</v>
      </c>
    </row>
    <row r="415" spans="1:12" ht="15" customHeight="1" x14ac:dyDescent="0.25">
      <c r="A415">
        <v>414</v>
      </c>
      <c r="B415" s="5">
        <v>45903</v>
      </c>
      <c r="C415" t="s">
        <v>27</v>
      </c>
      <c r="D415" t="s">
        <v>172</v>
      </c>
      <c r="E415" t="s">
        <v>173</v>
      </c>
      <c r="F415" t="s">
        <v>50</v>
      </c>
      <c r="G415" s="6">
        <v>1003.29</v>
      </c>
      <c r="H415" s="7">
        <v>0.2</v>
      </c>
      <c r="I415" s="6">
        <v>200.66</v>
      </c>
      <c r="J415" s="6">
        <v>1203.95</v>
      </c>
      <c r="K415" t="s">
        <v>901</v>
      </c>
      <c r="L415" t="s">
        <v>902</v>
      </c>
    </row>
    <row r="416" spans="1:12" ht="15" customHeight="1" x14ac:dyDescent="0.25">
      <c r="A416">
        <v>415</v>
      </c>
      <c r="B416" s="5">
        <v>45755</v>
      </c>
      <c r="C416" t="s">
        <v>33</v>
      </c>
      <c r="D416" t="s">
        <v>28</v>
      </c>
      <c r="E416" t="s">
        <v>29</v>
      </c>
      <c r="F416" t="s">
        <v>87</v>
      </c>
      <c r="G416" s="6">
        <v>4332.38</v>
      </c>
      <c r="H416" s="7">
        <v>2.1000000000000001E-2</v>
      </c>
      <c r="I416" s="6">
        <v>90.98</v>
      </c>
      <c r="J416" s="6">
        <v>4423.3599999999997</v>
      </c>
      <c r="K416" t="s">
        <v>903</v>
      </c>
      <c r="L416" t="s">
        <v>904</v>
      </c>
    </row>
    <row r="417" spans="1:13" ht="15" customHeight="1" x14ac:dyDescent="0.25">
      <c r="A417">
        <v>416</v>
      </c>
      <c r="B417" s="5">
        <v>46014</v>
      </c>
      <c r="C417" t="s">
        <v>47</v>
      </c>
      <c r="D417" t="s">
        <v>100</v>
      </c>
      <c r="E417" t="s">
        <v>101</v>
      </c>
      <c r="F417" t="s">
        <v>44</v>
      </c>
      <c r="G417" s="6">
        <v>2290.83</v>
      </c>
      <c r="H417" s="7">
        <v>0</v>
      </c>
      <c r="I417" s="6">
        <v>0</v>
      </c>
      <c r="J417" s="6">
        <v>2290.83</v>
      </c>
      <c r="K417" t="s">
        <v>905</v>
      </c>
      <c r="L417" t="s">
        <v>906</v>
      </c>
    </row>
    <row r="418" spans="1:13" ht="15" customHeight="1" x14ac:dyDescent="0.25">
      <c r="A418">
        <v>417</v>
      </c>
      <c r="B418" s="5">
        <v>45852</v>
      </c>
      <c r="C418" t="s">
        <v>27</v>
      </c>
      <c r="D418" t="s">
        <v>55</v>
      </c>
      <c r="E418" t="s">
        <v>56</v>
      </c>
      <c r="F418" t="s">
        <v>120</v>
      </c>
      <c r="G418" s="6">
        <v>2140.83</v>
      </c>
      <c r="H418" s="7">
        <v>5.5E-2</v>
      </c>
      <c r="I418" s="6">
        <v>117.75</v>
      </c>
      <c r="J418" s="6">
        <v>2258.58</v>
      </c>
      <c r="K418" t="s">
        <v>907</v>
      </c>
      <c r="L418" t="s">
        <v>908</v>
      </c>
    </row>
    <row r="419" spans="1:13" ht="15" customHeight="1" x14ac:dyDescent="0.25">
      <c r="A419">
        <v>418</v>
      </c>
      <c r="B419" s="5">
        <v>45912</v>
      </c>
      <c r="C419" t="s">
        <v>47</v>
      </c>
      <c r="D419" t="s">
        <v>55</v>
      </c>
      <c r="E419" t="s">
        <v>56</v>
      </c>
      <c r="F419" t="s">
        <v>81</v>
      </c>
      <c r="G419" s="6">
        <v>2139.7399999999998</v>
      </c>
      <c r="H419" s="7">
        <v>5.5E-2</v>
      </c>
      <c r="I419" s="6">
        <v>117.69</v>
      </c>
      <c r="J419" s="6">
        <v>2257.4299999999998</v>
      </c>
      <c r="K419" t="s">
        <v>909</v>
      </c>
      <c r="L419" t="s">
        <v>408</v>
      </c>
    </row>
    <row r="420" spans="1:13" ht="15" customHeight="1" x14ac:dyDescent="0.25">
      <c r="A420">
        <v>419</v>
      </c>
      <c r="B420" s="5">
        <v>45847</v>
      </c>
      <c r="C420" t="s">
        <v>47</v>
      </c>
      <c r="D420" t="s">
        <v>100</v>
      </c>
      <c r="E420" t="s">
        <v>101</v>
      </c>
      <c r="F420" t="s">
        <v>44</v>
      </c>
      <c r="G420" s="6">
        <v>1909.72</v>
      </c>
      <c r="H420" s="7">
        <v>0</v>
      </c>
      <c r="I420" s="6">
        <v>0</v>
      </c>
      <c r="J420" s="6">
        <v>1909.72</v>
      </c>
      <c r="K420" t="s">
        <v>910</v>
      </c>
      <c r="L420" t="s">
        <v>911</v>
      </c>
    </row>
    <row r="421" spans="1:13" ht="15" customHeight="1" x14ac:dyDescent="0.25">
      <c r="A421">
        <v>420</v>
      </c>
      <c r="B421" s="5">
        <v>45791</v>
      </c>
      <c r="C421" t="s">
        <v>27</v>
      </c>
      <c r="D421" t="s">
        <v>28</v>
      </c>
      <c r="E421" t="s">
        <v>29</v>
      </c>
      <c r="F421" t="s">
        <v>84</v>
      </c>
      <c r="G421" s="6">
        <v>2525.64</v>
      </c>
      <c r="H421" s="7">
        <v>2.1000000000000001E-2</v>
      </c>
      <c r="I421" s="6">
        <v>53.04</v>
      </c>
      <c r="J421" s="6">
        <v>2578.6799999999998</v>
      </c>
      <c r="K421" t="s">
        <v>912</v>
      </c>
      <c r="L421" t="s">
        <v>913</v>
      </c>
    </row>
    <row r="422" spans="1:13" ht="15" customHeight="1" x14ac:dyDescent="0.25">
      <c r="A422">
        <v>421</v>
      </c>
      <c r="B422" s="5">
        <v>45736</v>
      </c>
      <c r="C422" t="s">
        <v>27</v>
      </c>
      <c r="D422" t="s">
        <v>63</v>
      </c>
      <c r="E422" t="s">
        <v>64</v>
      </c>
      <c r="F422" t="s">
        <v>71</v>
      </c>
      <c r="G422" s="6">
        <v>947.17</v>
      </c>
      <c r="H422" s="7">
        <v>0.2</v>
      </c>
      <c r="I422" s="6">
        <v>189.43</v>
      </c>
      <c r="J422" s="6">
        <v>1136.5999999999999</v>
      </c>
      <c r="K422" t="s">
        <v>914</v>
      </c>
      <c r="L422" t="s">
        <v>915</v>
      </c>
    </row>
    <row r="423" spans="1:13" ht="15" customHeight="1" x14ac:dyDescent="0.25">
      <c r="A423">
        <v>422</v>
      </c>
      <c r="B423" s="5">
        <v>45939</v>
      </c>
      <c r="C423" t="s">
        <v>27</v>
      </c>
      <c r="D423" t="s">
        <v>42</v>
      </c>
      <c r="E423" t="s">
        <v>43</v>
      </c>
      <c r="F423" t="s">
        <v>44</v>
      </c>
      <c r="G423" s="6">
        <v>3443.63</v>
      </c>
      <c r="H423" s="7">
        <v>0</v>
      </c>
      <c r="I423" s="6">
        <v>0</v>
      </c>
      <c r="J423" s="6">
        <v>3443.63</v>
      </c>
      <c r="K423" t="s">
        <v>916</v>
      </c>
      <c r="L423" t="s">
        <v>917</v>
      </c>
    </row>
    <row r="424" spans="1:13" ht="15" customHeight="1" x14ac:dyDescent="0.25">
      <c r="A424">
        <v>423</v>
      </c>
      <c r="B424" s="5">
        <v>45986</v>
      </c>
      <c r="C424" t="s">
        <v>47</v>
      </c>
      <c r="D424" t="s">
        <v>94</v>
      </c>
      <c r="E424" t="s">
        <v>95</v>
      </c>
      <c r="F424" t="s">
        <v>44</v>
      </c>
      <c r="G424" s="6">
        <v>1652.07</v>
      </c>
      <c r="H424" s="7">
        <v>0</v>
      </c>
      <c r="I424" s="6">
        <v>0</v>
      </c>
      <c r="J424" s="6">
        <v>1652.07</v>
      </c>
      <c r="K424" t="s">
        <v>918</v>
      </c>
      <c r="L424" t="s">
        <v>919</v>
      </c>
    </row>
    <row r="425" spans="1:13" ht="15" customHeight="1" x14ac:dyDescent="0.25">
      <c r="A425">
        <v>424</v>
      </c>
      <c r="B425" s="5">
        <v>45937</v>
      </c>
      <c r="C425" t="s">
        <v>47</v>
      </c>
      <c r="D425" t="s">
        <v>28</v>
      </c>
      <c r="E425" t="s">
        <v>29</v>
      </c>
      <c r="F425" t="s">
        <v>106</v>
      </c>
      <c r="G425" s="6">
        <v>2238.36</v>
      </c>
      <c r="H425" s="7">
        <v>2.1000000000000001E-2</v>
      </c>
      <c r="I425" s="6">
        <v>47.01</v>
      </c>
      <c r="J425" s="6">
        <v>2285.37</v>
      </c>
      <c r="K425" t="s">
        <v>920</v>
      </c>
      <c r="L425" t="s">
        <v>921</v>
      </c>
    </row>
    <row r="426" spans="1:13" ht="15" customHeight="1" x14ac:dyDescent="0.25">
      <c r="A426">
        <v>425</v>
      </c>
      <c r="B426" s="5">
        <v>46000</v>
      </c>
      <c r="C426" t="s">
        <v>33</v>
      </c>
      <c r="D426" t="s">
        <v>172</v>
      </c>
      <c r="E426" t="s">
        <v>173</v>
      </c>
      <c r="F426" t="s">
        <v>39</v>
      </c>
      <c r="G426" s="6">
        <v>294.43</v>
      </c>
      <c r="H426" s="7">
        <v>0.2</v>
      </c>
      <c r="I426" s="6">
        <v>58.89</v>
      </c>
      <c r="J426" s="6">
        <v>353.32</v>
      </c>
      <c r="K426" t="s">
        <v>922</v>
      </c>
      <c r="L426" t="s">
        <v>923</v>
      </c>
    </row>
    <row r="427" spans="1:13" ht="15" customHeight="1" x14ac:dyDescent="0.25">
      <c r="A427">
        <v>426</v>
      </c>
      <c r="B427" s="5">
        <v>45776</v>
      </c>
      <c r="C427" t="s">
        <v>33</v>
      </c>
      <c r="D427" t="s">
        <v>42</v>
      </c>
      <c r="E427" t="s">
        <v>43</v>
      </c>
      <c r="F427" t="s">
        <v>44</v>
      </c>
      <c r="G427" s="6">
        <v>2162.4699999999998</v>
      </c>
      <c r="H427" s="7">
        <v>0</v>
      </c>
      <c r="I427" s="6">
        <v>0</v>
      </c>
      <c r="J427" s="6">
        <v>2162.4699999999998</v>
      </c>
      <c r="K427" t="s">
        <v>924</v>
      </c>
      <c r="L427" t="s">
        <v>925</v>
      </c>
    </row>
    <row r="428" spans="1:13" ht="15" customHeight="1" x14ac:dyDescent="0.25">
      <c r="A428">
        <v>427</v>
      </c>
      <c r="B428" s="5">
        <v>45688</v>
      </c>
      <c r="C428" t="s">
        <v>27</v>
      </c>
      <c r="D428" t="s">
        <v>79</v>
      </c>
      <c r="E428" t="s">
        <v>80</v>
      </c>
      <c r="F428" t="s">
        <v>120</v>
      </c>
      <c r="G428" s="6">
        <v>2810.83</v>
      </c>
      <c r="H428" s="7">
        <v>0.2</v>
      </c>
      <c r="I428" s="6">
        <v>562.16999999999996</v>
      </c>
      <c r="J428" s="6">
        <v>3373</v>
      </c>
      <c r="K428" t="s">
        <v>926</v>
      </c>
      <c r="L428" t="s">
        <v>927</v>
      </c>
    </row>
    <row r="429" spans="1:13" ht="15" customHeight="1" x14ac:dyDescent="0.25">
      <c r="A429">
        <v>428</v>
      </c>
      <c r="B429" s="5">
        <v>45666</v>
      </c>
      <c r="C429" t="s">
        <v>47</v>
      </c>
      <c r="D429" t="s">
        <v>34</v>
      </c>
      <c r="E429" t="s">
        <v>35</v>
      </c>
      <c r="F429" t="s">
        <v>106</v>
      </c>
      <c r="G429" s="6">
        <v>109.23</v>
      </c>
      <c r="H429" s="7">
        <v>0.2</v>
      </c>
      <c r="I429" s="6">
        <v>21.85</v>
      </c>
      <c r="J429" s="6">
        <v>131.08000000000001</v>
      </c>
      <c r="K429" t="s">
        <v>928</v>
      </c>
      <c r="L429" t="s">
        <v>929</v>
      </c>
    </row>
    <row r="430" spans="1:13" ht="15" customHeight="1" x14ac:dyDescent="0.25">
      <c r="A430">
        <v>429</v>
      </c>
      <c r="B430" s="5">
        <v>45798</v>
      </c>
      <c r="C430" t="s">
        <v>33</v>
      </c>
      <c r="D430" t="s">
        <v>28</v>
      </c>
      <c r="E430" t="s">
        <v>29</v>
      </c>
      <c r="F430" t="s">
        <v>174</v>
      </c>
      <c r="G430" s="6">
        <v>13000</v>
      </c>
      <c r="H430" s="7">
        <v>2.1000000000000001E-2</v>
      </c>
      <c r="I430" s="6">
        <v>273</v>
      </c>
      <c r="J430" s="6">
        <v>13273</v>
      </c>
      <c r="K430" t="s">
        <v>930</v>
      </c>
      <c r="L430" t="s">
        <v>931</v>
      </c>
      <c r="M430" t="s">
        <v>143</v>
      </c>
    </row>
    <row r="431" spans="1:13" ht="15" customHeight="1" x14ac:dyDescent="0.25">
      <c r="A431">
        <v>430</v>
      </c>
      <c r="B431" s="5">
        <v>46003</v>
      </c>
      <c r="C431" t="s">
        <v>27</v>
      </c>
      <c r="D431" t="s">
        <v>42</v>
      </c>
      <c r="E431" t="s">
        <v>43</v>
      </c>
      <c r="F431" t="s">
        <v>44</v>
      </c>
      <c r="G431" s="6">
        <v>4055.31</v>
      </c>
      <c r="H431" s="7">
        <v>0</v>
      </c>
      <c r="I431" s="6">
        <v>0</v>
      </c>
      <c r="J431" s="6">
        <v>4055.31</v>
      </c>
      <c r="K431" t="s">
        <v>932</v>
      </c>
      <c r="L431" t="s">
        <v>933</v>
      </c>
    </row>
    <row r="432" spans="1:13" ht="15" customHeight="1" x14ac:dyDescent="0.25">
      <c r="A432">
        <v>431</v>
      </c>
      <c r="B432" s="5">
        <v>45926</v>
      </c>
      <c r="C432" t="s">
        <v>33</v>
      </c>
      <c r="D432" t="s">
        <v>100</v>
      </c>
      <c r="E432" t="s">
        <v>101</v>
      </c>
      <c r="F432" t="s">
        <v>44</v>
      </c>
      <c r="G432" s="6">
        <v>2260.64</v>
      </c>
      <c r="H432" s="7">
        <v>0</v>
      </c>
      <c r="I432" s="6">
        <v>0</v>
      </c>
      <c r="J432" s="6">
        <v>2260.64</v>
      </c>
      <c r="K432" t="s">
        <v>934</v>
      </c>
      <c r="L432" t="s">
        <v>935</v>
      </c>
    </row>
    <row r="433" spans="1:12" ht="15" customHeight="1" x14ac:dyDescent="0.25">
      <c r="A433">
        <v>432</v>
      </c>
      <c r="B433" s="5">
        <v>45861</v>
      </c>
      <c r="C433" t="s">
        <v>47</v>
      </c>
      <c r="D433" t="s">
        <v>42</v>
      </c>
      <c r="E433" t="s">
        <v>43</v>
      </c>
      <c r="F433" t="s">
        <v>44</v>
      </c>
      <c r="G433" s="6">
        <v>4102.3100000000004</v>
      </c>
      <c r="H433" s="7">
        <v>0</v>
      </c>
      <c r="I433" s="6">
        <v>0</v>
      </c>
      <c r="J433" s="6">
        <v>4102.3100000000004</v>
      </c>
      <c r="K433" t="s">
        <v>936</v>
      </c>
      <c r="L433" t="s">
        <v>937</v>
      </c>
    </row>
    <row r="434" spans="1:12" ht="15" customHeight="1" x14ac:dyDescent="0.25">
      <c r="A434">
        <v>433</v>
      </c>
      <c r="B434" s="5">
        <v>46014</v>
      </c>
      <c r="C434" t="s">
        <v>27</v>
      </c>
      <c r="D434" t="s">
        <v>55</v>
      </c>
      <c r="E434" t="s">
        <v>56</v>
      </c>
      <c r="F434" t="s">
        <v>120</v>
      </c>
      <c r="G434" s="6">
        <v>1078.29</v>
      </c>
      <c r="H434" s="7">
        <v>5.5E-2</v>
      </c>
      <c r="I434" s="6">
        <v>59.31</v>
      </c>
      <c r="J434" s="6">
        <v>1137.5999999999999</v>
      </c>
      <c r="K434" t="s">
        <v>938</v>
      </c>
      <c r="L434" t="s">
        <v>939</v>
      </c>
    </row>
    <row r="435" spans="1:12" ht="15" customHeight="1" x14ac:dyDescent="0.25">
      <c r="A435">
        <v>434</v>
      </c>
      <c r="B435" s="5">
        <v>45674</v>
      </c>
      <c r="C435" t="s">
        <v>33</v>
      </c>
      <c r="D435" t="s">
        <v>34</v>
      </c>
      <c r="E435" t="s">
        <v>35</v>
      </c>
      <c r="F435" t="s">
        <v>36</v>
      </c>
      <c r="G435" s="6">
        <v>493.27</v>
      </c>
      <c r="H435" s="7">
        <v>0.2</v>
      </c>
      <c r="I435" s="6">
        <v>98.65</v>
      </c>
      <c r="J435" s="6">
        <v>591.91999999999996</v>
      </c>
      <c r="K435" t="s">
        <v>940</v>
      </c>
      <c r="L435" t="s">
        <v>941</v>
      </c>
    </row>
    <row r="436" spans="1:12" ht="15" customHeight="1" x14ac:dyDescent="0.25">
      <c r="A436">
        <v>435</v>
      </c>
      <c r="B436" s="5">
        <v>46017</v>
      </c>
      <c r="C436" t="s">
        <v>27</v>
      </c>
      <c r="D436" t="s">
        <v>79</v>
      </c>
      <c r="E436" t="s">
        <v>80</v>
      </c>
      <c r="F436" t="s">
        <v>76</v>
      </c>
      <c r="G436" s="6">
        <v>837.52</v>
      </c>
      <c r="H436" s="7">
        <v>0.2</v>
      </c>
      <c r="I436" s="6">
        <v>167.5</v>
      </c>
      <c r="J436" s="6">
        <v>1005.02</v>
      </c>
      <c r="K436" t="s">
        <v>942</v>
      </c>
      <c r="L436" t="s">
        <v>943</v>
      </c>
    </row>
    <row r="437" spans="1:12" ht="15" customHeight="1" x14ac:dyDescent="0.25">
      <c r="A437">
        <v>436</v>
      </c>
      <c r="B437" s="5">
        <v>45827</v>
      </c>
      <c r="C437" t="s">
        <v>47</v>
      </c>
      <c r="D437" t="s">
        <v>181</v>
      </c>
      <c r="E437" t="s">
        <v>182</v>
      </c>
      <c r="F437" t="s">
        <v>87</v>
      </c>
      <c r="G437" s="6">
        <v>2581.09</v>
      </c>
      <c r="H437" s="7">
        <v>0.2</v>
      </c>
      <c r="I437" s="6">
        <v>516.22</v>
      </c>
      <c r="J437" s="6">
        <v>3097.31</v>
      </c>
      <c r="K437" t="s">
        <v>944</v>
      </c>
      <c r="L437" t="s">
        <v>945</v>
      </c>
    </row>
    <row r="438" spans="1:12" ht="15" customHeight="1" x14ac:dyDescent="0.25">
      <c r="A438">
        <v>437</v>
      </c>
      <c r="B438" s="5">
        <v>45901</v>
      </c>
      <c r="C438" t="s">
        <v>33</v>
      </c>
      <c r="D438" t="s">
        <v>55</v>
      </c>
      <c r="E438" t="s">
        <v>56</v>
      </c>
      <c r="F438" t="s">
        <v>87</v>
      </c>
      <c r="G438" s="6">
        <v>1278.24</v>
      </c>
      <c r="H438" s="7">
        <v>5.5E-2</v>
      </c>
      <c r="I438" s="6">
        <v>70.3</v>
      </c>
      <c r="J438" s="6">
        <v>1348.54</v>
      </c>
      <c r="K438" t="s">
        <v>946</v>
      </c>
      <c r="L438" t="s">
        <v>947</v>
      </c>
    </row>
    <row r="439" spans="1:12" ht="15" customHeight="1" x14ac:dyDescent="0.25">
      <c r="A439">
        <v>438</v>
      </c>
      <c r="B439" s="5">
        <v>45946</v>
      </c>
      <c r="C439" t="s">
        <v>47</v>
      </c>
      <c r="D439" t="s">
        <v>100</v>
      </c>
      <c r="E439" t="s">
        <v>101</v>
      </c>
      <c r="F439" t="s">
        <v>44</v>
      </c>
      <c r="G439" s="6">
        <v>2230.4499999999998</v>
      </c>
      <c r="H439" s="7">
        <v>0</v>
      </c>
      <c r="I439" s="6">
        <v>0</v>
      </c>
      <c r="J439" s="6">
        <v>2230.4499999999998</v>
      </c>
      <c r="K439" t="s">
        <v>948</v>
      </c>
      <c r="L439" t="s">
        <v>949</v>
      </c>
    </row>
    <row r="440" spans="1:12" ht="15" customHeight="1" x14ac:dyDescent="0.25">
      <c r="A440">
        <v>439</v>
      </c>
      <c r="B440" s="5">
        <v>45764</v>
      </c>
      <c r="C440" t="s">
        <v>47</v>
      </c>
      <c r="D440" t="s">
        <v>28</v>
      </c>
      <c r="E440" t="s">
        <v>29</v>
      </c>
      <c r="F440" t="s">
        <v>81</v>
      </c>
      <c r="G440" s="6">
        <v>2674.7</v>
      </c>
      <c r="H440" s="7">
        <v>2.1000000000000001E-2</v>
      </c>
      <c r="I440" s="6">
        <v>56.17</v>
      </c>
      <c r="J440" s="6">
        <v>2730.87</v>
      </c>
      <c r="K440" t="s">
        <v>950</v>
      </c>
      <c r="L440" t="s">
        <v>951</v>
      </c>
    </row>
    <row r="441" spans="1:12" ht="15" customHeight="1" x14ac:dyDescent="0.25">
      <c r="A441">
        <v>440</v>
      </c>
      <c r="B441" s="5">
        <v>45811</v>
      </c>
      <c r="C441" t="s">
        <v>47</v>
      </c>
      <c r="D441" t="s">
        <v>100</v>
      </c>
      <c r="E441" t="s">
        <v>101</v>
      </c>
      <c r="F441" t="s">
        <v>44</v>
      </c>
      <c r="G441" s="6">
        <v>2377.13</v>
      </c>
      <c r="H441" s="7">
        <v>0</v>
      </c>
      <c r="I441" s="6">
        <v>0</v>
      </c>
      <c r="J441" s="6">
        <v>2377.13</v>
      </c>
      <c r="K441" t="s">
        <v>952</v>
      </c>
      <c r="L441" t="s">
        <v>953</v>
      </c>
    </row>
    <row r="442" spans="1:12" ht="15" customHeight="1" x14ac:dyDescent="0.25">
      <c r="A442">
        <v>441</v>
      </c>
      <c r="B442" s="5">
        <v>45827</v>
      </c>
      <c r="C442" t="s">
        <v>47</v>
      </c>
      <c r="D442" t="s">
        <v>34</v>
      </c>
      <c r="E442" t="s">
        <v>35</v>
      </c>
      <c r="F442" t="s">
        <v>81</v>
      </c>
      <c r="G442" s="6">
        <v>1776.6</v>
      </c>
      <c r="H442" s="7">
        <v>0.2</v>
      </c>
      <c r="I442" s="6">
        <v>355.32</v>
      </c>
      <c r="J442" s="6">
        <v>2131.92</v>
      </c>
      <c r="K442" t="s">
        <v>954</v>
      </c>
      <c r="L442" t="s">
        <v>955</v>
      </c>
    </row>
    <row r="443" spans="1:12" ht="15" customHeight="1" x14ac:dyDescent="0.25">
      <c r="A443">
        <v>442</v>
      </c>
      <c r="B443" s="5">
        <v>45835</v>
      </c>
      <c r="C443" t="s">
        <v>27</v>
      </c>
      <c r="D443" t="s">
        <v>42</v>
      </c>
      <c r="E443" t="s">
        <v>43</v>
      </c>
      <c r="F443" t="s">
        <v>44</v>
      </c>
      <c r="G443" s="6">
        <v>2849.01</v>
      </c>
      <c r="H443" s="7">
        <v>0</v>
      </c>
      <c r="I443" s="6">
        <v>0</v>
      </c>
      <c r="J443" s="6">
        <v>2849.01</v>
      </c>
      <c r="K443" t="s">
        <v>956</v>
      </c>
      <c r="L443" t="s">
        <v>957</v>
      </c>
    </row>
    <row r="444" spans="1:12" ht="15" customHeight="1" x14ac:dyDescent="0.25">
      <c r="A444">
        <v>443</v>
      </c>
      <c r="B444" s="5">
        <v>45972</v>
      </c>
      <c r="C444" t="s">
        <v>33</v>
      </c>
      <c r="D444" t="s">
        <v>55</v>
      </c>
      <c r="E444" t="s">
        <v>56</v>
      </c>
      <c r="F444" t="s">
        <v>36</v>
      </c>
      <c r="G444" s="6">
        <v>4300.47</v>
      </c>
      <c r="H444" s="7">
        <v>5.5E-2</v>
      </c>
      <c r="I444" s="6">
        <v>236.53</v>
      </c>
      <c r="J444" s="6">
        <v>4537</v>
      </c>
      <c r="K444" t="s">
        <v>958</v>
      </c>
      <c r="L444" t="s">
        <v>959</v>
      </c>
    </row>
    <row r="445" spans="1:12" ht="15" customHeight="1" x14ac:dyDescent="0.25">
      <c r="A445">
        <v>444</v>
      </c>
      <c r="B445" s="5">
        <v>45797</v>
      </c>
      <c r="C445" t="s">
        <v>47</v>
      </c>
      <c r="D445" t="s">
        <v>28</v>
      </c>
      <c r="E445" t="s">
        <v>29</v>
      </c>
      <c r="F445" t="s">
        <v>76</v>
      </c>
      <c r="G445" s="6">
        <v>3543.28</v>
      </c>
      <c r="H445" s="7">
        <v>2.1000000000000001E-2</v>
      </c>
      <c r="I445" s="6">
        <v>74.41</v>
      </c>
      <c r="J445" s="6">
        <v>3617.69</v>
      </c>
      <c r="K445" t="s">
        <v>960</v>
      </c>
      <c r="L445" t="s">
        <v>961</v>
      </c>
    </row>
    <row r="446" spans="1:12" ht="15" customHeight="1" x14ac:dyDescent="0.25">
      <c r="A446">
        <v>445</v>
      </c>
      <c r="B446" s="5">
        <v>46006</v>
      </c>
      <c r="C446" t="s">
        <v>33</v>
      </c>
      <c r="D446" t="s">
        <v>55</v>
      </c>
      <c r="E446" t="s">
        <v>56</v>
      </c>
      <c r="F446" t="s">
        <v>36</v>
      </c>
      <c r="G446" s="6">
        <v>2669.57</v>
      </c>
      <c r="H446" s="7">
        <v>5.5E-2</v>
      </c>
      <c r="I446" s="6">
        <v>146.83000000000001</v>
      </c>
      <c r="J446" s="6">
        <v>2816.4</v>
      </c>
      <c r="K446" t="s">
        <v>962</v>
      </c>
      <c r="L446" t="s">
        <v>963</v>
      </c>
    </row>
    <row r="447" spans="1:12" ht="15" customHeight="1" x14ac:dyDescent="0.25">
      <c r="A447">
        <v>446</v>
      </c>
      <c r="B447" s="5">
        <v>45784</v>
      </c>
      <c r="C447" t="s">
        <v>27</v>
      </c>
      <c r="D447" t="s">
        <v>55</v>
      </c>
      <c r="E447" t="s">
        <v>56</v>
      </c>
      <c r="F447" t="s">
        <v>87</v>
      </c>
      <c r="G447" s="6">
        <v>3231.94</v>
      </c>
      <c r="H447" s="7">
        <v>5.5E-2</v>
      </c>
      <c r="I447" s="6">
        <v>177.76</v>
      </c>
      <c r="J447" s="6">
        <v>3409.7</v>
      </c>
      <c r="K447" t="s">
        <v>964</v>
      </c>
      <c r="L447" t="s">
        <v>965</v>
      </c>
    </row>
    <row r="448" spans="1:12" ht="15" customHeight="1" x14ac:dyDescent="0.25">
      <c r="A448">
        <v>447</v>
      </c>
      <c r="B448" s="5">
        <v>45982</v>
      </c>
      <c r="C448" t="s">
        <v>33</v>
      </c>
      <c r="D448" t="s">
        <v>63</v>
      </c>
      <c r="E448" t="s">
        <v>64</v>
      </c>
      <c r="F448" t="s">
        <v>36</v>
      </c>
      <c r="G448" s="6">
        <v>761.9</v>
      </c>
      <c r="H448" s="7">
        <v>0.2</v>
      </c>
      <c r="I448" s="6">
        <v>152.38</v>
      </c>
      <c r="J448" s="6">
        <v>914.28</v>
      </c>
      <c r="K448" t="s">
        <v>966</v>
      </c>
      <c r="L448" t="s">
        <v>967</v>
      </c>
    </row>
    <row r="449" spans="1:13" ht="15" customHeight="1" x14ac:dyDescent="0.25">
      <c r="A449">
        <v>448</v>
      </c>
      <c r="B449" s="5">
        <v>45660</v>
      </c>
      <c r="C449" t="s">
        <v>47</v>
      </c>
      <c r="D449" t="s">
        <v>28</v>
      </c>
      <c r="E449" t="s">
        <v>29</v>
      </c>
      <c r="F449" t="s">
        <v>76</v>
      </c>
      <c r="G449" s="6">
        <v>4247.88</v>
      </c>
      <c r="H449" s="7">
        <v>2.1000000000000001E-2</v>
      </c>
      <c r="I449" s="6">
        <v>89.21</v>
      </c>
      <c r="J449" s="6">
        <v>4337.09</v>
      </c>
      <c r="K449" t="s">
        <v>968</v>
      </c>
      <c r="L449" t="s">
        <v>969</v>
      </c>
    </row>
    <row r="450" spans="1:13" ht="15" customHeight="1" x14ac:dyDescent="0.25">
      <c r="A450">
        <v>449</v>
      </c>
      <c r="B450" s="5">
        <v>45702</v>
      </c>
      <c r="C450" t="s">
        <v>47</v>
      </c>
      <c r="D450" t="s">
        <v>28</v>
      </c>
      <c r="E450" t="s">
        <v>29</v>
      </c>
      <c r="F450" t="s">
        <v>76</v>
      </c>
      <c r="G450" s="6">
        <v>908.27</v>
      </c>
      <c r="H450" s="7">
        <v>2.1000000000000001E-2</v>
      </c>
      <c r="I450" s="6">
        <v>19.07</v>
      </c>
      <c r="J450" s="6">
        <v>927.34</v>
      </c>
      <c r="K450" t="s">
        <v>970</v>
      </c>
      <c r="L450" t="s">
        <v>971</v>
      </c>
    </row>
    <row r="451" spans="1:13" ht="15" customHeight="1" x14ac:dyDescent="0.25">
      <c r="A451">
        <v>450</v>
      </c>
      <c r="B451" s="5">
        <v>45671</v>
      </c>
      <c r="C451" t="s">
        <v>27</v>
      </c>
      <c r="D451" t="s">
        <v>172</v>
      </c>
      <c r="E451" t="s">
        <v>173</v>
      </c>
      <c r="F451" t="s">
        <v>106</v>
      </c>
      <c r="G451" s="6">
        <v>476.12</v>
      </c>
      <c r="H451" s="7">
        <v>0.2</v>
      </c>
      <c r="I451" s="6">
        <v>95.22</v>
      </c>
      <c r="J451" s="6">
        <v>571.34</v>
      </c>
      <c r="K451" t="s">
        <v>972</v>
      </c>
      <c r="L451" t="s">
        <v>973</v>
      </c>
    </row>
    <row r="452" spans="1:13" ht="15" customHeight="1" x14ac:dyDescent="0.25">
      <c r="A452">
        <v>451</v>
      </c>
      <c r="B452" s="5">
        <v>45824</v>
      </c>
      <c r="C452" t="s">
        <v>27</v>
      </c>
      <c r="D452" t="s">
        <v>172</v>
      </c>
      <c r="E452" t="s">
        <v>173</v>
      </c>
      <c r="F452" t="s">
        <v>39</v>
      </c>
      <c r="G452" s="6">
        <v>3897.63</v>
      </c>
      <c r="H452" s="7">
        <v>0.2</v>
      </c>
      <c r="I452" s="6">
        <v>779.53</v>
      </c>
      <c r="J452" s="6">
        <v>4677.16</v>
      </c>
      <c r="K452" t="s">
        <v>974</v>
      </c>
      <c r="L452" t="s">
        <v>975</v>
      </c>
    </row>
    <row r="453" spans="1:13" ht="15" customHeight="1" x14ac:dyDescent="0.25">
      <c r="A453">
        <v>452</v>
      </c>
      <c r="B453" s="5">
        <v>45701</v>
      </c>
      <c r="C453" t="s">
        <v>47</v>
      </c>
      <c r="D453" t="s">
        <v>63</v>
      </c>
      <c r="E453" t="s">
        <v>64</v>
      </c>
      <c r="F453" t="s">
        <v>106</v>
      </c>
      <c r="G453" s="6">
        <v>3283.81</v>
      </c>
      <c r="H453" s="7">
        <v>0.2</v>
      </c>
      <c r="I453" s="6">
        <v>656.76</v>
      </c>
      <c r="J453" s="6">
        <v>3940.57</v>
      </c>
      <c r="K453" t="s">
        <v>976</v>
      </c>
      <c r="L453" t="s">
        <v>977</v>
      </c>
    </row>
    <row r="454" spans="1:13" ht="15" customHeight="1" x14ac:dyDescent="0.25">
      <c r="A454">
        <v>453</v>
      </c>
      <c r="B454" s="5">
        <v>46008</v>
      </c>
      <c r="C454" t="s">
        <v>27</v>
      </c>
      <c r="D454" t="s">
        <v>172</v>
      </c>
      <c r="E454" t="s">
        <v>173</v>
      </c>
      <c r="F454" t="s">
        <v>30</v>
      </c>
      <c r="G454" s="6">
        <v>1762.84</v>
      </c>
      <c r="H454" s="7">
        <v>0.2</v>
      </c>
      <c r="I454" s="6">
        <v>352.57</v>
      </c>
      <c r="J454" s="6">
        <v>2115.41</v>
      </c>
      <c r="K454" t="s">
        <v>978</v>
      </c>
      <c r="L454" t="s">
        <v>979</v>
      </c>
    </row>
    <row r="455" spans="1:13" ht="15" customHeight="1" x14ac:dyDescent="0.25">
      <c r="A455">
        <v>454</v>
      </c>
      <c r="B455" s="5">
        <v>45743</v>
      </c>
      <c r="C455" t="s">
        <v>47</v>
      </c>
      <c r="D455" t="s">
        <v>55</v>
      </c>
      <c r="E455" t="s">
        <v>56</v>
      </c>
      <c r="F455" t="s">
        <v>36</v>
      </c>
      <c r="G455" s="6">
        <v>2001.27</v>
      </c>
      <c r="H455" s="7">
        <v>5.5E-2</v>
      </c>
      <c r="I455" s="6">
        <v>110.07</v>
      </c>
      <c r="J455" s="6">
        <v>2111.34</v>
      </c>
      <c r="K455" t="s">
        <v>980</v>
      </c>
      <c r="L455" t="s">
        <v>981</v>
      </c>
    </row>
    <row r="456" spans="1:13" ht="15" customHeight="1" x14ac:dyDescent="0.25">
      <c r="A456">
        <v>455</v>
      </c>
      <c r="B456" s="5">
        <v>45842</v>
      </c>
      <c r="C456" t="s">
        <v>47</v>
      </c>
      <c r="D456" t="s">
        <v>42</v>
      </c>
      <c r="E456" t="s">
        <v>43</v>
      </c>
      <c r="F456" t="s">
        <v>44</v>
      </c>
      <c r="G456" s="6">
        <v>2391.8200000000002</v>
      </c>
      <c r="H456" s="7">
        <v>0</v>
      </c>
      <c r="I456" s="6">
        <v>0</v>
      </c>
      <c r="J456" s="6">
        <v>2391.8200000000002</v>
      </c>
      <c r="K456" t="s">
        <v>982</v>
      </c>
      <c r="L456" t="s">
        <v>983</v>
      </c>
    </row>
    <row r="457" spans="1:13" ht="15" customHeight="1" x14ac:dyDescent="0.25">
      <c r="A457">
        <v>456</v>
      </c>
      <c r="B457" s="5">
        <v>45758</v>
      </c>
      <c r="C457" t="s">
        <v>47</v>
      </c>
      <c r="D457" t="s">
        <v>172</v>
      </c>
      <c r="E457" t="s">
        <v>173</v>
      </c>
      <c r="F457" t="s">
        <v>30</v>
      </c>
      <c r="G457" s="6">
        <v>2103.75</v>
      </c>
      <c r="H457" s="7">
        <v>0.2</v>
      </c>
      <c r="I457" s="6">
        <v>420.75</v>
      </c>
      <c r="J457" s="6">
        <v>2524.5</v>
      </c>
      <c r="K457" t="s">
        <v>984</v>
      </c>
      <c r="L457" t="s">
        <v>985</v>
      </c>
      <c r="M457" t="s">
        <v>286</v>
      </c>
    </row>
    <row r="458" spans="1:13" ht="15" customHeight="1" x14ac:dyDescent="0.25">
      <c r="A458">
        <v>457</v>
      </c>
      <c r="B458" s="5">
        <v>45828</v>
      </c>
      <c r="C458" t="s">
        <v>33</v>
      </c>
      <c r="D458" t="s">
        <v>100</v>
      </c>
      <c r="E458" t="s">
        <v>101</v>
      </c>
      <c r="F458" t="s">
        <v>44</v>
      </c>
      <c r="G458" s="6">
        <v>2711.74</v>
      </c>
      <c r="H458" s="7">
        <v>0</v>
      </c>
      <c r="I458" s="6">
        <v>0</v>
      </c>
      <c r="J458" s="6">
        <v>2711.74</v>
      </c>
      <c r="K458" t="s">
        <v>986</v>
      </c>
      <c r="L458" t="s">
        <v>987</v>
      </c>
    </row>
    <row r="459" spans="1:13" ht="15" customHeight="1" x14ac:dyDescent="0.25">
      <c r="A459">
        <v>458</v>
      </c>
      <c r="B459" s="5">
        <v>45727</v>
      </c>
      <c r="C459" t="s">
        <v>47</v>
      </c>
      <c r="D459" t="s">
        <v>55</v>
      </c>
      <c r="E459" t="s">
        <v>56</v>
      </c>
      <c r="F459" t="s">
        <v>84</v>
      </c>
      <c r="G459" s="6">
        <v>1407.92</v>
      </c>
      <c r="H459" s="7">
        <v>5.5E-2</v>
      </c>
      <c r="I459" s="6">
        <v>77.44</v>
      </c>
      <c r="J459" s="6">
        <v>1485.36</v>
      </c>
      <c r="K459" t="s">
        <v>988</v>
      </c>
      <c r="L459" t="s">
        <v>989</v>
      </c>
    </row>
    <row r="460" spans="1:13" ht="15" customHeight="1" x14ac:dyDescent="0.25">
      <c r="A460">
        <v>459</v>
      </c>
      <c r="B460" s="5">
        <v>45748</v>
      </c>
      <c r="C460" t="s">
        <v>33</v>
      </c>
      <c r="D460" t="s">
        <v>79</v>
      </c>
      <c r="E460" t="s">
        <v>80</v>
      </c>
      <c r="F460" t="s">
        <v>50</v>
      </c>
      <c r="G460" s="6">
        <v>4343.42</v>
      </c>
      <c r="H460" s="7">
        <v>0.2</v>
      </c>
      <c r="I460" s="6">
        <v>868.68</v>
      </c>
      <c r="J460" s="6">
        <v>5212.1000000000004</v>
      </c>
      <c r="K460" t="s">
        <v>990</v>
      </c>
      <c r="L460" t="s">
        <v>991</v>
      </c>
    </row>
    <row r="461" spans="1:13" ht="15" customHeight="1" x14ac:dyDescent="0.25">
      <c r="A461">
        <v>460</v>
      </c>
      <c r="B461" s="5">
        <v>45909</v>
      </c>
      <c r="C461" t="s">
        <v>27</v>
      </c>
      <c r="D461" t="s">
        <v>42</v>
      </c>
      <c r="E461" t="s">
        <v>43</v>
      </c>
      <c r="F461" t="s">
        <v>44</v>
      </c>
      <c r="G461" s="6">
        <v>3676.74</v>
      </c>
      <c r="H461" s="7">
        <v>0</v>
      </c>
      <c r="I461" s="6">
        <v>0</v>
      </c>
      <c r="J461" s="6">
        <v>3676.74</v>
      </c>
      <c r="K461" t="s">
        <v>992</v>
      </c>
      <c r="L461" t="s">
        <v>993</v>
      </c>
    </row>
    <row r="462" spans="1:13" ht="15" customHeight="1" x14ac:dyDescent="0.25">
      <c r="A462">
        <v>461</v>
      </c>
      <c r="B462" s="5">
        <v>45859</v>
      </c>
      <c r="C462" t="s">
        <v>47</v>
      </c>
      <c r="D462" t="s">
        <v>55</v>
      </c>
      <c r="E462" t="s">
        <v>56</v>
      </c>
      <c r="F462" t="s">
        <v>84</v>
      </c>
      <c r="G462" s="6">
        <v>1693.37</v>
      </c>
      <c r="H462" s="7">
        <v>5.5E-2</v>
      </c>
      <c r="I462" s="6">
        <v>93.14</v>
      </c>
      <c r="J462" s="6">
        <v>1786.51</v>
      </c>
      <c r="K462" t="s">
        <v>994</v>
      </c>
      <c r="L462" t="s">
        <v>995</v>
      </c>
    </row>
    <row r="463" spans="1:13" ht="15" customHeight="1" x14ac:dyDescent="0.25">
      <c r="A463">
        <v>462</v>
      </c>
      <c r="B463" s="5">
        <v>45750</v>
      </c>
      <c r="C463" t="s">
        <v>27</v>
      </c>
      <c r="D463" t="s">
        <v>94</v>
      </c>
      <c r="E463" t="s">
        <v>95</v>
      </c>
      <c r="F463" t="s">
        <v>44</v>
      </c>
      <c r="G463" s="6">
        <v>1875.25</v>
      </c>
      <c r="H463" s="7">
        <v>0</v>
      </c>
      <c r="I463" s="6">
        <v>0</v>
      </c>
      <c r="J463" s="6">
        <v>1875.25</v>
      </c>
      <c r="K463" t="s">
        <v>996</v>
      </c>
      <c r="L463" t="s">
        <v>997</v>
      </c>
    </row>
    <row r="464" spans="1:13" ht="15" customHeight="1" x14ac:dyDescent="0.25">
      <c r="A464">
        <v>463</v>
      </c>
      <c r="B464" s="5">
        <v>45765</v>
      </c>
      <c r="C464" t="s">
        <v>47</v>
      </c>
      <c r="D464" t="s">
        <v>100</v>
      </c>
      <c r="E464" t="s">
        <v>101</v>
      </c>
      <c r="F464" t="s">
        <v>44</v>
      </c>
      <c r="G464" s="6">
        <v>2499.19</v>
      </c>
      <c r="H464" s="7">
        <v>0</v>
      </c>
      <c r="I464" s="6">
        <v>0</v>
      </c>
      <c r="J464" s="6">
        <v>2499.19</v>
      </c>
      <c r="K464" t="s">
        <v>998</v>
      </c>
      <c r="L464" t="s">
        <v>999</v>
      </c>
    </row>
    <row r="465" spans="1:13" ht="15" customHeight="1" x14ac:dyDescent="0.25">
      <c r="A465">
        <v>464</v>
      </c>
      <c r="B465" s="5">
        <v>45867</v>
      </c>
      <c r="C465" t="s">
        <v>33</v>
      </c>
      <c r="D465" t="s">
        <v>42</v>
      </c>
      <c r="E465" t="s">
        <v>43</v>
      </c>
      <c r="F465" t="s">
        <v>44</v>
      </c>
      <c r="G465" s="6">
        <v>2134.0300000000002</v>
      </c>
      <c r="H465" s="7">
        <v>0</v>
      </c>
      <c r="I465" s="6">
        <v>0</v>
      </c>
      <c r="J465" s="6">
        <v>2134.0300000000002</v>
      </c>
      <c r="K465" t="s">
        <v>1000</v>
      </c>
      <c r="L465" t="s">
        <v>1001</v>
      </c>
    </row>
    <row r="466" spans="1:13" ht="15" customHeight="1" x14ac:dyDescent="0.25">
      <c r="A466">
        <v>465</v>
      </c>
      <c r="B466" s="5">
        <v>45736</v>
      </c>
      <c r="C466" t="s">
        <v>33</v>
      </c>
      <c r="D466" t="s">
        <v>55</v>
      </c>
      <c r="E466" t="s">
        <v>56</v>
      </c>
      <c r="F466" t="s">
        <v>36</v>
      </c>
      <c r="G466" s="6">
        <v>3241.34</v>
      </c>
      <c r="H466" s="7">
        <v>5.5E-2</v>
      </c>
      <c r="I466" s="6">
        <v>178.27</v>
      </c>
      <c r="J466" s="6">
        <v>3419.61</v>
      </c>
      <c r="K466" t="s">
        <v>1002</v>
      </c>
      <c r="L466" t="s">
        <v>1003</v>
      </c>
    </row>
    <row r="467" spans="1:13" ht="15" customHeight="1" x14ac:dyDescent="0.25">
      <c r="A467">
        <v>466</v>
      </c>
      <c r="B467" s="5">
        <v>45903</v>
      </c>
      <c r="C467" t="s">
        <v>47</v>
      </c>
      <c r="D467" t="s">
        <v>94</v>
      </c>
      <c r="E467" t="s">
        <v>95</v>
      </c>
      <c r="F467" t="s">
        <v>44</v>
      </c>
      <c r="G467" s="6">
        <v>1835.92</v>
      </c>
      <c r="H467" s="7">
        <v>0</v>
      </c>
      <c r="I467" s="6">
        <v>0</v>
      </c>
      <c r="J467" s="6">
        <v>1835.92</v>
      </c>
      <c r="K467" t="s">
        <v>1004</v>
      </c>
      <c r="L467" t="s">
        <v>1005</v>
      </c>
    </row>
    <row r="468" spans="1:13" ht="15" customHeight="1" x14ac:dyDescent="0.25">
      <c r="A468">
        <v>467</v>
      </c>
      <c r="B468" s="5">
        <v>45842</v>
      </c>
      <c r="C468" t="s">
        <v>47</v>
      </c>
      <c r="D468" t="s">
        <v>172</v>
      </c>
      <c r="E468" t="s">
        <v>173</v>
      </c>
      <c r="F468" t="s">
        <v>106</v>
      </c>
      <c r="G468" s="6">
        <v>3181.22</v>
      </c>
      <c r="H468" s="7">
        <v>0.2</v>
      </c>
      <c r="I468" s="6">
        <v>636.24</v>
      </c>
      <c r="J468" s="6">
        <v>3817.46</v>
      </c>
      <c r="K468" t="s">
        <v>1006</v>
      </c>
      <c r="L468" t="s">
        <v>1007</v>
      </c>
    </row>
    <row r="469" spans="1:13" ht="15" customHeight="1" x14ac:dyDescent="0.25">
      <c r="A469">
        <v>468</v>
      </c>
      <c r="B469" s="5">
        <v>45713</v>
      </c>
      <c r="C469" t="s">
        <v>27</v>
      </c>
      <c r="D469" t="s">
        <v>100</v>
      </c>
      <c r="E469" t="s">
        <v>101</v>
      </c>
      <c r="F469" t="s">
        <v>44</v>
      </c>
      <c r="G469" s="6">
        <v>3378.24</v>
      </c>
      <c r="H469" s="7">
        <v>0</v>
      </c>
      <c r="I469" s="6">
        <v>0</v>
      </c>
      <c r="J469" s="6">
        <v>3378.24</v>
      </c>
      <c r="K469" t="s">
        <v>1008</v>
      </c>
      <c r="L469" t="s">
        <v>1009</v>
      </c>
    </row>
    <row r="470" spans="1:13" ht="15" customHeight="1" x14ac:dyDescent="0.25">
      <c r="A470">
        <v>469</v>
      </c>
      <c r="B470" s="5">
        <v>45680</v>
      </c>
      <c r="C470" t="s">
        <v>33</v>
      </c>
      <c r="D470" t="s">
        <v>181</v>
      </c>
      <c r="E470" t="s">
        <v>182</v>
      </c>
      <c r="F470" t="s">
        <v>120</v>
      </c>
      <c r="G470" s="6">
        <v>2569.4299999999998</v>
      </c>
      <c r="H470" s="7">
        <v>0.2</v>
      </c>
      <c r="I470" s="6">
        <v>513.89</v>
      </c>
      <c r="J470" s="6">
        <v>3083.32</v>
      </c>
      <c r="K470" t="s">
        <v>1010</v>
      </c>
      <c r="L470" t="s">
        <v>1011</v>
      </c>
    </row>
    <row r="471" spans="1:13" ht="15" customHeight="1" x14ac:dyDescent="0.25">
      <c r="A471">
        <v>470</v>
      </c>
      <c r="B471" s="5">
        <v>45827</v>
      </c>
      <c r="C471" t="s">
        <v>27</v>
      </c>
      <c r="D471" t="s">
        <v>63</v>
      </c>
      <c r="E471" t="s">
        <v>64</v>
      </c>
      <c r="F471" t="s">
        <v>36</v>
      </c>
      <c r="G471" s="6">
        <v>4348.47</v>
      </c>
      <c r="H471" s="7">
        <v>0.2</v>
      </c>
      <c r="I471" s="6">
        <v>869.69</v>
      </c>
      <c r="J471" s="6">
        <v>5218.16</v>
      </c>
      <c r="K471" t="s">
        <v>1012</v>
      </c>
      <c r="L471" t="s">
        <v>1013</v>
      </c>
    </row>
    <row r="472" spans="1:13" ht="15" customHeight="1" x14ac:dyDescent="0.25">
      <c r="A472">
        <v>471</v>
      </c>
      <c r="B472" s="5">
        <v>45771</v>
      </c>
      <c r="C472" t="s">
        <v>33</v>
      </c>
      <c r="D472" t="s">
        <v>28</v>
      </c>
      <c r="E472" t="s">
        <v>29</v>
      </c>
      <c r="F472" t="s">
        <v>106</v>
      </c>
      <c r="G472" s="6">
        <v>2337.19</v>
      </c>
      <c r="H472" s="7">
        <v>2.1000000000000001E-2</v>
      </c>
      <c r="I472" s="6">
        <v>49.08</v>
      </c>
      <c r="J472" s="6">
        <v>2386.27</v>
      </c>
      <c r="K472" t="s">
        <v>1014</v>
      </c>
      <c r="L472" t="s">
        <v>1015</v>
      </c>
    </row>
    <row r="473" spans="1:13" ht="15" customHeight="1" x14ac:dyDescent="0.25">
      <c r="A473">
        <v>472</v>
      </c>
      <c r="B473" s="5">
        <v>45771</v>
      </c>
      <c r="C473" t="s">
        <v>27</v>
      </c>
      <c r="D473" t="s">
        <v>34</v>
      </c>
      <c r="E473" t="s">
        <v>35</v>
      </c>
      <c r="F473" t="s">
        <v>36</v>
      </c>
      <c r="G473" s="6">
        <v>2050.34</v>
      </c>
      <c r="H473" s="7">
        <v>0.2</v>
      </c>
      <c r="I473" s="6">
        <v>410.07</v>
      </c>
      <c r="J473" s="6">
        <v>2460.41</v>
      </c>
      <c r="K473" t="s">
        <v>1016</v>
      </c>
      <c r="L473" t="s">
        <v>1017</v>
      </c>
    </row>
    <row r="474" spans="1:13" ht="15" customHeight="1" x14ac:dyDescent="0.25">
      <c r="A474">
        <v>473</v>
      </c>
      <c r="B474" s="5">
        <v>45735</v>
      </c>
      <c r="C474" t="s">
        <v>27</v>
      </c>
      <c r="D474" t="s">
        <v>172</v>
      </c>
      <c r="E474" t="s">
        <v>173</v>
      </c>
      <c r="F474" t="s">
        <v>39</v>
      </c>
      <c r="G474" s="6">
        <v>1604.76</v>
      </c>
      <c r="H474" s="7">
        <v>0.2</v>
      </c>
      <c r="I474" s="6">
        <v>320.95</v>
      </c>
      <c r="J474" s="6">
        <v>1925.71</v>
      </c>
      <c r="K474" t="s">
        <v>1018</v>
      </c>
      <c r="L474" t="s">
        <v>1019</v>
      </c>
    </row>
    <row r="475" spans="1:13" ht="15" customHeight="1" x14ac:dyDescent="0.25">
      <c r="A475">
        <v>474</v>
      </c>
      <c r="B475" s="5">
        <v>45701</v>
      </c>
      <c r="C475" t="s">
        <v>33</v>
      </c>
      <c r="D475" t="s">
        <v>55</v>
      </c>
      <c r="E475" t="s">
        <v>56</v>
      </c>
      <c r="F475" t="s">
        <v>81</v>
      </c>
      <c r="G475" s="6">
        <v>593.03</v>
      </c>
      <c r="H475" s="7">
        <v>5.5E-2</v>
      </c>
      <c r="I475" s="6">
        <v>32.619999999999997</v>
      </c>
      <c r="J475" s="6">
        <v>625.65</v>
      </c>
      <c r="K475" t="s">
        <v>1020</v>
      </c>
      <c r="L475" t="s">
        <v>1021</v>
      </c>
    </row>
    <row r="476" spans="1:13" ht="15" customHeight="1" x14ac:dyDescent="0.25">
      <c r="A476">
        <v>475</v>
      </c>
      <c r="B476" s="5">
        <v>45891</v>
      </c>
      <c r="C476" t="s">
        <v>47</v>
      </c>
      <c r="D476" t="s">
        <v>55</v>
      </c>
      <c r="E476" t="s">
        <v>56</v>
      </c>
      <c r="F476" t="s">
        <v>106</v>
      </c>
      <c r="G476" s="6">
        <v>3546.47</v>
      </c>
      <c r="H476" s="7">
        <v>5.5E-2</v>
      </c>
      <c r="I476" s="6">
        <v>195.06</v>
      </c>
      <c r="J476" s="6">
        <v>3741.53</v>
      </c>
      <c r="K476" t="s">
        <v>1022</v>
      </c>
      <c r="L476" t="s">
        <v>1023</v>
      </c>
    </row>
    <row r="477" spans="1:13" ht="15" customHeight="1" x14ac:dyDescent="0.25">
      <c r="A477">
        <v>476</v>
      </c>
      <c r="B477" s="5">
        <v>45882</v>
      </c>
      <c r="C477" t="s">
        <v>47</v>
      </c>
      <c r="D477" t="s">
        <v>79</v>
      </c>
      <c r="E477" t="s">
        <v>80</v>
      </c>
      <c r="F477" t="s">
        <v>76</v>
      </c>
      <c r="G477" s="6">
        <v>3271.21</v>
      </c>
      <c r="H477" s="7">
        <v>5.5E-2</v>
      </c>
      <c r="I477" s="6">
        <v>179.92</v>
      </c>
      <c r="J477" s="6">
        <v>3451.13</v>
      </c>
      <c r="K477" t="s">
        <v>1024</v>
      </c>
      <c r="L477" t="s">
        <v>1025</v>
      </c>
      <c r="M477" t="s">
        <v>447</v>
      </c>
    </row>
    <row r="478" spans="1:13" ht="15" customHeight="1" x14ac:dyDescent="0.25">
      <c r="A478">
        <v>477</v>
      </c>
      <c r="B478" s="5">
        <v>46021</v>
      </c>
      <c r="C478" t="s">
        <v>33</v>
      </c>
      <c r="D478" t="s">
        <v>55</v>
      </c>
      <c r="E478" t="s">
        <v>56</v>
      </c>
      <c r="F478" t="s">
        <v>50</v>
      </c>
      <c r="G478" s="6">
        <v>588.67999999999995</v>
      </c>
      <c r="H478" s="7">
        <v>5.5E-2</v>
      </c>
      <c r="I478" s="6">
        <v>32.380000000000003</v>
      </c>
      <c r="J478" s="6">
        <v>621.05999999999995</v>
      </c>
      <c r="K478" t="s">
        <v>1026</v>
      </c>
      <c r="L478" t="s">
        <v>1027</v>
      </c>
    </row>
    <row r="479" spans="1:13" ht="15" customHeight="1" x14ac:dyDescent="0.25">
      <c r="A479">
        <v>478</v>
      </c>
      <c r="B479" s="5">
        <v>45742</v>
      </c>
      <c r="C479" t="s">
        <v>33</v>
      </c>
      <c r="D479" t="s">
        <v>34</v>
      </c>
      <c r="E479" t="s">
        <v>35</v>
      </c>
      <c r="F479" t="s">
        <v>81</v>
      </c>
      <c r="G479" s="6">
        <v>4190.26</v>
      </c>
      <c r="H479" s="7">
        <v>0.2</v>
      </c>
      <c r="I479" s="6">
        <v>838.05</v>
      </c>
      <c r="J479" s="6">
        <v>5028.3100000000004</v>
      </c>
      <c r="K479" t="s">
        <v>1028</v>
      </c>
      <c r="L479" t="s">
        <v>1029</v>
      </c>
    </row>
    <row r="480" spans="1:13" ht="15" customHeight="1" x14ac:dyDescent="0.25">
      <c r="A480">
        <v>479</v>
      </c>
      <c r="B480" s="5">
        <v>45827</v>
      </c>
      <c r="C480" t="s">
        <v>27</v>
      </c>
      <c r="D480" t="s">
        <v>28</v>
      </c>
      <c r="E480" t="s">
        <v>29</v>
      </c>
      <c r="F480" t="s">
        <v>76</v>
      </c>
      <c r="G480" s="6">
        <v>2554.5300000000002</v>
      </c>
      <c r="H480" s="7">
        <v>2.1000000000000001E-2</v>
      </c>
      <c r="I480" s="6">
        <v>53.65</v>
      </c>
      <c r="J480" s="6">
        <v>2608.1799999999998</v>
      </c>
      <c r="K480" t="s">
        <v>1030</v>
      </c>
      <c r="L480" t="s">
        <v>1031</v>
      </c>
    </row>
    <row r="481" spans="1:13" ht="15" customHeight="1" x14ac:dyDescent="0.25">
      <c r="A481">
        <v>480</v>
      </c>
      <c r="B481" s="5">
        <v>45985</v>
      </c>
      <c r="C481" t="s">
        <v>47</v>
      </c>
      <c r="D481" t="s">
        <v>181</v>
      </c>
      <c r="E481" t="s">
        <v>182</v>
      </c>
      <c r="F481" t="s">
        <v>36</v>
      </c>
      <c r="G481" s="6">
        <v>2985.3</v>
      </c>
      <c r="H481" s="7">
        <v>0.2</v>
      </c>
      <c r="I481" s="6">
        <v>597.05999999999995</v>
      </c>
      <c r="J481" s="6">
        <v>3582.36</v>
      </c>
      <c r="K481" t="s">
        <v>1032</v>
      </c>
      <c r="M481" t="s">
        <v>186</v>
      </c>
    </row>
    <row r="482" spans="1:13" ht="15" customHeight="1" x14ac:dyDescent="0.25">
      <c r="A482">
        <v>481</v>
      </c>
      <c r="B482" s="5">
        <v>45888</v>
      </c>
      <c r="C482" t="s">
        <v>27</v>
      </c>
      <c r="D482" t="s">
        <v>181</v>
      </c>
      <c r="E482" t="s">
        <v>182</v>
      </c>
      <c r="F482" t="s">
        <v>36</v>
      </c>
      <c r="G482" s="6">
        <v>2697.54</v>
      </c>
      <c r="H482" s="7">
        <v>0.2</v>
      </c>
      <c r="I482" s="6">
        <v>539.51</v>
      </c>
      <c r="J482" s="6">
        <v>3237.05</v>
      </c>
      <c r="K482" t="s">
        <v>1033</v>
      </c>
      <c r="L482" t="s">
        <v>1034</v>
      </c>
    </row>
    <row r="483" spans="1:13" ht="15" customHeight="1" x14ac:dyDescent="0.25">
      <c r="A483">
        <v>482</v>
      </c>
      <c r="B483" s="5">
        <v>45800</v>
      </c>
      <c r="C483" t="s">
        <v>27</v>
      </c>
      <c r="D483" t="s">
        <v>28</v>
      </c>
      <c r="E483" t="s">
        <v>29</v>
      </c>
      <c r="F483" t="s">
        <v>87</v>
      </c>
      <c r="G483" s="6">
        <v>3405.28</v>
      </c>
      <c r="H483" s="7">
        <v>2.1000000000000001E-2</v>
      </c>
      <c r="I483" s="6">
        <v>71.510000000000005</v>
      </c>
      <c r="J483" s="6">
        <v>3476.79</v>
      </c>
      <c r="K483" t="s">
        <v>1035</v>
      </c>
      <c r="L483" t="s">
        <v>1036</v>
      </c>
    </row>
    <row r="484" spans="1:13" ht="15" customHeight="1" x14ac:dyDescent="0.25">
      <c r="A484">
        <v>483</v>
      </c>
      <c r="B484" s="5">
        <v>45932</v>
      </c>
      <c r="C484" t="s">
        <v>33</v>
      </c>
      <c r="D484" t="s">
        <v>42</v>
      </c>
      <c r="E484" t="s">
        <v>43</v>
      </c>
      <c r="F484" t="s">
        <v>44</v>
      </c>
      <c r="G484" s="6">
        <v>2582.36</v>
      </c>
      <c r="H484" s="7">
        <v>0</v>
      </c>
      <c r="I484" s="6">
        <v>0</v>
      </c>
      <c r="J484" s="6">
        <v>2582.36</v>
      </c>
      <c r="K484" t="s">
        <v>1037</v>
      </c>
      <c r="L484" t="s">
        <v>1038</v>
      </c>
    </row>
    <row r="485" spans="1:13" ht="15" customHeight="1" x14ac:dyDescent="0.25">
      <c r="A485">
        <v>484</v>
      </c>
      <c r="B485" s="5">
        <v>45908</v>
      </c>
      <c r="C485" t="s">
        <v>33</v>
      </c>
      <c r="D485" t="s">
        <v>55</v>
      </c>
      <c r="E485" t="s">
        <v>56</v>
      </c>
      <c r="F485" t="s">
        <v>120</v>
      </c>
      <c r="G485" s="6">
        <v>2412.5</v>
      </c>
      <c r="H485" s="7">
        <v>5.5E-2</v>
      </c>
      <c r="I485" s="6">
        <v>132.69</v>
      </c>
      <c r="J485" s="6">
        <v>2545.19</v>
      </c>
      <c r="K485" t="s">
        <v>1039</v>
      </c>
      <c r="L485" t="s">
        <v>1040</v>
      </c>
    </row>
    <row r="486" spans="1:13" ht="15" customHeight="1" x14ac:dyDescent="0.25">
      <c r="A486">
        <v>485</v>
      </c>
      <c r="B486" s="5">
        <v>45958</v>
      </c>
      <c r="C486" t="s">
        <v>27</v>
      </c>
      <c r="D486" t="s">
        <v>63</v>
      </c>
      <c r="E486" t="s">
        <v>64</v>
      </c>
      <c r="F486" t="s">
        <v>50</v>
      </c>
      <c r="G486" s="6">
        <v>584.91</v>
      </c>
      <c r="H486" s="7">
        <v>0.2</v>
      </c>
      <c r="I486" s="6">
        <v>116.98</v>
      </c>
      <c r="J486" s="6">
        <v>701.89</v>
      </c>
      <c r="K486" t="s">
        <v>1041</v>
      </c>
      <c r="M486" t="s">
        <v>186</v>
      </c>
    </row>
    <row r="487" spans="1:13" ht="15" customHeight="1" x14ac:dyDescent="0.25">
      <c r="A487">
        <v>486</v>
      </c>
      <c r="B487" s="5">
        <v>46002</v>
      </c>
      <c r="C487" t="s">
        <v>47</v>
      </c>
      <c r="D487" t="s">
        <v>181</v>
      </c>
      <c r="E487" t="s">
        <v>182</v>
      </c>
      <c r="F487" t="s">
        <v>174</v>
      </c>
      <c r="G487" s="6">
        <v>3200.47</v>
      </c>
      <c r="H487" s="7">
        <v>0.2</v>
      </c>
      <c r="I487" s="6">
        <v>640.09</v>
      </c>
      <c r="J487" s="6">
        <v>3840.56</v>
      </c>
      <c r="K487" t="s">
        <v>1042</v>
      </c>
      <c r="L487" t="s">
        <v>1043</v>
      </c>
    </row>
    <row r="488" spans="1:13" ht="15" customHeight="1" x14ac:dyDescent="0.25">
      <c r="A488">
        <v>487</v>
      </c>
      <c r="B488" s="5">
        <v>45726</v>
      </c>
      <c r="C488" t="s">
        <v>27</v>
      </c>
      <c r="D488" t="s">
        <v>28</v>
      </c>
      <c r="E488" t="s">
        <v>29</v>
      </c>
      <c r="F488" t="s">
        <v>71</v>
      </c>
      <c r="G488" s="6">
        <v>1464.28</v>
      </c>
      <c r="H488" s="7">
        <v>2.1000000000000001E-2</v>
      </c>
      <c r="I488" s="6">
        <v>30.75</v>
      </c>
      <c r="J488" s="6">
        <v>1495.03</v>
      </c>
      <c r="K488" t="s">
        <v>1044</v>
      </c>
      <c r="L488" t="s">
        <v>1045</v>
      </c>
    </row>
    <row r="489" spans="1:13" ht="15" customHeight="1" x14ac:dyDescent="0.25">
      <c r="A489">
        <v>488</v>
      </c>
      <c r="B489" s="5">
        <v>46013</v>
      </c>
      <c r="C489" t="s">
        <v>33</v>
      </c>
      <c r="D489" t="s">
        <v>28</v>
      </c>
      <c r="E489" t="s">
        <v>29</v>
      </c>
      <c r="F489" t="s">
        <v>36</v>
      </c>
      <c r="G489" s="6">
        <v>704.8</v>
      </c>
      <c r="H489" s="7">
        <v>2.1000000000000001E-2</v>
      </c>
      <c r="I489" s="6">
        <v>14.8</v>
      </c>
      <c r="J489" s="6">
        <v>719.6</v>
      </c>
      <c r="K489" t="s">
        <v>1046</v>
      </c>
      <c r="L489" t="s">
        <v>1047</v>
      </c>
    </row>
    <row r="490" spans="1:13" ht="15" customHeight="1" x14ac:dyDescent="0.25">
      <c r="A490">
        <v>489</v>
      </c>
      <c r="B490" s="5">
        <v>45854</v>
      </c>
      <c r="C490" t="s">
        <v>27</v>
      </c>
      <c r="D490" t="s">
        <v>28</v>
      </c>
      <c r="E490" t="s">
        <v>29</v>
      </c>
      <c r="F490" t="s">
        <v>76</v>
      </c>
      <c r="G490" s="6">
        <v>1949.83</v>
      </c>
      <c r="H490" s="7">
        <v>2.1000000000000001E-2</v>
      </c>
      <c r="I490" s="6">
        <v>40.950000000000003</v>
      </c>
      <c r="J490" s="6">
        <v>1990.78</v>
      </c>
      <c r="K490" t="s">
        <v>1048</v>
      </c>
      <c r="L490" t="s">
        <v>1049</v>
      </c>
    </row>
    <row r="491" spans="1:13" ht="15" customHeight="1" x14ac:dyDescent="0.25">
      <c r="A491">
        <v>490</v>
      </c>
      <c r="B491" s="5">
        <v>45988</v>
      </c>
      <c r="C491" t="s">
        <v>27</v>
      </c>
      <c r="D491" t="s">
        <v>42</v>
      </c>
      <c r="E491" t="s">
        <v>43</v>
      </c>
      <c r="F491" t="s">
        <v>44</v>
      </c>
      <c r="G491" s="6">
        <v>2215.7600000000002</v>
      </c>
      <c r="H491" s="7">
        <v>0</v>
      </c>
      <c r="I491" s="6">
        <v>0</v>
      </c>
      <c r="J491" s="6">
        <v>2215.7600000000002</v>
      </c>
      <c r="K491" t="s">
        <v>1050</v>
      </c>
      <c r="L491" t="s">
        <v>1051</v>
      </c>
    </row>
    <row r="492" spans="1:13" ht="15" customHeight="1" x14ac:dyDescent="0.25">
      <c r="A492">
        <v>491</v>
      </c>
      <c r="B492" s="5">
        <v>45819</v>
      </c>
      <c r="C492" t="s">
        <v>47</v>
      </c>
      <c r="D492" t="s">
        <v>55</v>
      </c>
      <c r="E492" t="s">
        <v>56</v>
      </c>
      <c r="F492" t="s">
        <v>84</v>
      </c>
      <c r="G492" s="6">
        <v>3801.57</v>
      </c>
      <c r="H492" s="7">
        <v>5.5E-2</v>
      </c>
      <c r="I492" s="6">
        <v>209.09</v>
      </c>
      <c r="J492" s="6">
        <v>4010.66</v>
      </c>
      <c r="K492" t="s">
        <v>1052</v>
      </c>
      <c r="L492" t="s">
        <v>1053</v>
      </c>
    </row>
    <row r="493" spans="1:13" ht="15" customHeight="1" x14ac:dyDescent="0.25">
      <c r="A493">
        <v>492</v>
      </c>
      <c r="B493" s="5">
        <v>45727</v>
      </c>
      <c r="C493" t="s">
        <v>47</v>
      </c>
      <c r="D493" t="s">
        <v>100</v>
      </c>
      <c r="E493" t="s">
        <v>101</v>
      </c>
      <c r="F493" t="s">
        <v>44</v>
      </c>
      <c r="G493" s="6">
        <v>2721.47</v>
      </c>
      <c r="H493" s="7">
        <v>0</v>
      </c>
      <c r="I493" s="6">
        <v>0</v>
      </c>
      <c r="J493" s="6">
        <v>2721.47</v>
      </c>
      <c r="K493" t="s">
        <v>1054</v>
      </c>
      <c r="L493" t="s">
        <v>1055</v>
      </c>
    </row>
    <row r="494" spans="1:13" ht="15" customHeight="1" x14ac:dyDescent="0.25">
      <c r="A494">
        <v>493</v>
      </c>
      <c r="B494" s="5">
        <v>45867</v>
      </c>
      <c r="C494" t="s">
        <v>27</v>
      </c>
      <c r="D494" t="s">
        <v>34</v>
      </c>
      <c r="E494" t="s">
        <v>35</v>
      </c>
      <c r="F494" t="s">
        <v>36</v>
      </c>
      <c r="G494" s="6">
        <v>3106.36</v>
      </c>
      <c r="H494" s="7">
        <v>0.2</v>
      </c>
      <c r="I494" s="6">
        <v>621.27</v>
      </c>
      <c r="J494" s="6">
        <v>3727.63</v>
      </c>
      <c r="K494" t="s">
        <v>1056</v>
      </c>
      <c r="L494" t="s">
        <v>1057</v>
      </c>
    </row>
    <row r="495" spans="1:13" ht="15" customHeight="1" x14ac:dyDescent="0.25">
      <c r="A495">
        <v>494</v>
      </c>
      <c r="B495" s="5">
        <v>45700</v>
      </c>
      <c r="C495" t="s">
        <v>47</v>
      </c>
      <c r="D495" t="s">
        <v>79</v>
      </c>
      <c r="E495" t="s">
        <v>80</v>
      </c>
      <c r="F495" t="s">
        <v>71</v>
      </c>
      <c r="G495" s="6">
        <v>2579.06</v>
      </c>
      <c r="H495" s="7">
        <v>0.2</v>
      </c>
      <c r="I495" s="6">
        <v>515.80999999999995</v>
      </c>
      <c r="J495" s="6">
        <v>3094.87</v>
      </c>
      <c r="K495" t="s">
        <v>1058</v>
      </c>
      <c r="L495" t="s">
        <v>1059</v>
      </c>
    </row>
    <row r="496" spans="1:13" ht="15" customHeight="1" x14ac:dyDescent="0.25">
      <c r="A496">
        <v>495</v>
      </c>
      <c r="B496" s="5">
        <v>45933</v>
      </c>
      <c r="C496" t="s">
        <v>33</v>
      </c>
      <c r="D496" t="s">
        <v>55</v>
      </c>
      <c r="E496" t="s">
        <v>56</v>
      </c>
      <c r="F496" t="s">
        <v>76</v>
      </c>
      <c r="G496" s="6">
        <v>1355.92</v>
      </c>
      <c r="H496" s="7">
        <v>5.5E-2</v>
      </c>
      <c r="I496" s="6">
        <v>74.58</v>
      </c>
      <c r="J496" s="6">
        <v>1430.5</v>
      </c>
      <c r="K496" t="s">
        <v>1060</v>
      </c>
      <c r="L496" t="s">
        <v>1061</v>
      </c>
    </row>
    <row r="497" spans="1:12" ht="15" customHeight="1" x14ac:dyDescent="0.25">
      <c r="A497">
        <v>496</v>
      </c>
      <c r="B497" s="5">
        <v>45911</v>
      </c>
      <c r="C497" t="s">
        <v>27</v>
      </c>
      <c r="D497" t="s">
        <v>42</v>
      </c>
      <c r="E497" t="s">
        <v>43</v>
      </c>
      <c r="F497" t="s">
        <v>44</v>
      </c>
      <c r="G497" s="6">
        <v>2071.71</v>
      </c>
      <c r="H497" s="7">
        <v>0</v>
      </c>
      <c r="I497" s="6">
        <v>0</v>
      </c>
      <c r="J497" s="6">
        <v>2071.71</v>
      </c>
      <c r="K497" t="s">
        <v>1062</v>
      </c>
      <c r="L497" t="s">
        <v>1063</v>
      </c>
    </row>
    <row r="498" spans="1:12" ht="15" customHeight="1" x14ac:dyDescent="0.25">
      <c r="A498">
        <v>497</v>
      </c>
      <c r="B498" s="5">
        <v>45845</v>
      </c>
      <c r="C498" t="s">
        <v>47</v>
      </c>
      <c r="D498" t="s">
        <v>42</v>
      </c>
      <c r="E498" t="s">
        <v>43</v>
      </c>
      <c r="F498" t="s">
        <v>44</v>
      </c>
      <c r="G498" s="6">
        <v>3616.29</v>
      </c>
      <c r="H498" s="7">
        <v>0</v>
      </c>
      <c r="I498" s="6">
        <v>0</v>
      </c>
      <c r="J498" s="6">
        <v>3616.29</v>
      </c>
      <c r="K498" t="s">
        <v>1064</v>
      </c>
      <c r="L498" t="s">
        <v>1065</v>
      </c>
    </row>
    <row r="499" spans="1:12" ht="15" customHeight="1" x14ac:dyDescent="0.25">
      <c r="A499">
        <v>498</v>
      </c>
      <c r="B499" s="5">
        <v>45769</v>
      </c>
      <c r="C499" t="s">
        <v>27</v>
      </c>
      <c r="D499" t="s">
        <v>79</v>
      </c>
      <c r="E499" t="s">
        <v>80</v>
      </c>
      <c r="F499" t="s">
        <v>87</v>
      </c>
      <c r="G499" s="6">
        <v>4454.8100000000004</v>
      </c>
      <c r="H499" s="7">
        <v>0.2</v>
      </c>
      <c r="I499" s="6">
        <v>890.96</v>
      </c>
      <c r="J499" s="6">
        <v>5345.77</v>
      </c>
      <c r="K499" t="s">
        <v>1066</v>
      </c>
      <c r="L499" t="s">
        <v>1067</v>
      </c>
    </row>
    <row r="500" spans="1:12" ht="15" customHeight="1" x14ac:dyDescent="0.25">
      <c r="A500">
        <v>499</v>
      </c>
      <c r="B500" s="5">
        <v>45810</v>
      </c>
      <c r="C500" t="s">
        <v>27</v>
      </c>
      <c r="D500" t="s">
        <v>42</v>
      </c>
      <c r="E500" t="s">
        <v>43</v>
      </c>
      <c r="F500" t="s">
        <v>44</v>
      </c>
      <c r="G500" s="6">
        <v>1877.35</v>
      </c>
      <c r="H500" s="7">
        <v>0</v>
      </c>
      <c r="I500" s="6">
        <v>0</v>
      </c>
      <c r="J500" s="6">
        <v>1877.35</v>
      </c>
      <c r="K500" t="s">
        <v>1068</v>
      </c>
      <c r="L500" t="s">
        <v>1069</v>
      </c>
    </row>
    <row r="501" spans="1:12" ht="15" customHeight="1" x14ac:dyDescent="0.25">
      <c r="A501">
        <v>500</v>
      </c>
      <c r="B501" s="5">
        <v>45702</v>
      </c>
      <c r="C501" t="s">
        <v>47</v>
      </c>
      <c r="D501" t="s">
        <v>42</v>
      </c>
      <c r="E501" t="s">
        <v>43</v>
      </c>
      <c r="F501" t="s">
        <v>44</v>
      </c>
      <c r="G501" s="6">
        <v>4185.5</v>
      </c>
      <c r="H501" s="7">
        <v>0</v>
      </c>
      <c r="I501" s="6">
        <v>0</v>
      </c>
      <c r="J501" s="6">
        <v>4185.5</v>
      </c>
      <c r="K501" t="s">
        <v>1070</v>
      </c>
      <c r="L501" t="s">
        <v>1071</v>
      </c>
    </row>
    <row r="502" spans="1:12" ht="15" customHeight="1" x14ac:dyDescent="0.25">
      <c r="A502">
        <v>501</v>
      </c>
      <c r="B502" s="5">
        <v>45959</v>
      </c>
      <c r="C502" t="s">
        <v>33</v>
      </c>
      <c r="D502" t="s">
        <v>28</v>
      </c>
      <c r="E502" t="s">
        <v>29</v>
      </c>
      <c r="F502" t="s">
        <v>81</v>
      </c>
      <c r="G502" s="6">
        <v>3125.97</v>
      </c>
      <c r="H502" s="7">
        <v>2.1000000000000001E-2</v>
      </c>
      <c r="I502" s="6">
        <v>65.650000000000006</v>
      </c>
      <c r="J502" s="6">
        <v>3191.62</v>
      </c>
      <c r="K502" t="s">
        <v>1072</v>
      </c>
      <c r="L502" t="s">
        <v>1073</v>
      </c>
    </row>
    <row r="503" spans="1:12" ht="15" customHeight="1" x14ac:dyDescent="0.25">
      <c r="A503">
        <v>502</v>
      </c>
      <c r="B503" s="5">
        <v>45973</v>
      </c>
      <c r="C503" t="s">
        <v>27</v>
      </c>
      <c r="D503" t="s">
        <v>63</v>
      </c>
      <c r="E503" t="s">
        <v>64</v>
      </c>
      <c r="F503" t="s">
        <v>71</v>
      </c>
      <c r="G503" s="6">
        <v>695.42</v>
      </c>
      <c r="H503" s="7">
        <v>0.2</v>
      </c>
      <c r="I503" s="6">
        <v>139.08000000000001</v>
      </c>
      <c r="J503" s="6">
        <v>834.5</v>
      </c>
      <c r="K503" t="s">
        <v>1074</v>
      </c>
      <c r="L503" t="s">
        <v>1075</v>
      </c>
    </row>
    <row r="504" spans="1:12" ht="15" customHeight="1" x14ac:dyDescent="0.25">
      <c r="A504">
        <v>503</v>
      </c>
      <c r="B504" s="5">
        <v>45930</v>
      </c>
      <c r="C504" t="s">
        <v>33</v>
      </c>
      <c r="D504" t="s">
        <v>42</v>
      </c>
      <c r="E504" t="s">
        <v>43</v>
      </c>
      <c r="F504" t="s">
        <v>44</v>
      </c>
      <c r="G504" s="6">
        <v>3093.04</v>
      </c>
      <c r="H504" s="7">
        <v>0</v>
      </c>
      <c r="I504" s="6">
        <v>0</v>
      </c>
      <c r="J504" s="6">
        <v>3093.04</v>
      </c>
      <c r="K504" t="s">
        <v>1076</v>
      </c>
      <c r="L504" t="s">
        <v>1077</v>
      </c>
    </row>
    <row r="505" spans="1:12" ht="15" customHeight="1" x14ac:dyDescent="0.25">
      <c r="A505">
        <v>504</v>
      </c>
      <c r="B505" s="5">
        <v>45951</v>
      </c>
      <c r="C505" t="s">
        <v>27</v>
      </c>
      <c r="D505" t="s">
        <v>55</v>
      </c>
      <c r="E505" t="s">
        <v>56</v>
      </c>
      <c r="F505" t="s">
        <v>106</v>
      </c>
      <c r="G505" s="6">
        <v>1261.6600000000001</v>
      </c>
      <c r="H505" s="7">
        <v>5.5E-2</v>
      </c>
      <c r="I505" s="6">
        <v>69.39</v>
      </c>
      <c r="J505" s="6">
        <v>1331.05</v>
      </c>
      <c r="K505" t="s">
        <v>1078</v>
      </c>
      <c r="L505" t="s">
        <v>1079</v>
      </c>
    </row>
    <row r="506" spans="1:12" ht="15" customHeight="1" x14ac:dyDescent="0.25">
      <c r="A506">
        <v>505</v>
      </c>
      <c r="B506" s="5">
        <v>45868</v>
      </c>
      <c r="C506" t="s">
        <v>33</v>
      </c>
      <c r="D506" t="s">
        <v>28</v>
      </c>
      <c r="E506" t="s">
        <v>29</v>
      </c>
      <c r="F506" t="s">
        <v>174</v>
      </c>
      <c r="G506" s="6">
        <v>4140.96</v>
      </c>
      <c r="H506" s="7">
        <v>2.1000000000000001E-2</v>
      </c>
      <c r="I506" s="6">
        <v>86.96</v>
      </c>
      <c r="J506" s="6">
        <v>4227.92</v>
      </c>
      <c r="K506" t="s">
        <v>1080</v>
      </c>
      <c r="L506" t="s">
        <v>1081</v>
      </c>
    </row>
    <row r="507" spans="1:12" ht="15" customHeight="1" x14ac:dyDescent="0.25">
      <c r="A507">
        <v>506</v>
      </c>
      <c r="B507" s="5">
        <v>45785</v>
      </c>
      <c r="C507" t="s">
        <v>33</v>
      </c>
      <c r="D507" t="s">
        <v>42</v>
      </c>
      <c r="E507" t="s">
        <v>43</v>
      </c>
      <c r="F507" t="s">
        <v>44</v>
      </c>
      <c r="G507" s="6">
        <v>2573.0300000000002</v>
      </c>
      <c r="H507" s="7">
        <v>0</v>
      </c>
      <c r="I507" s="6">
        <v>0</v>
      </c>
      <c r="J507" s="6">
        <v>2573.0300000000002</v>
      </c>
      <c r="K507" t="s">
        <v>1082</v>
      </c>
      <c r="L507" t="s">
        <v>1083</v>
      </c>
    </row>
    <row r="508" spans="1:12" ht="15" customHeight="1" x14ac:dyDescent="0.25">
      <c r="A508">
        <v>507</v>
      </c>
      <c r="B508" s="5">
        <v>45730</v>
      </c>
      <c r="C508" t="s">
        <v>27</v>
      </c>
      <c r="D508" t="s">
        <v>63</v>
      </c>
      <c r="E508" t="s">
        <v>64</v>
      </c>
      <c r="F508" t="s">
        <v>174</v>
      </c>
      <c r="G508" s="6">
        <v>2632.22</v>
      </c>
      <c r="H508" s="7">
        <v>0.2</v>
      </c>
      <c r="I508" s="6">
        <v>526.44000000000005</v>
      </c>
      <c r="J508" s="6">
        <v>3158.66</v>
      </c>
      <c r="K508" t="s">
        <v>1084</v>
      </c>
      <c r="L508" t="s">
        <v>1085</v>
      </c>
    </row>
    <row r="509" spans="1:12" ht="15" customHeight="1" x14ac:dyDescent="0.25">
      <c r="A509">
        <v>508</v>
      </c>
      <c r="B509" s="5">
        <v>45982</v>
      </c>
      <c r="C509" t="s">
        <v>47</v>
      </c>
      <c r="D509" t="s">
        <v>63</v>
      </c>
      <c r="E509" t="s">
        <v>64</v>
      </c>
      <c r="F509" t="s">
        <v>87</v>
      </c>
      <c r="G509" s="6">
        <v>3592.13</v>
      </c>
      <c r="H509" s="7">
        <v>0.2</v>
      </c>
      <c r="I509" s="6">
        <v>718.43</v>
      </c>
      <c r="J509" s="6">
        <v>4310.5600000000004</v>
      </c>
      <c r="K509" t="s">
        <v>1086</v>
      </c>
      <c r="L509" t="s">
        <v>1087</v>
      </c>
    </row>
    <row r="510" spans="1:12" ht="15" customHeight="1" x14ac:dyDescent="0.25">
      <c r="A510">
        <v>509</v>
      </c>
      <c r="B510" s="5">
        <v>46013</v>
      </c>
      <c r="C510" t="s">
        <v>27</v>
      </c>
      <c r="D510" t="s">
        <v>42</v>
      </c>
      <c r="E510" t="s">
        <v>43</v>
      </c>
      <c r="F510" t="s">
        <v>44</v>
      </c>
      <c r="G510" s="6">
        <v>2685.77</v>
      </c>
      <c r="H510" s="7">
        <v>0</v>
      </c>
      <c r="I510" s="6">
        <v>0</v>
      </c>
      <c r="J510" s="6">
        <v>2685.77</v>
      </c>
      <c r="K510" t="s">
        <v>1088</v>
      </c>
      <c r="L510" t="s">
        <v>1089</v>
      </c>
    </row>
    <row r="511" spans="1:12" ht="15" customHeight="1" x14ac:dyDescent="0.25">
      <c r="A511">
        <v>510</v>
      </c>
      <c r="B511" s="5">
        <v>45705</v>
      </c>
      <c r="C511" t="s">
        <v>47</v>
      </c>
      <c r="D511" t="s">
        <v>172</v>
      </c>
      <c r="E511" t="s">
        <v>173</v>
      </c>
      <c r="F511" t="s">
        <v>76</v>
      </c>
      <c r="G511" s="6">
        <v>3310.72</v>
      </c>
      <c r="H511" s="7">
        <v>0.2</v>
      </c>
      <c r="I511" s="6">
        <v>662.14</v>
      </c>
      <c r="J511" s="6">
        <v>3972.86</v>
      </c>
      <c r="K511" t="s">
        <v>1090</v>
      </c>
      <c r="L511" t="s">
        <v>1091</v>
      </c>
    </row>
    <row r="512" spans="1:12" ht="15" customHeight="1" x14ac:dyDescent="0.25">
      <c r="A512">
        <v>511</v>
      </c>
      <c r="B512" s="5">
        <v>45931</v>
      </c>
      <c r="C512" t="s">
        <v>27</v>
      </c>
      <c r="D512" t="s">
        <v>42</v>
      </c>
      <c r="E512" t="s">
        <v>43</v>
      </c>
      <c r="F512" t="s">
        <v>44</v>
      </c>
      <c r="G512" s="6">
        <v>4123.51</v>
      </c>
      <c r="H512" s="7">
        <v>0</v>
      </c>
      <c r="I512" s="6">
        <v>0</v>
      </c>
      <c r="J512" s="6">
        <v>4123.51</v>
      </c>
      <c r="K512" t="s">
        <v>1092</v>
      </c>
      <c r="L512" t="s">
        <v>1093</v>
      </c>
    </row>
    <row r="513" spans="1:13" ht="15" customHeight="1" x14ac:dyDescent="0.25">
      <c r="A513">
        <v>512</v>
      </c>
      <c r="B513" s="5">
        <v>45803</v>
      </c>
      <c r="C513" t="s">
        <v>33</v>
      </c>
      <c r="D513" t="s">
        <v>79</v>
      </c>
      <c r="E513" t="s">
        <v>80</v>
      </c>
      <c r="F513" t="s">
        <v>84</v>
      </c>
      <c r="G513" s="6">
        <v>1572.88</v>
      </c>
      <c r="H513" s="7">
        <v>0.2</v>
      </c>
      <c r="I513" s="6">
        <v>314.58</v>
      </c>
      <c r="J513" s="6">
        <v>1887.46</v>
      </c>
      <c r="K513" t="s">
        <v>1094</v>
      </c>
      <c r="L513" t="s">
        <v>1095</v>
      </c>
    </row>
    <row r="514" spans="1:13" ht="15" customHeight="1" x14ac:dyDescent="0.25">
      <c r="A514">
        <v>513</v>
      </c>
      <c r="B514" s="5">
        <v>45833</v>
      </c>
      <c r="C514" t="s">
        <v>27</v>
      </c>
      <c r="D514" t="s">
        <v>42</v>
      </c>
      <c r="E514" t="s">
        <v>43</v>
      </c>
      <c r="F514" t="s">
        <v>44</v>
      </c>
      <c r="G514" s="6">
        <v>3629.41</v>
      </c>
      <c r="H514" s="7">
        <v>0</v>
      </c>
      <c r="I514" s="6">
        <v>0</v>
      </c>
      <c r="J514" s="6">
        <v>3629.41</v>
      </c>
      <c r="K514" t="s">
        <v>1096</v>
      </c>
      <c r="L514" t="s">
        <v>1097</v>
      </c>
    </row>
    <row r="515" spans="1:13" ht="15" customHeight="1" x14ac:dyDescent="0.25">
      <c r="A515">
        <v>514</v>
      </c>
      <c r="B515" s="5">
        <v>45666</v>
      </c>
      <c r="C515" t="s">
        <v>33</v>
      </c>
      <c r="D515" t="s">
        <v>601</v>
      </c>
      <c r="E515" t="s">
        <v>116</v>
      </c>
      <c r="F515" t="s">
        <v>30</v>
      </c>
      <c r="G515" s="6">
        <v>629.13</v>
      </c>
      <c r="H515" s="7">
        <v>0.2</v>
      </c>
      <c r="I515" s="6">
        <v>125.83</v>
      </c>
      <c r="J515" s="6">
        <v>754.96</v>
      </c>
      <c r="K515" t="s">
        <v>1098</v>
      </c>
      <c r="L515" t="s">
        <v>1099</v>
      </c>
      <c r="M515" t="s">
        <v>119</v>
      </c>
    </row>
    <row r="516" spans="1:13" ht="15" customHeight="1" x14ac:dyDescent="0.25">
      <c r="A516">
        <v>515</v>
      </c>
      <c r="B516" s="5">
        <v>45877</v>
      </c>
      <c r="C516" t="s">
        <v>47</v>
      </c>
      <c r="D516" t="s">
        <v>28</v>
      </c>
      <c r="E516" t="s">
        <v>29</v>
      </c>
      <c r="F516" t="s">
        <v>81</v>
      </c>
      <c r="G516" s="6">
        <v>974.25</v>
      </c>
      <c r="H516" s="7">
        <v>2.1000000000000001E-2</v>
      </c>
      <c r="I516" s="6">
        <v>20.46</v>
      </c>
      <c r="J516" s="6">
        <v>994.71</v>
      </c>
      <c r="K516" t="s">
        <v>1100</v>
      </c>
      <c r="L516" t="s">
        <v>1101</v>
      </c>
    </row>
    <row r="517" spans="1:13" ht="15" customHeight="1" x14ac:dyDescent="0.25">
      <c r="A517">
        <v>516</v>
      </c>
      <c r="B517" s="5">
        <v>45798</v>
      </c>
      <c r="C517" t="s">
        <v>27</v>
      </c>
      <c r="D517" t="s">
        <v>55</v>
      </c>
      <c r="E517" t="s">
        <v>56</v>
      </c>
      <c r="F517" t="s">
        <v>50</v>
      </c>
      <c r="G517" s="6">
        <v>492.56</v>
      </c>
      <c r="H517" s="7">
        <v>5.5E-2</v>
      </c>
      <c r="I517" s="6">
        <v>27.09</v>
      </c>
      <c r="J517" s="6">
        <v>519.65</v>
      </c>
      <c r="K517" t="s">
        <v>1102</v>
      </c>
      <c r="L517" t="s">
        <v>1103</v>
      </c>
    </row>
    <row r="518" spans="1:13" ht="15" customHeight="1" x14ac:dyDescent="0.25">
      <c r="A518">
        <v>517</v>
      </c>
      <c r="B518" s="5">
        <v>45742</v>
      </c>
      <c r="C518" t="s">
        <v>33</v>
      </c>
      <c r="D518" t="s">
        <v>63</v>
      </c>
      <c r="E518" t="s">
        <v>64</v>
      </c>
      <c r="F518" t="s">
        <v>120</v>
      </c>
      <c r="G518" s="6">
        <v>308.89999999999998</v>
      </c>
      <c r="H518" s="7">
        <v>0.2</v>
      </c>
      <c r="I518" s="6">
        <v>61.78</v>
      </c>
      <c r="J518" s="6">
        <v>370.68</v>
      </c>
      <c r="K518" t="s">
        <v>1104</v>
      </c>
      <c r="L518" t="s">
        <v>1105</v>
      </c>
    </row>
    <row r="519" spans="1:13" ht="15" customHeight="1" x14ac:dyDescent="0.25">
      <c r="A519">
        <v>518</v>
      </c>
      <c r="B519" s="5">
        <v>45777</v>
      </c>
      <c r="C519" t="s">
        <v>27</v>
      </c>
      <c r="D519" t="s">
        <v>42</v>
      </c>
      <c r="E519" t="s">
        <v>43</v>
      </c>
      <c r="F519" t="s">
        <v>44</v>
      </c>
      <c r="G519" s="6">
        <v>2018.88</v>
      </c>
      <c r="H519" s="7">
        <v>0</v>
      </c>
      <c r="I519" s="6">
        <v>0</v>
      </c>
      <c r="J519" s="6">
        <v>2018.88</v>
      </c>
      <c r="K519" t="s">
        <v>1106</v>
      </c>
      <c r="L519" t="s">
        <v>1107</v>
      </c>
    </row>
    <row r="520" spans="1:13" ht="15" customHeight="1" x14ac:dyDescent="0.25">
      <c r="A520">
        <v>519</v>
      </c>
      <c r="B520" s="5">
        <v>45961</v>
      </c>
      <c r="C520" t="s">
        <v>33</v>
      </c>
      <c r="D520" t="s">
        <v>28</v>
      </c>
      <c r="E520" t="s">
        <v>29</v>
      </c>
      <c r="F520" t="s">
        <v>120</v>
      </c>
      <c r="G520" s="6">
        <v>1079.76</v>
      </c>
      <c r="H520" s="7">
        <v>2.1000000000000001E-2</v>
      </c>
      <c r="I520" s="6">
        <v>22.67</v>
      </c>
      <c r="J520" s="6">
        <v>1102.43</v>
      </c>
      <c r="K520" t="s">
        <v>1108</v>
      </c>
      <c r="L520" t="s">
        <v>1109</v>
      </c>
    </row>
    <row r="521" spans="1:13" ht="15" customHeight="1" x14ac:dyDescent="0.25">
      <c r="A521">
        <v>520</v>
      </c>
      <c r="B521" s="5">
        <v>45833</v>
      </c>
      <c r="C521" t="s">
        <v>33</v>
      </c>
      <c r="D521" t="s">
        <v>28</v>
      </c>
      <c r="E521" t="s">
        <v>29</v>
      </c>
      <c r="F521" t="s">
        <v>36</v>
      </c>
      <c r="G521" s="6">
        <v>3691.62</v>
      </c>
      <c r="H521" s="7">
        <v>2.1000000000000001E-2</v>
      </c>
      <c r="I521" s="6">
        <v>77.52</v>
      </c>
      <c r="J521" s="6">
        <v>3769.14</v>
      </c>
      <c r="K521" t="s">
        <v>1110</v>
      </c>
      <c r="L521" t="s">
        <v>1111</v>
      </c>
    </row>
    <row r="522" spans="1:13" ht="15" customHeight="1" x14ac:dyDescent="0.25">
      <c r="A522">
        <v>521</v>
      </c>
      <c r="B522" s="5">
        <v>45775</v>
      </c>
      <c r="C522" t="s">
        <v>33</v>
      </c>
      <c r="D522" t="s">
        <v>79</v>
      </c>
      <c r="E522" t="s">
        <v>80</v>
      </c>
      <c r="F522" t="s">
        <v>81</v>
      </c>
      <c r="G522" s="6">
        <v>1773.17</v>
      </c>
      <c r="H522" s="7">
        <v>0.2</v>
      </c>
      <c r="I522" s="6">
        <v>354.63</v>
      </c>
      <c r="J522" s="6">
        <v>2127.8000000000002</v>
      </c>
      <c r="K522" t="s">
        <v>1112</v>
      </c>
      <c r="L522" t="s">
        <v>1113</v>
      </c>
    </row>
    <row r="523" spans="1:13" ht="15" customHeight="1" x14ac:dyDescent="0.25">
      <c r="A523">
        <v>522</v>
      </c>
      <c r="B523" s="5">
        <v>45846</v>
      </c>
      <c r="C523" t="s">
        <v>33</v>
      </c>
      <c r="D523" t="s">
        <v>28</v>
      </c>
      <c r="E523" t="s">
        <v>29</v>
      </c>
      <c r="F523" t="s">
        <v>30</v>
      </c>
      <c r="G523" s="6">
        <v>3973.97</v>
      </c>
      <c r="H523" s="7">
        <v>2.1000000000000001E-2</v>
      </c>
      <c r="I523" s="6">
        <v>83.45</v>
      </c>
      <c r="J523" s="6">
        <v>4057.42</v>
      </c>
      <c r="K523" t="s">
        <v>1114</v>
      </c>
      <c r="L523" t="s">
        <v>1115</v>
      </c>
    </row>
    <row r="524" spans="1:13" ht="15" customHeight="1" x14ac:dyDescent="0.25">
      <c r="A524">
        <v>523</v>
      </c>
      <c r="B524" s="5">
        <v>45693</v>
      </c>
      <c r="C524" t="s">
        <v>33</v>
      </c>
      <c r="D524" t="s">
        <v>181</v>
      </c>
      <c r="E524" t="s">
        <v>182</v>
      </c>
      <c r="F524" t="s">
        <v>39</v>
      </c>
      <c r="G524" s="6">
        <v>2424.85</v>
      </c>
      <c r="H524" s="7">
        <v>0.2</v>
      </c>
      <c r="I524" s="6">
        <v>484.97</v>
      </c>
      <c r="J524" s="6">
        <v>2909.82</v>
      </c>
      <c r="K524" t="s">
        <v>1116</v>
      </c>
      <c r="L524" t="s">
        <v>1117</v>
      </c>
    </row>
    <row r="525" spans="1:13" ht="15" customHeight="1" x14ac:dyDescent="0.25">
      <c r="A525">
        <v>524</v>
      </c>
      <c r="B525" s="5">
        <v>45979</v>
      </c>
      <c r="C525" t="s">
        <v>27</v>
      </c>
      <c r="D525" t="s">
        <v>28</v>
      </c>
      <c r="E525" t="s">
        <v>29</v>
      </c>
      <c r="F525" t="s">
        <v>36</v>
      </c>
      <c r="G525" s="6">
        <v>3387.35</v>
      </c>
      <c r="H525" s="7">
        <v>2.1000000000000001E-2</v>
      </c>
      <c r="I525" s="6">
        <v>71.13</v>
      </c>
      <c r="J525" s="6">
        <v>3458.48</v>
      </c>
      <c r="K525" t="s">
        <v>1118</v>
      </c>
      <c r="L525" t="s">
        <v>1119</v>
      </c>
    </row>
    <row r="526" spans="1:13" ht="15" customHeight="1" x14ac:dyDescent="0.25">
      <c r="A526">
        <v>525</v>
      </c>
      <c r="B526" s="5">
        <v>45769</v>
      </c>
      <c r="C526" t="s">
        <v>27</v>
      </c>
      <c r="D526" t="s">
        <v>79</v>
      </c>
      <c r="E526" t="s">
        <v>80</v>
      </c>
      <c r="F526" t="s">
        <v>87</v>
      </c>
      <c r="G526" s="6">
        <v>463.16</v>
      </c>
      <c r="H526" s="7">
        <v>0.2</v>
      </c>
      <c r="I526" s="6">
        <v>92.63</v>
      </c>
      <c r="J526" s="6">
        <v>555.79</v>
      </c>
      <c r="K526" t="s">
        <v>1120</v>
      </c>
      <c r="L526" t="s">
        <v>1121</v>
      </c>
    </row>
    <row r="527" spans="1:13" ht="15" customHeight="1" x14ac:dyDescent="0.25">
      <c r="A527">
        <v>526</v>
      </c>
      <c r="B527" s="5">
        <v>45854</v>
      </c>
      <c r="C527" t="s">
        <v>33</v>
      </c>
      <c r="D527" t="s">
        <v>172</v>
      </c>
      <c r="E527" t="s">
        <v>173</v>
      </c>
      <c r="F527" t="s">
        <v>36</v>
      </c>
      <c r="G527" s="6">
        <v>1633.79</v>
      </c>
      <c r="H527" s="7">
        <v>0.2</v>
      </c>
      <c r="I527" s="6">
        <v>326.76</v>
      </c>
      <c r="J527" s="6">
        <v>1960.55</v>
      </c>
      <c r="K527" t="s">
        <v>1122</v>
      </c>
      <c r="L527" t="s">
        <v>1123</v>
      </c>
    </row>
    <row r="528" spans="1:13" ht="15" customHeight="1" x14ac:dyDescent="0.25">
      <c r="A528">
        <v>527</v>
      </c>
      <c r="B528" s="5">
        <v>45988</v>
      </c>
      <c r="C528" t="s">
        <v>33</v>
      </c>
      <c r="D528" t="s">
        <v>55</v>
      </c>
      <c r="E528" t="s">
        <v>56</v>
      </c>
      <c r="F528" t="s">
        <v>106</v>
      </c>
      <c r="G528" s="6">
        <v>452.38</v>
      </c>
      <c r="H528" s="7">
        <v>5.5E-2</v>
      </c>
      <c r="I528" s="6">
        <v>24.88</v>
      </c>
      <c r="J528" s="6">
        <v>477.26</v>
      </c>
      <c r="K528" t="s">
        <v>1124</v>
      </c>
      <c r="L528" t="s">
        <v>1125</v>
      </c>
    </row>
    <row r="529" spans="1:12" ht="15" customHeight="1" x14ac:dyDescent="0.25">
      <c r="A529">
        <v>528</v>
      </c>
      <c r="B529" s="5">
        <v>45803</v>
      </c>
      <c r="C529" t="s">
        <v>27</v>
      </c>
      <c r="D529" t="s">
        <v>42</v>
      </c>
      <c r="E529" t="s">
        <v>43</v>
      </c>
      <c r="F529" t="s">
        <v>44</v>
      </c>
      <c r="G529" s="6">
        <v>3457.14</v>
      </c>
      <c r="H529" s="7">
        <v>0</v>
      </c>
      <c r="I529" s="6">
        <v>0</v>
      </c>
      <c r="J529" s="6">
        <v>3457.14</v>
      </c>
      <c r="K529" t="s">
        <v>1126</v>
      </c>
      <c r="L529" t="s">
        <v>1127</v>
      </c>
    </row>
    <row r="530" spans="1:12" ht="15" customHeight="1" x14ac:dyDescent="0.25">
      <c r="A530">
        <v>529</v>
      </c>
      <c r="B530" s="5">
        <v>45763</v>
      </c>
      <c r="C530" t="s">
        <v>27</v>
      </c>
      <c r="D530" t="s">
        <v>100</v>
      </c>
      <c r="E530" t="s">
        <v>101</v>
      </c>
      <c r="F530" t="s">
        <v>44</v>
      </c>
      <c r="G530" s="6">
        <v>3022.85</v>
      </c>
      <c r="H530" s="7">
        <v>0</v>
      </c>
      <c r="I530" s="6">
        <v>0</v>
      </c>
      <c r="J530" s="6">
        <v>3022.85</v>
      </c>
      <c r="K530" t="s">
        <v>1128</v>
      </c>
      <c r="L530" t="s">
        <v>1129</v>
      </c>
    </row>
    <row r="531" spans="1:12" ht="15" customHeight="1" x14ac:dyDescent="0.25">
      <c r="A531">
        <v>530</v>
      </c>
      <c r="B531" s="5">
        <v>45685</v>
      </c>
      <c r="C531" t="s">
        <v>47</v>
      </c>
      <c r="D531" t="s">
        <v>55</v>
      </c>
      <c r="E531" t="s">
        <v>56</v>
      </c>
      <c r="F531" t="s">
        <v>71</v>
      </c>
      <c r="G531" s="6">
        <v>3544.4</v>
      </c>
      <c r="H531" s="7">
        <v>5.5E-2</v>
      </c>
      <c r="I531" s="6">
        <v>194.94</v>
      </c>
      <c r="J531" s="6">
        <v>3739.34</v>
      </c>
      <c r="K531" t="s">
        <v>1130</v>
      </c>
      <c r="L531" t="s">
        <v>1131</v>
      </c>
    </row>
    <row r="532" spans="1:12" ht="15" customHeight="1" x14ac:dyDescent="0.25">
      <c r="A532">
        <v>531</v>
      </c>
      <c r="B532" s="5">
        <v>45694</v>
      </c>
      <c r="C532" t="s">
        <v>47</v>
      </c>
      <c r="D532" t="s">
        <v>28</v>
      </c>
      <c r="E532" t="s">
        <v>29</v>
      </c>
      <c r="F532" t="s">
        <v>39</v>
      </c>
      <c r="G532" s="6">
        <v>2415.0300000000002</v>
      </c>
      <c r="H532" s="7">
        <v>2.1000000000000001E-2</v>
      </c>
      <c r="I532" s="6">
        <v>50.72</v>
      </c>
      <c r="J532" s="6">
        <v>2465.75</v>
      </c>
      <c r="K532" t="s">
        <v>1132</v>
      </c>
      <c r="L532" t="s">
        <v>1133</v>
      </c>
    </row>
    <row r="533" spans="1:12" ht="15" customHeight="1" x14ac:dyDescent="0.25">
      <c r="A533">
        <v>532</v>
      </c>
      <c r="B533" s="5">
        <v>45873</v>
      </c>
      <c r="C533" t="s">
        <v>47</v>
      </c>
      <c r="D533" t="s">
        <v>28</v>
      </c>
      <c r="E533" t="s">
        <v>29</v>
      </c>
      <c r="F533" t="s">
        <v>120</v>
      </c>
      <c r="G533" s="6">
        <v>1695.12</v>
      </c>
      <c r="H533" s="7">
        <v>2.1000000000000001E-2</v>
      </c>
      <c r="I533" s="6">
        <v>35.6</v>
      </c>
      <c r="J533" s="6">
        <v>1730.72</v>
      </c>
      <c r="K533" t="s">
        <v>1134</v>
      </c>
      <c r="L533" t="s">
        <v>1135</v>
      </c>
    </row>
    <row r="534" spans="1:12" ht="15" customHeight="1" x14ac:dyDescent="0.25">
      <c r="A534">
        <v>533</v>
      </c>
      <c r="B534" s="5">
        <v>45695</v>
      </c>
      <c r="C534" t="s">
        <v>47</v>
      </c>
      <c r="D534" t="s">
        <v>100</v>
      </c>
      <c r="E534" t="s">
        <v>101</v>
      </c>
      <c r="F534" t="s">
        <v>44</v>
      </c>
      <c r="G534" s="6">
        <v>1962.08</v>
      </c>
      <c r="H534" s="7">
        <v>0</v>
      </c>
      <c r="I534" s="6">
        <v>0</v>
      </c>
      <c r="J534" s="6">
        <v>1962.08</v>
      </c>
      <c r="K534" t="s">
        <v>1136</v>
      </c>
      <c r="L534" t="s">
        <v>1137</v>
      </c>
    </row>
    <row r="535" spans="1:12" ht="15" customHeight="1" x14ac:dyDescent="0.25">
      <c r="A535">
        <v>534</v>
      </c>
      <c r="B535" s="5">
        <v>45688</v>
      </c>
      <c r="C535" t="s">
        <v>33</v>
      </c>
      <c r="D535" t="s">
        <v>28</v>
      </c>
      <c r="E535" t="s">
        <v>29</v>
      </c>
      <c r="F535" t="s">
        <v>36</v>
      </c>
      <c r="G535" s="6">
        <v>4273.17</v>
      </c>
      <c r="H535" s="7">
        <v>2.1000000000000001E-2</v>
      </c>
      <c r="I535" s="6">
        <v>89.74</v>
      </c>
      <c r="J535" s="6">
        <v>4362.91</v>
      </c>
      <c r="K535" t="s">
        <v>1138</v>
      </c>
      <c r="L535" t="s">
        <v>1139</v>
      </c>
    </row>
    <row r="536" spans="1:12" ht="15" customHeight="1" x14ac:dyDescent="0.25">
      <c r="A536">
        <v>535</v>
      </c>
      <c r="B536" s="5">
        <v>45870</v>
      </c>
      <c r="C536" t="s">
        <v>47</v>
      </c>
      <c r="D536" t="s">
        <v>181</v>
      </c>
      <c r="E536" t="s">
        <v>182</v>
      </c>
      <c r="F536" t="s">
        <v>36</v>
      </c>
      <c r="G536" s="6">
        <v>1952.2</v>
      </c>
      <c r="H536" s="7">
        <v>0.2</v>
      </c>
      <c r="I536" s="6">
        <v>390.44</v>
      </c>
      <c r="J536" s="6">
        <v>2342.64</v>
      </c>
      <c r="K536" t="s">
        <v>1140</v>
      </c>
      <c r="L536" t="s">
        <v>1141</v>
      </c>
    </row>
    <row r="537" spans="1:12" ht="15" customHeight="1" x14ac:dyDescent="0.25">
      <c r="A537">
        <v>536</v>
      </c>
      <c r="B537" s="5">
        <v>45973</v>
      </c>
      <c r="C537" t="s">
        <v>27</v>
      </c>
      <c r="D537" t="s">
        <v>172</v>
      </c>
      <c r="E537" t="s">
        <v>173</v>
      </c>
      <c r="F537" t="s">
        <v>87</v>
      </c>
      <c r="G537" s="6">
        <v>754.85</v>
      </c>
      <c r="H537" s="7">
        <v>0.2</v>
      </c>
      <c r="I537" s="6">
        <v>150.97</v>
      </c>
      <c r="J537" s="6">
        <v>905.82</v>
      </c>
      <c r="K537" t="s">
        <v>1142</v>
      </c>
      <c r="L537" t="s">
        <v>1143</v>
      </c>
    </row>
    <row r="538" spans="1:12" ht="15" customHeight="1" x14ac:dyDescent="0.25">
      <c r="A538">
        <v>537</v>
      </c>
      <c r="B538" s="5">
        <v>45762</v>
      </c>
      <c r="C538" t="s">
        <v>33</v>
      </c>
      <c r="D538" t="s">
        <v>172</v>
      </c>
      <c r="E538" t="s">
        <v>173</v>
      </c>
      <c r="F538" t="s">
        <v>30</v>
      </c>
      <c r="G538" s="6">
        <v>4386.47</v>
      </c>
      <c r="H538" s="7">
        <v>0.2</v>
      </c>
      <c r="I538" s="6">
        <v>877.29</v>
      </c>
      <c r="J538" s="6">
        <v>5263.76</v>
      </c>
      <c r="K538" t="s">
        <v>1144</v>
      </c>
      <c r="L538" t="s">
        <v>1145</v>
      </c>
    </row>
    <row r="539" spans="1:12" ht="15" customHeight="1" x14ac:dyDescent="0.25">
      <c r="A539">
        <v>538</v>
      </c>
      <c r="B539" s="5">
        <v>45982</v>
      </c>
      <c r="C539" t="s">
        <v>47</v>
      </c>
      <c r="D539" t="s">
        <v>63</v>
      </c>
      <c r="E539" t="s">
        <v>64</v>
      </c>
      <c r="F539" t="s">
        <v>120</v>
      </c>
      <c r="G539" s="6">
        <v>3453.45</v>
      </c>
      <c r="H539" s="7">
        <v>0.2</v>
      </c>
      <c r="I539" s="6">
        <v>690.69</v>
      </c>
      <c r="J539" s="6">
        <v>4144.1400000000003</v>
      </c>
      <c r="K539" t="s">
        <v>1146</v>
      </c>
      <c r="L539" t="s">
        <v>1147</v>
      </c>
    </row>
    <row r="540" spans="1:12" ht="15" customHeight="1" x14ac:dyDescent="0.25">
      <c r="A540">
        <v>539</v>
      </c>
      <c r="B540" s="5">
        <v>46015</v>
      </c>
      <c r="C540" t="s">
        <v>27</v>
      </c>
      <c r="D540" t="s">
        <v>28</v>
      </c>
      <c r="E540" t="s">
        <v>29</v>
      </c>
      <c r="F540" t="s">
        <v>71</v>
      </c>
      <c r="G540" s="6">
        <v>2013.69</v>
      </c>
      <c r="H540" s="7">
        <v>2.1000000000000001E-2</v>
      </c>
      <c r="I540" s="6">
        <v>42.29</v>
      </c>
      <c r="J540" s="6">
        <v>2055.98</v>
      </c>
      <c r="K540" t="s">
        <v>1148</v>
      </c>
      <c r="L540" t="s">
        <v>1149</v>
      </c>
    </row>
    <row r="541" spans="1:12" ht="15" customHeight="1" x14ac:dyDescent="0.25">
      <c r="A541">
        <v>540</v>
      </c>
      <c r="B541" s="5">
        <v>45880</v>
      </c>
      <c r="C541" t="s">
        <v>33</v>
      </c>
      <c r="D541" t="s">
        <v>28</v>
      </c>
      <c r="E541" t="s">
        <v>29</v>
      </c>
      <c r="F541" t="s">
        <v>84</v>
      </c>
      <c r="G541" s="6">
        <v>592.66</v>
      </c>
      <c r="H541" s="7">
        <v>2.1000000000000001E-2</v>
      </c>
      <c r="I541" s="6">
        <v>12.45</v>
      </c>
      <c r="J541" s="6">
        <v>605.11</v>
      </c>
      <c r="K541" t="s">
        <v>1150</v>
      </c>
      <c r="L541" t="s">
        <v>1151</v>
      </c>
    </row>
    <row r="542" spans="1:12" ht="15" customHeight="1" x14ac:dyDescent="0.25">
      <c r="A542">
        <v>541</v>
      </c>
      <c r="B542" s="5">
        <v>45994</v>
      </c>
      <c r="C542" t="s">
        <v>33</v>
      </c>
      <c r="D542" t="s">
        <v>55</v>
      </c>
      <c r="E542" t="s">
        <v>56</v>
      </c>
      <c r="F542" t="s">
        <v>87</v>
      </c>
      <c r="G542" s="6">
        <v>3353.71</v>
      </c>
      <c r="H542" s="7">
        <v>5.5E-2</v>
      </c>
      <c r="I542" s="6">
        <v>184.45</v>
      </c>
      <c r="J542" s="6">
        <v>3538.16</v>
      </c>
      <c r="K542" t="s">
        <v>1152</v>
      </c>
      <c r="L542" t="s">
        <v>1153</v>
      </c>
    </row>
    <row r="543" spans="1:12" ht="15" customHeight="1" x14ac:dyDescent="0.25">
      <c r="A543">
        <v>542</v>
      </c>
      <c r="B543" s="5">
        <v>45663</v>
      </c>
      <c r="C543" t="s">
        <v>27</v>
      </c>
      <c r="D543" t="s">
        <v>28</v>
      </c>
      <c r="E543" t="s">
        <v>29</v>
      </c>
      <c r="F543" t="s">
        <v>50</v>
      </c>
      <c r="G543" s="6">
        <v>804.14</v>
      </c>
      <c r="H543" s="7">
        <v>2.1000000000000001E-2</v>
      </c>
      <c r="I543" s="6">
        <v>16.89</v>
      </c>
      <c r="J543" s="6">
        <v>821.03</v>
      </c>
      <c r="K543" t="s">
        <v>1154</v>
      </c>
      <c r="L543" t="s">
        <v>1155</v>
      </c>
    </row>
    <row r="544" spans="1:12" ht="15" customHeight="1" x14ac:dyDescent="0.25">
      <c r="A544">
        <v>543</v>
      </c>
      <c r="B544" s="5">
        <v>45790</v>
      </c>
      <c r="C544" t="s">
        <v>27</v>
      </c>
      <c r="D544" t="s">
        <v>42</v>
      </c>
      <c r="E544" t="s">
        <v>43</v>
      </c>
      <c r="F544" t="s">
        <v>44</v>
      </c>
      <c r="G544" s="6">
        <v>2104.63</v>
      </c>
      <c r="H544" s="7">
        <v>0</v>
      </c>
      <c r="I544" s="6">
        <v>0</v>
      </c>
      <c r="J544" s="6">
        <v>2104.63</v>
      </c>
      <c r="K544" t="s">
        <v>1156</v>
      </c>
      <c r="L544" t="s">
        <v>1157</v>
      </c>
    </row>
    <row r="545" spans="1:12" ht="15" customHeight="1" x14ac:dyDescent="0.25">
      <c r="A545">
        <v>544</v>
      </c>
      <c r="B545" s="5">
        <v>45673</v>
      </c>
      <c r="C545" t="s">
        <v>47</v>
      </c>
      <c r="D545" t="s">
        <v>42</v>
      </c>
      <c r="E545" t="s">
        <v>43</v>
      </c>
      <c r="F545" t="s">
        <v>44</v>
      </c>
      <c r="G545" s="6">
        <v>2830.38</v>
      </c>
      <c r="H545" s="7">
        <v>0</v>
      </c>
      <c r="I545" s="6">
        <v>0</v>
      </c>
      <c r="J545" s="6">
        <v>2830.38</v>
      </c>
      <c r="K545" t="s">
        <v>1158</v>
      </c>
      <c r="L545" t="s">
        <v>1159</v>
      </c>
    </row>
    <row r="546" spans="1:12" ht="15" customHeight="1" x14ac:dyDescent="0.25">
      <c r="A546">
        <v>545</v>
      </c>
      <c r="B546" s="5">
        <v>45953</v>
      </c>
      <c r="C546" t="s">
        <v>33</v>
      </c>
      <c r="D546" t="s">
        <v>55</v>
      </c>
      <c r="E546" t="s">
        <v>56</v>
      </c>
      <c r="F546" t="s">
        <v>76</v>
      </c>
      <c r="G546" s="6">
        <v>2853.7</v>
      </c>
      <c r="H546" s="7">
        <v>5.5E-2</v>
      </c>
      <c r="I546" s="6">
        <v>156.94999999999999</v>
      </c>
      <c r="J546" s="6">
        <v>3010.65</v>
      </c>
      <c r="K546" t="s">
        <v>1160</v>
      </c>
      <c r="L546" t="s">
        <v>1161</v>
      </c>
    </row>
    <row r="547" spans="1:12" ht="15" customHeight="1" x14ac:dyDescent="0.25">
      <c r="A547">
        <v>546</v>
      </c>
      <c r="B547" s="5">
        <v>45743</v>
      </c>
      <c r="C547" t="s">
        <v>27</v>
      </c>
      <c r="D547" t="s">
        <v>55</v>
      </c>
      <c r="E547" t="s">
        <v>56</v>
      </c>
      <c r="F547" t="s">
        <v>174</v>
      </c>
      <c r="G547" s="6">
        <v>1705.18</v>
      </c>
      <c r="H547" s="7">
        <v>5.5E-2</v>
      </c>
      <c r="I547" s="6">
        <v>93.78</v>
      </c>
      <c r="J547" s="6">
        <v>1798.96</v>
      </c>
      <c r="K547" t="s">
        <v>1162</v>
      </c>
      <c r="L547" t="s">
        <v>1163</v>
      </c>
    </row>
    <row r="548" spans="1:12" ht="15" customHeight="1" x14ac:dyDescent="0.25">
      <c r="A548">
        <v>547</v>
      </c>
      <c r="B548" s="5">
        <v>46003</v>
      </c>
      <c r="C548" t="s">
        <v>33</v>
      </c>
      <c r="D548" t="s">
        <v>100</v>
      </c>
      <c r="E548" t="s">
        <v>101</v>
      </c>
      <c r="F548" t="s">
        <v>44</v>
      </c>
      <c r="G548" s="6">
        <v>2348.17</v>
      </c>
      <c r="H548" s="7">
        <v>0</v>
      </c>
      <c r="I548" s="6">
        <v>0</v>
      </c>
      <c r="J548" s="6">
        <v>2348.17</v>
      </c>
      <c r="K548" t="s">
        <v>1164</v>
      </c>
      <c r="L548" t="s">
        <v>1165</v>
      </c>
    </row>
    <row r="549" spans="1:12" ht="15" customHeight="1" x14ac:dyDescent="0.25">
      <c r="A549">
        <v>548</v>
      </c>
      <c r="B549" s="5">
        <v>45664</v>
      </c>
      <c r="C549" t="s">
        <v>33</v>
      </c>
      <c r="D549" t="s">
        <v>28</v>
      </c>
      <c r="E549" t="s">
        <v>29</v>
      </c>
      <c r="F549" t="s">
        <v>76</v>
      </c>
      <c r="G549" s="6">
        <v>1160.92</v>
      </c>
      <c r="H549" s="7">
        <v>2.1000000000000001E-2</v>
      </c>
      <c r="I549" s="6">
        <v>24.38</v>
      </c>
      <c r="J549" s="6">
        <v>1185.3</v>
      </c>
      <c r="K549" t="s">
        <v>1166</v>
      </c>
      <c r="L549" t="s">
        <v>1167</v>
      </c>
    </row>
    <row r="550" spans="1:12" ht="15" customHeight="1" x14ac:dyDescent="0.25">
      <c r="A550">
        <v>549</v>
      </c>
      <c r="B550" s="5">
        <v>45749</v>
      </c>
      <c r="C550" t="s">
        <v>47</v>
      </c>
      <c r="D550" t="s">
        <v>100</v>
      </c>
      <c r="E550" t="s">
        <v>101</v>
      </c>
      <c r="F550" t="s">
        <v>44</v>
      </c>
      <c r="G550" s="6">
        <v>3857.96</v>
      </c>
      <c r="H550" s="7">
        <v>0</v>
      </c>
      <c r="I550" s="6">
        <v>0</v>
      </c>
      <c r="J550" s="6">
        <v>3857.96</v>
      </c>
      <c r="K550" t="s">
        <v>1168</v>
      </c>
      <c r="L550" t="s">
        <v>1169</v>
      </c>
    </row>
    <row r="551" spans="1:12" ht="15" customHeight="1" x14ac:dyDescent="0.25">
      <c r="A551">
        <v>550</v>
      </c>
      <c r="B551" s="5">
        <v>45772</v>
      </c>
      <c r="C551" t="s">
        <v>27</v>
      </c>
      <c r="D551" t="s">
        <v>42</v>
      </c>
      <c r="E551" t="s">
        <v>43</v>
      </c>
      <c r="F551" t="s">
        <v>44</v>
      </c>
      <c r="G551" s="6">
        <v>2799.02</v>
      </c>
      <c r="H551" s="7">
        <v>0</v>
      </c>
      <c r="I551" s="6">
        <v>0</v>
      </c>
      <c r="J551" s="6">
        <v>2799.02</v>
      </c>
      <c r="K551" t="s">
        <v>1170</v>
      </c>
      <c r="L551" t="s">
        <v>1171</v>
      </c>
    </row>
    <row r="552" spans="1:12" ht="15" customHeight="1" x14ac:dyDescent="0.25">
      <c r="A552">
        <v>551</v>
      </c>
      <c r="B552" s="5">
        <v>45950</v>
      </c>
      <c r="C552" t="s">
        <v>47</v>
      </c>
      <c r="D552" t="s">
        <v>55</v>
      </c>
      <c r="E552" t="s">
        <v>56</v>
      </c>
      <c r="F552" t="s">
        <v>106</v>
      </c>
      <c r="G552" s="6">
        <v>1727.81</v>
      </c>
      <c r="H552" s="7">
        <v>5.5E-2</v>
      </c>
      <c r="I552" s="6">
        <v>95.03</v>
      </c>
      <c r="J552" s="6">
        <v>1822.84</v>
      </c>
      <c r="K552" t="s">
        <v>1172</v>
      </c>
      <c r="L552" t="s">
        <v>1173</v>
      </c>
    </row>
    <row r="553" spans="1:12" ht="15" customHeight="1" x14ac:dyDescent="0.25">
      <c r="A553">
        <v>552</v>
      </c>
      <c r="B553" s="5">
        <v>45922</v>
      </c>
      <c r="C553" t="s">
        <v>33</v>
      </c>
      <c r="D553" t="s">
        <v>28</v>
      </c>
      <c r="E553" t="s">
        <v>29</v>
      </c>
      <c r="F553" t="s">
        <v>36</v>
      </c>
      <c r="G553" s="6">
        <v>4417.8500000000004</v>
      </c>
      <c r="H553" s="7">
        <v>2.1000000000000001E-2</v>
      </c>
      <c r="I553" s="6">
        <v>92.77</v>
      </c>
      <c r="J553" s="6">
        <v>4510.62</v>
      </c>
      <c r="K553" t="s">
        <v>1174</v>
      </c>
      <c r="L553" t="s">
        <v>1175</v>
      </c>
    </row>
    <row r="554" spans="1:12" ht="15" customHeight="1" x14ac:dyDescent="0.25">
      <c r="A554">
        <v>553</v>
      </c>
      <c r="B554" s="5">
        <v>45817</v>
      </c>
      <c r="C554" t="s">
        <v>47</v>
      </c>
      <c r="D554" t="s">
        <v>42</v>
      </c>
      <c r="E554" t="s">
        <v>43</v>
      </c>
      <c r="F554" t="s">
        <v>44</v>
      </c>
      <c r="G554" s="6">
        <v>3127.42</v>
      </c>
      <c r="H554" s="7">
        <v>0</v>
      </c>
      <c r="I554" s="6">
        <v>0</v>
      </c>
      <c r="J554" s="6">
        <v>3127.42</v>
      </c>
      <c r="K554" t="s">
        <v>1176</v>
      </c>
      <c r="L554" t="s">
        <v>1177</v>
      </c>
    </row>
    <row r="555" spans="1:12" ht="15" customHeight="1" x14ac:dyDescent="0.25">
      <c r="A555">
        <v>554</v>
      </c>
      <c r="B555" s="5">
        <v>45946</v>
      </c>
      <c r="C555" t="s">
        <v>47</v>
      </c>
      <c r="D555" t="s">
        <v>28</v>
      </c>
      <c r="E555" t="s">
        <v>29</v>
      </c>
      <c r="F555" t="s">
        <v>81</v>
      </c>
      <c r="G555" s="6">
        <v>3547.52</v>
      </c>
      <c r="H555" s="7">
        <v>2.1000000000000001E-2</v>
      </c>
      <c r="I555" s="6">
        <v>74.5</v>
      </c>
      <c r="J555" s="6">
        <v>3622.02</v>
      </c>
      <c r="K555" t="s">
        <v>1178</v>
      </c>
      <c r="L555" t="s">
        <v>1179</v>
      </c>
    </row>
    <row r="556" spans="1:12" ht="15" customHeight="1" x14ac:dyDescent="0.25">
      <c r="A556">
        <v>555</v>
      </c>
      <c r="B556" s="5">
        <v>45960</v>
      </c>
      <c r="C556" t="s">
        <v>33</v>
      </c>
      <c r="D556" t="s">
        <v>79</v>
      </c>
      <c r="E556" t="s">
        <v>80</v>
      </c>
      <c r="F556" t="s">
        <v>71</v>
      </c>
      <c r="G556" s="6">
        <v>4375.6099999999997</v>
      </c>
      <c r="H556" s="7">
        <v>0.2</v>
      </c>
      <c r="I556" s="6">
        <v>875.12</v>
      </c>
      <c r="J556" s="6">
        <v>5250.73</v>
      </c>
      <c r="K556" t="s">
        <v>1180</v>
      </c>
      <c r="L556" t="s">
        <v>1181</v>
      </c>
    </row>
    <row r="557" spans="1:12" ht="15" customHeight="1" x14ac:dyDescent="0.25">
      <c r="A557">
        <v>556</v>
      </c>
      <c r="B557" s="5">
        <v>45783</v>
      </c>
      <c r="C557" t="s">
        <v>27</v>
      </c>
      <c r="D557" t="s">
        <v>42</v>
      </c>
      <c r="E557" t="s">
        <v>43</v>
      </c>
      <c r="F557" t="s">
        <v>44</v>
      </c>
      <c r="G557" s="6">
        <v>4037.75</v>
      </c>
      <c r="H557" s="7">
        <v>0</v>
      </c>
      <c r="I557" s="6">
        <v>0</v>
      </c>
      <c r="J557" s="6">
        <v>4037.75</v>
      </c>
      <c r="K557" t="s">
        <v>1182</v>
      </c>
      <c r="L557" t="s">
        <v>1183</v>
      </c>
    </row>
    <row r="558" spans="1:12" ht="15" customHeight="1" x14ac:dyDescent="0.25">
      <c r="A558">
        <v>557</v>
      </c>
      <c r="B558" s="5">
        <v>46013</v>
      </c>
      <c r="C558" t="s">
        <v>33</v>
      </c>
      <c r="D558" t="s">
        <v>172</v>
      </c>
      <c r="E558" t="s">
        <v>173</v>
      </c>
      <c r="F558" t="s">
        <v>50</v>
      </c>
      <c r="G558" s="6">
        <v>3957.22</v>
      </c>
      <c r="H558" s="7">
        <v>0.2</v>
      </c>
      <c r="I558" s="6">
        <v>791.44</v>
      </c>
      <c r="J558" s="6">
        <v>4748.66</v>
      </c>
      <c r="K558" t="s">
        <v>1184</v>
      </c>
      <c r="L558" t="s">
        <v>1185</v>
      </c>
    </row>
    <row r="559" spans="1:12" ht="15" customHeight="1" x14ac:dyDescent="0.25">
      <c r="A559">
        <v>558</v>
      </c>
      <c r="B559" s="5">
        <v>45763</v>
      </c>
      <c r="C559" t="s">
        <v>27</v>
      </c>
      <c r="D559" t="s">
        <v>63</v>
      </c>
      <c r="E559" t="s">
        <v>64</v>
      </c>
      <c r="F559" t="s">
        <v>71</v>
      </c>
      <c r="G559" s="6">
        <v>2421.7800000000002</v>
      </c>
      <c r="H559" s="7">
        <v>0.2</v>
      </c>
      <c r="I559" s="6">
        <v>484.36</v>
      </c>
      <c r="J559" s="6">
        <v>2906.14</v>
      </c>
      <c r="K559" t="s">
        <v>1186</v>
      </c>
      <c r="L559" t="s">
        <v>1187</v>
      </c>
    </row>
    <row r="560" spans="1:12" ht="15" customHeight="1" x14ac:dyDescent="0.25">
      <c r="A560">
        <v>559</v>
      </c>
      <c r="B560" s="5">
        <v>45730</v>
      </c>
      <c r="C560" t="s">
        <v>47</v>
      </c>
      <c r="D560" t="s">
        <v>94</v>
      </c>
      <c r="E560" t="s">
        <v>95</v>
      </c>
      <c r="F560" t="s">
        <v>44</v>
      </c>
      <c r="G560" s="6">
        <v>732.57</v>
      </c>
      <c r="H560" s="7">
        <v>0</v>
      </c>
      <c r="I560" s="6">
        <v>0</v>
      </c>
      <c r="J560" s="6">
        <v>732.57</v>
      </c>
      <c r="K560" t="s">
        <v>1188</v>
      </c>
      <c r="L560" t="s">
        <v>1189</v>
      </c>
    </row>
    <row r="561" spans="1:12" ht="15" customHeight="1" x14ac:dyDescent="0.25">
      <c r="A561">
        <v>560</v>
      </c>
      <c r="B561" s="5">
        <v>45848</v>
      </c>
      <c r="C561" t="s">
        <v>27</v>
      </c>
      <c r="D561" t="s">
        <v>63</v>
      </c>
      <c r="E561" t="s">
        <v>64</v>
      </c>
      <c r="F561" t="s">
        <v>81</v>
      </c>
      <c r="G561" s="6">
        <v>2106.38</v>
      </c>
      <c r="H561" s="7">
        <v>0.2</v>
      </c>
      <c r="I561" s="6">
        <v>421.28</v>
      </c>
      <c r="J561" s="6">
        <v>2527.66</v>
      </c>
      <c r="K561" t="s">
        <v>1190</v>
      </c>
      <c r="L561" t="s">
        <v>1191</v>
      </c>
    </row>
    <row r="562" spans="1:12" ht="15" customHeight="1" x14ac:dyDescent="0.25">
      <c r="A562">
        <v>561</v>
      </c>
      <c r="B562" s="5">
        <v>45726</v>
      </c>
      <c r="C562" t="s">
        <v>27</v>
      </c>
      <c r="D562" t="s">
        <v>28</v>
      </c>
      <c r="E562" t="s">
        <v>29</v>
      </c>
      <c r="F562" t="s">
        <v>36</v>
      </c>
      <c r="G562" s="6">
        <v>2896.49</v>
      </c>
      <c r="H562" s="7">
        <v>2.1000000000000001E-2</v>
      </c>
      <c r="I562" s="6">
        <v>60.83</v>
      </c>
      <c r="J562" s="6">
        <v>2957.32</v>
      </c>
      <c r="K562" t="s">
        <v>1192</v>
      </c>
      <c r="L562" t="s">
        <v>1193</v>
      </c>
    </row>
    <row r="563" spans="1:12" ht="15" customHeight="1" x14ac:dyDescent="0.25">
      <c r="A563">
        <v>562</v>
      </c>
      <c r="B563" s="5">
        <v>45880</v>
      </c>
      <c r="C563" t="s">
        <v>27</v>
      </c>
      <c r="D563" t="s">
        <v>172</v>
      </c>
      <c r="E563" t="s">
        <v>173</v>
      </c>
      <c r="F563" t="s">
        <v>30</v>
      </c>
      <c r="G563" s="6">
        <v>3008</v>
      </c>
      <c r="H563" s="7">
        <v>0.2</v>
      </c>
      <c r="I563" s="6">
        <v>601.6</v>
      </c>
      <c r="J563" s="6">
        <v>3609.6</v>
      </c>
      <c r="K563" t="s">
        <v>1194</v>
      </c>
      <c r="L563" t="s">
        <v>1195</v>
      </c>
    </row>
    <row r="564" spans="1:12" ht="15" customHeight="1" x14ac:dyDescent="0.25">
      <c r="A564">
        <v>563</v>
      </c>
      <c r="B564" s="5">
        <v>45819</v>
      </c>
      <c r="C564" t="s">
        <v>47</v>
      </c>
      <c r="D564" t="s">
        <v>55</v>
      </c>
      <c r="E564" t="s">
        <v>56</v>
      </c>
      <c r="F564" t="s">
        <v>36</v>
      </c>
      <c r="G564" s="6">
        <v>4173.1099999999997</v>
      </c>
      <c r="H564" s="7">
        <v>5.5E-2</v>
      </c>
      <c r="I564" s="6">
        <v>229.52</v>
      </c>
      <c r="J564" s="6">
        <v>4402.63</v>
      </c>
      <c r="K564" t="s">
        <v>1196</v>
      </c>
      <c r="L564" t="s">
        <v>1197</v>
      </c>
    </row>
    <row r="565" spans="1:12" ht="15" customHeight="1" x14ac:dyDescent="0.25">
      <c r="A565">
        <v>564</v>
      </c>
      <c r="B565" s="5">
        <v>45889</v>
      </c>
      <c r="C565" t="s">
        <v>27</v>
      </c>
      <c r="D565" t="s">
        <v>55</v>
      </c>
      <c r="E565" t="s">
        <v>56</v>
      </c>
      <c r="F565" t="s">
        <v>87</v>
      </c>
      <c r="G565" s="6">
        <v>1282.04</v>
      </c>
      <c r="H565" s="7">
        <v>5.5E-2</v>
      </c>
      <c r="I565" s="6">
        <v>70.510000000000005</v>
      </c>
      <c r="J565" s="6">
        <v>1352.55</v>
      </c>
      <c r="K565" t="s">
        <v>1198</v>
      </c>
      <c r="L565" t="s">
        <v>1199</v>
      </c>
    </row>
    <row r="566" spans="1:12" ht="15" customHeight="1" x14ac:dyDescent="0.25">
      <c r="A566">
        <v>565</v>
      </c>
      <c r="B566" s="5">
        <v>45957</v>
      </c>
      <c r="C566" t="s">
        <v>33</v>
      </c>
      <c r="D566" t="s">
        <v>42</v>
      </c>
      <c r="E566" t="s">
        <v>43</v>
      </c>
      <c r="F566" t="s">
        <v>44</v>
      </c>
      <c r="G566" s="6">
        <v>2053.58</v>
      </c>
      <c r="H566" s="7">
        <v>0</v>
      </c>
      <c r="I566" s="6">
        <v>0</v>
      </c>
      <c r="J566" s="6">
        <v>2053.58</v>
      </c>
      <c r="K566" t="s">
        <v>1200</v>
      </c>
      <c r="L566" t="s">
        <v>1201</v>
      </c>
    </row>
    <row r="567" spans="1:12" ht="15" customHeight="1" x14ac:dyDescent="0.25">
      <c r="A567">
        <v>566</v>
      </c>
      <c r="B567" s="5">
        <v>45719</v>
      </c>
      <c r="C567" t="s">
        <v>47</v>
      </c>
      <c r="D567" t="s">
        <v>55</v>
      </c>
      <c r="E567" t="s">
        <v>56</v>
      </c>
      <c r="F567" t="s">
        <v>71</v>
      </c>
      <c r="G567" s="6">
        <v>2448.79</v>
      </c>
      <c r="H567" s="7">
        <v>5.5E-2</v>
      </c>
      <c r="I567" s="6">
        <v>134.68</v>
      </c>
      <c r="J567" s="6">
        <v>2583.4699999999998</v>
      </c>
      <c r="K567" t="s">
        <v>1202</v>
      </c>
      <c r="L567" t="s">
        <v>1203</v>
      </c>
    </row>
    <row r="568" spans="1:12" ht="15" customHeight="1" x14ac:dyDescent="0.25">
      <c r="A568">
        <v>567</v>
      </c>
      <c r="B568" s="5">
        <v>45719</v>
      </c>
      <c r="C568" t="s">
        <v>47</v>
      </c>
      <c r="D568" t="s">
        <v>79</v>
      </c>
      <c r="E568" t="s">
        <v>80</v>
      </c>
      <c r="F568" t="s">
        <v>120</v>
      </c>
      <c r="G568" s="6">
        <v>479.66</v>
      </c>
      <c r="H568" s="7">
        <v>0.2</v>
      </c>
      <c r="I568" s="6">
        <v>95.93</v>
      </c>
      <c r="J568" s="6">
        <v>575.59</v>
      </c>
      <c r="K568" t="s">
        <v>1204</v>
      </c>
      <c r="L568" t="s">
        <v>1205</v>
      </c>
    </row>
    <row r="569" spans="1:12" ht="15" customHeight="1" x14ac:dyDescent="0.25">
      <c r="A569">
        <v>568</v>
      </c>
      <c r="B569" s="5">
        <v>45678</v>
      </c>
      <c r="C569" t="s">
        <v>27</v>
      </c>
      <c r="D569" t="s">
        <v>42</v>
      </c>
      <c r="E569" t="s">
        <v>43</v>
      </c>
      <c r="F569" t="s">
        <v>44</v>
      </c>
      <c r="G569" s="6">
        <v>3855.78</v>
      </c>
      <c r="H569" s="7">
        <v>0</v>
      </c>
      <c r="I569" s="6">
        <v>0</v>
      </c>
      <c r="J569" s="6">
        <v>3855.78</v>
      </c>
      <c r="K569" t="s">
        <v>1206</v>
      </c>
      <c r="L569" t="s">
        <v>1207</v>
      </c>
    </row>
    <row r="570" spans="1:12" ht="15" customHeight="1" x14ac:dyDescent="0.25">
      <c r="A570">
        <v>569</v>
      </c>
      <c r="B570" s="5">
        <v>45840</v>
      </c>
      <c r="C570" t="s">
        <v>33</v>
      </c>
      <c r="D570" t="s">
        <v>42</v>
      </c>
      <c r="E570" t="s">
        <v>43</v>
      </c>
      <c r="F570" t="s">
        <v>44</v>
      </c>
      <c r="G570" s="6">
        <v>1917.48</v>
      </c>
      <c r="H570" s="7">
        <v>0</v>
      </c>
      <c r="I570" s="6">
        <v>0</v>
      </c>
      <c r="J570" s="6">
        <v>1917.48</v>
      </c>
      <c r="K570" t="s">
        <v>1208</v>
      </c>
      <c r="L570" t="s">
        <v>1209</v>
      </c>
    </row>
    <row r="571" spans="1:12" ht="15" customHeight="1" x14ac:dyDescent="0.25">
      <c r="A571">
        <v>570</v>
      </c>
      <c r="B571" s="5">
        <v>45747</v>
      </c>
      <c r="C571" t="s">
        <v>47</v>
      </c>
      <c r="D571" t="s">
        <v>42</v>
      </c>
      <c r="E571" t="s">
        <v>43</v>
      </c>
      <c r="F571" t="s">
        <v>44</v>
      </c>
      <c r="G571" s="6">
        <v>2770.54</v>
      </c>
      <c r="H571" s="7">
        <v>0</v>
      </c>
      <c r="I571" s="6">
        <v>0</v>
      </c>
      <c r="J571" s="6">
        <v>2770.54</v>
      </c>
      <c r="K571" t="s">
        <v>1210</v>
      </c>
      <c r="L571" t="s">
        <v>1211</v>
      </c>
    </row>
    <row r="572" spans="1:12" ht="15" customHeight="1" x14ac:dyDescent="0.25">
      <c r="A572">
        <v>571</v>
      </c>
      <c r="B572" s="5">
        <v>45785</v>
      </c>
      <c r="C572" t="s">
        <v>27</v>
      </c>
      <c r="D572" t="s">
        <v>42</v>
      </c>
      <c r="E572" t="s">
        <v>43</v>
      </c>
      <c r="F572" t="s">
        <v>44</v>
      </c>
      <c r="G572" s="6">
        <v>2044.58</v>
      </c>
      <c r="H572" s="7">
        <v>0</v>
      </c>
      <c r="I572" s="6">
        <v>0</v>
      </c>
      <c r="J572" s="6">
        <v>2044.58</v>
      </c>
      <c r="K572" t="s">
        <v>1212</v>
      </c>
      <c r="L572" t="s">
        <v>1213</v>
      </c>
    </row>
    <row r="573" spans="1:12" ht="15" customHeight="1" x14ac:dyDescent="0.25">
      <c r="A573">
        <v>572</v>
      </c>
      <c r="B573" s="5">
        <v>45771</v>
      </c>
      <c r="C573" t="s">
        <v>33</v>
      </c>
      <c r="D573" t="s">
        <v>28</v>
      </c>
      <c r="E573" t="s">
        <v>29</v>
      </c>
      <c r="F573" t="s">
        <v>36</v>
      </c>
      <c r="G573" s="6">
        <v>657.76</v>
      </c>
      <c r="H573" s="7">
        <v>2.1000000000000001E-2</v>
      </c>
      <c r="I573" s="6">
        <v>13.81</v>
      </c>
      <c r="J573" s="6">
        <v>671.57</v>
      </c>
      <c r="K573" t="s">
        <v>1214</v>
      </c>
      <c r="L573" t="s">
        <v>1215</v>
      </c>
    </row>
    <row r="574" spans="1:12" ht="15" customHeight="1" x14ac:dyDescent="0.25">
      <c r="A574">
        <v>573</v>
      </c>
      <c r="B574" s="5">
        <v>45988</v>
      </c>
      <c r="C574" t="s">
        <v>27</v>
      </c>
      <c r="D574" t="s">
        <v>181</v>
      </c>
      <c r="E574" t="s">
        <v>182</v>
      </c>
      <c r="F574" t="s">
        <v>84</v>
      </c>
      <c r="G574" s="6">
        <v>451.45</v>
      </c>
      <c r="H574" s="7">
        <v>0.2</v>
      </c>
      <c r="I574" s="6">
        <v>90.29</v>
      </c>
      <c r="J574" s="6">
        <v>541.74</v>
      </c>
      <c r="K574" t="s">
        <v>1216</v>
      </c>
      <c r="L574" t="s">
        <v>1217</v>
      </c>
    </row>
    <row r="575" spans="1:12" ht="15" customHeight="1" x14ac:dyDescent="0.25">
      <c r="A575">
        <v>574</v>
      </c>
      <c r="B575" s="5">
        <v>45691</v>
      </c>
      <c r="C575" t="s">
        <v>33</v>
      </c>
      <c r="D575" t="s">
        <v>28</v>
      </c>
      <c r="E575" t="s">
        <v>29</v>
      </c>
      <c r="F575" t="s">
        <v>120</v>
      </c>
      <c r="G575" s="6">
        <v>954.06</v>
      </c>
      <c r="H575" s="7">
        <v>2.1000000000000001E-2</v>
      </c>
      <c r="I575" s="6">
        <v>20.04</v>
      </c>
      <c r="J575" s="6">
        <v>974.1</v>
      </c>
      <c r="K575" t="s">
        <v>1218</v>
      </c>
      <c r="L575" t="s">
        <v>1219</v>
      </c>
    </row>
    <row r="576" spans="1:12" ht="15" customHeight="1" x14ac:dyDescent="0.25">
      <c r="A576">
        <v>575</v>
      </c>
      <c r="B576" s="5">
        <v>45827</v>
      </c>
      <c r="C576" t="s">
        <v>33</v>
      </c>
      <c r="D576" t="s">
        <v>28</v>
      </c>
      <c r="E576" t="s">
        <v>29</v>
      </c>
      <c r="F576" t="s">
        <v>76</v>
      </c>
      <c r="G576" s="6">
        <v>621.57000000000005</v>
      </c>
      <c r="H576" s="7">
        <v>2.1000000000000001E-2</v>
      </c>
      <c r="I576" s="6">
        <v>13.05</v>
      </c>
      <c r="J576" s="6">
        <v>634.62</v>
      </c>
      <c r="K576" t="s">
        <v>1220</v>
      </c>
      <c r="L576" t="s">
        <v>1221</v>
      </c>
    </row>
    <row r="577" spans="1:12" ht="15" customHeight="1" x14ac:dyDescent="0.25">
      <c r="A577">
        <v>576</v>
      </c>
      <c r="B577" s="5">
        <v>45860</v>
      </c>
      <c r="C577" t="s">
        <v>33</v>
      </c>
      <c r="D577" t="s">
        <v>100</v>
      </c>
      <c r="E577" t="s">
        <v>101</v>
      </c>
      <c r="F577" t="s">
        <v>44</v>
      </c>
      <c r="G577" s="6">
        <v>2718.55</v>
      </c>
      <c r="H577" s="7">
        <v>0</v>
      </c>
      <c r="I577" s="6">
        <v>0</v>
      </c>
      <c r="J577" s="6">
        <v>2718.55</v>
      </c>
      <c r="K577" t="s">
        <v>1222</v>
      </c>
      <c r="L577" t="s">
        <v>1223</v>
      </c>
    </row>
    <row r="578" spans="1:12" ht="15" customHeight="1" x14ac:dyDescent="0.25">
      <c r="A578">
        <v>577</v>
      </c>
      <c r="B578" s="5">
        <v>45798</v>
      </c>
      <c r="C578" t="s">
        <v>33</v>
      </c>
      <c r="D578" t="s">
        <v>55</v>
      </c>
      <c r="E578" t="s">
        <v>56</v>
      </c>
      <c r="F578" t="s">
        <v>30</v>
      </c>
      <c r="G578" s="6">
        <v>1316.96</v>
      </c>
      <c r="H578" s="7">
        <v>5.5E-2</v>
      </c>
      <c r="I578" s="6">
        <v>72.430000000000007</v>
      </c>
      <c r="J578" s="6">
        <v>1389.39</v>
      </c>
      <c r="K578" t="s">
        <v>1224</v>
      </c>
      <c r="L578" t="s">
        <v>1225</v>
      </c>
    </row>
    <row r="579" spans="1:12" ht="15" customHeight="1" x14ac:dyDescent="0.25">
      <c r="A579">
        <v>578</v>
      </c>
      <c r="B579" s="5">
        <v>45783</v>
      </c>
      <c r="C579" t="s">
        <v>27</v>
      </c>
      <c r="D579" t="s">
        <v>181</v>
      </c>
      <c r="E579" t="s">
        <v>182</v>
      </c>
      <c r="F579" t="s">
        <v>76</v>
      </c>
      <c r="G579" s="6">
        <v>2940.97</v>
      </c>
      <c r="H579" s="7">
        <v>0.2</v>
      </c>
      <c r="I579" s="6">
        <v>588.19000000000005</v>
      </c>
      <c r="J579" s="6">
        <v>3529.16</v>
      </c>
      <c r="K579" t="s">
        <v>1226</v>
      </c>
      <c r="L579" t="s">
        <v>1227</v>
      </c>
    </row>
    <row r="580" spans="1:12" ht="15" customHeight="1" x14ac:dyDescent="0.25">
      <c r="A580">
        <v>579</v>
      </c>
      <c r="B580" s="5">
        <v>45702</v>
      </c>
      <c r="C580" t="s">
        <v>27</v>
      </c>
      <c r="D580" t="s">
        <v>79</v>
      </c>
      <c r="E580" t="s">
        <v>80</v>
      </c>
      <c r="F580" t="s">
        <v>30</v>
      </c>
      <c r="G580" s="6">
        <v>1316.61</v>
      </c>
      <c r="H580" s="7">
        <v>0.2</v>
      </c>
      <c r="I580" s="6">
        <v>263.32</v>
      </c>
      <c r="J580" s="6">
        <v>1579.93</v>
      </c>
      <c r="K580" t="s">
        <v>1228</v>
      </c>
      <c r="L580" t="s">
        <v>1229</v>
      </c>
    </row>
    <row r="581" spans="1:12" ht="15" customHeight="1" x14ac:dyDescent="0.25">
      <c r="A581">
        <v>580</v>
      </c>
      <c r="B581" s="5">
        <v>45785</v>
      </c>
      <c r="C581" t="s">
        <v>33</v>
      </c>
      <c r="D581" t="s">
        <v>181</v>
      </c>
      <c r="E581" t="s">
        <v>182</v>
      </c>
      <c r="F581" t="s">
        <v>106</v>
      </c>
      <c r="G581" s="6">
        <v>2867.93</v>
      </c>
      <c r="H581" s="7">
        <v>0.2</v>
      </c>
      <c r="I581" s="6">
        <v>573.59</v>
      </c>
      <c r="J581" s="6">
        <v>3441.52</v>
      </c>
      <c r="K581" t="s">
        <v>1230</v>
      </c>
      <c r="L581" t="s">
        <v>1231</v>
      </c>
    </row>
    <row r="582" spans="1:12" ht="15" customHeight="1" x14ac:dyDescent="0.25">
      <c r="A582">
        <v>581</v>
      </c>
      <c r="B582" s="5">
        <v>45841</v>
      </c>
      <c r="C582" t="s">
        <v>33</v>
      </c>
      <c r="D582" t="s">
        <v>94</v>
      </c>
      <c r="E582" t="s">
        <v>95</v>
      </c>
      <c r="F582" t="s">
        <v>44</v>
      </c>
      <c r="G582" s="6">
        <v>2453.59</v>
      </c>
      <c r="H582" s="7">
        <v>0</v>
      </c>
      <c r="I582" s="6">
        <v>0</v>
      </c>
      <c r="J582" s="6">
        <v>2453.59</v>
      </c>
      <c r="K582" t="s">
        <v>1232</v>
      </c>
      <c r="L582" t="s">
        <v>1233</v>
      </c>
    </row>
    <row r="583" spans="1:12" ht="15" customHeight="1" x14ac:dyDescent="0.25">
      <c r="A583">
        <v>582</v>
      </c>
      <c r="B583" s="5">
        <v>45856</v>
      </c>
      <c r="C583" t="s">
        <v>27</v>
      </c>
      <c r="D583" t="s">
        <v>79</v>
      </c>
      <c r="E583" t="s">
        <v>80</v>
      </c>
      <c r="F583" t="s">
        <v>39</v>
      </c>
      <c r="G583" s="6">
        <v>1275.33</v>
      </c>
      <c r="H583" s="7">
        <v>0.2</v>
      </c>
      <c r="I583" s="6">
        <v>255.07</v>
      </c>
      <c r="J583" s="6">
        <v>1530.4</v>
      </c>
      <c r="K583" t="s">
        <v>1234</v>
      </c>
      <c r="L583" t="s">
        <v>1235</v>
      </c>
    </row>
    <row r="584" spans="1:12" ht="15" customHeight="1" x14ac:dyDescent="0.25">
      <c r="A584">
        <v>583</v>
      </c>
      <c r="B584" s="5">
        <v>45687</v>
      </c>
      <c r="C584" t="s">
        <v>27</v>
      </c>
      <c r="D584" t="s">
        <v>28</v>
      </c>
      <c r="E584" t="s">
        <v>29</v>
      </c>
      <c r="F584" t="s">
        <v>76</v>
      </c>
      <c r="G584" s="6">
        <v>3654.25</v>
      </c>
      <c r="H584" s="7">
        <v>2.1000000000000001E-2</v>
      </c>
      <c r="I584" s="6">
        <v>76.739999999999995</v>
      </c>
      <c r="J584" s="6">
        <v>3730.99</v>
      </c>
      <c r="K584" t="s">
        <v>1236</v>
      </c>
      <c r="L584" t="s">
        <v>1237</v>
      </c>
    </row>
    <row r="585" spans="1:12" ht="15" customHeight="1" x14ac:dyDescent="0.25">
      <c r="A585">
        <v>584</v>
      </c>
      <c r="B585" s="5">
        <v>45777</v>
      </c>
      <c r="C585" t="s">
        <v>47</v>
      </c>
      <c r="D585" t="s">
        <v>42</v>
      </c>
      <c r="E585" t="s">
        <v>43</v>
      </c>
      <c r="F585" t="s">
        <v>44</v>
      </c>
      <c r="G585" s="6">
        <v>2040.32</v>
      </c>
      <c r="H585" s="7">
        <v>0</v>
      </c>
      <c r="I585" s="6">
        <v>0</v>
      </c>
      <c r="J585" s="6">
        <v>2040.32</v>
      </c>
      <c r="K585" t="s">
        <v>1238</v>
      </c>
      <c r="L585" t="s">
        <v>1239</v>
      </c>
    </row>
    <row r="586" spans="1:12" ht="15" customHeight="1" x14ac:dyDescent="0.25">
      <c r="A586">
        <v>585</v>
      </c>
      <c r="B586" s="5">
        <v>45686</v>
      </c>
      <c r="C586" t="s">
        <v>33</v>
      </c>
      <c r="D586" t="s">
        <v>55</v>
      </c>
      <c r="E586" t="s">
        <v>56</v>
      </c>
      <c r="F586" t="s">
        <v>71</v>
      </c>
      <c r="G586" s="6">
        <v>3457.1</v>
      </c>
      <c r="H586" s="7">
        <v>5.5E-2</v>
      </c>
      <c r="I586" s="6">
        <v>190.14</v>
      </c>
      <c r="J586" s="6">
        <v>3647.24</v>
      </c>
      <c r="K586" t="s">
        <v>1240</v>
      </c>
      <c r="L586" t="s">
        <v>1241</v>
      </c>
    </row>
    <row r="587" spans="1:12" ht="15" customHeight="1" x14ac:dyDescent="0.25">
      <c r="A587">
        <v>586</v>
      </c>
      <c r="B587" s="5">
        <v>45748</v>
      </c>
      <c r="C587" t="s">
        <v>47</v>
      </c>
      <c r="D587" t="s">
        <v>55</v>
      </c>
      <c r="E587" t="s">
        <v>56</v>
      </c>
      <c r="F587" t="s">
        <v>50</v>
      </c>
      <c r="G587" s="6">
        <v>1125.56</v>
      </c>
      <c r="H587" s="7">
        <v>5.5E-2</v>
      </c>
      <c r="I587" s="6">
        <v>61.91</v>
      </c>
      <c r="J587" s="6">
        <v>1187.47</v>
      </c>
      <c r="K587" t="s">
        <v>1242</v>
      </c>
      <c r="L587" t="s">
        <v>1243</v>
      </c>
    </row>
    <row r="588" spans="1:12" ht="15" customHeight="1" x14ac:dyDescent="0.25">
      <c r="A588">
        <v>587</v>
      </c>
      <c r="B588" s="5">
        <v>45960</v>
      </c>
      <c r="C588" t="s">
        <v>27</v>
      </c>
      <c r="D588" t="s">
        <v>42</v>
      </c>
      <c r="E588" t="s">
        <v>43</v>
      </c>
      <c r="F588" t="s">
        <v>44</v>
      </c>
      <c r="G588" s="6">
        <v>3481.35</v>
      </c>
      <c r="H588" s="7">
        <v>0</v>
      </c>
      <c r="I588" s="6">
        <v>0</v>
      </c>
      <c r="J588" s="6">
        <v>3481.35</v>
      </c>
      <c r="K588" t="s">
        <v>1244</v>
      </c>
      <c r="L588" t="s">
        <v>1245</v>
      </c>
    </row>
    <row r="589" spans="1:12" ht="15" customHeight="1" x14ac:dyDescent="0.25">
      <c r="A589">
        <v>588</v>
      </c>
      <c r="B589" s="5">
        <v>45754</v>
      </c>
      <c r="C589" t="s">
        <v>27</v>
      </c>
      <c r="D589" t="s">
        <v>28</v>
      </c>
      <c r="E589" t="s">
        <v>29</v>
      </c>
      <c r="F589" t="s">
        <v>76</v>
      </c>
      <c r="G589" s="6">
        <v>3778.2</v>
      </c>
      <c r="H589" s="7">
        <v>2.1000000000000001E-2</v>
      </c>
      <c r="I589" s="6">
        <v>79.34</v>
      </c>
      <c r="J589" s="6">
        <v>3857.54</v>
      </c>
      <c r="K589" t="s">
        <v>1246</v>
      </c>
      <c r="L589" t="s">
        <v>1247</v>
      </c>
    </row>
    <row r="590" spans="1:12" ht="15" customHeight="1" x14ac:dyDescent="0.25">
      <c r="A590">
        <v>589</v>
      </c>
      <c r="B590" s="5">
        <v>45677</v>
      </c>
      <c r="C590" t="s">
        <v>47</v>
      </c>
      <c r="D590" t="s">
        <v>28</v>
      </c>
      <c r="E590" t="s">
        <v>29</v>
      </c>
      <c r="F590" t="s">
        <v>71</v>
      </c>
      <c r="G590" s="6">
        <v>478.94</v>
      </c>
      <c r="H590" s="7">
        <v>2.1000000000000001E-2</v>
      </c>
      <c r="I590" s="6">
        <v>10.06</v>
      </c>
      <c r="J590" s="6">
        <v>489</v>
      </c>
      <c r="K590" t="s">
        <v>1248</v>
      </c>
      <c r="L590" t="s">
        <v>1249</v>
      </c>
    </row>
    <row r="591" spans="1:12" ht="15" customHeight="1" x14ac:dyDescent="0.25">
      <c r="A591">
        <v>590</v>
      </c>
      <c r="B591" s="5">
        <v>45902</v>
      </c>
      <c r="C591" t="s">
        <v>33</v>
      </c>
      <c r="D591" t="s">
        <v>28</v>
      </c>
      <c r="E591" t="s">
        <v>29</v>
      </c>
      <c r="F591" t="s">
        <v>84</v>
      </c>
      <c r="G591" s="6">
        <v>83.02</v>
      </c>
      <c r="H591" s="7">
        <v>2.1000000000000001E-2</v>
      </c>
      <c r="I591" s="6">
        <v>1.74</v>
      </c>
      <c r="J591" s="6">
        <v>84.76</v>
      </c>
      <c r="K591" t="s">
        <v>1250</v>
      </c>
      <c r="L591" t="s">
        <v>1251</v>
      </c>
    </row>
    <row r="592" spans="1:12" ht="15" customHeight="1" x14ac:dyDescent="0.25">
      <c r="A592">
        <v>591</v>
      </c>
      <c r="B592" s="5">
        <v>45748</v>
      </c>
      <c r="C592" t="s">
        <v>33</v>
      </c>
      <c r="D592" t="s">
        <v>55</v>
      </c>
      <c r="E592" t="s">
        <v>56</v>
      </c>
      <c r="F592" t="s">
        <v>50</v>
      </c>
      <c r="G592" s="6">
        <v>4141.01</v>
      </c>
      <c r="H592" s="7">
        <v>5.5E-2</v>
      </c>
      <c r="I592" s="6">
        <v>227.76</v>
      </c>
      <c r="J592" s="6">
        <v>4368.7700000000004</v>
      </c>
      <c r="K592" t="s">
        <v>1252</v>
      </c>
      <c r="L592" t="s">
        <v>1253</v>
      </c>
    </row>
    <row r="593" spans="1:13" ht="15" customHeight="1" x14ac:dyDescent="0.25">
      <c r="A593">
        <v>592</v>
      </c>
      <c r="B593" s="5">
        <v>45730</v>
      </c>
      <c r="C593" t="s">
        <v>33</v>
      </c>
      <c r="D593" t="s">
        <v>28</v>
      </c>
      <c r="E593" t="s">
        <v>29</v>
      </c>
      <c r="F593" t="s">
        <v>106</v>
      </c>
      <c r="G593" s="6">
        <v>3502.7</v>
      </c>
      <c r="H593" s="7">
        <v>2.1000000000000001E-2</v>
      </c>
      <c r="I593" s="6">
        <v>73.56</v>
      </c>
      <c r="J593" s="6">
        <v>3576.26</v>
      </c>
      <c r="K593" t="s">
        <v>1254</v>
      </c>
      <c r="L593" t="s">
        <v>1255</v>
      </c>
    </row>
    <row r="594" spans="1:13" ht="15" customHeight="1" x14ac:dyDescent="0.25">
      <c r="A594">
        <v>593</v>
      </c>
      <c r="B594" s="5">
        <v>45860</v>
      </c>
      <c r="C594" t="s">
        <v>33</v>
      </c>
      <c r="D594" t="s">
        <v>63</v>
      </c>
      <c r="E594" t="s">
        <v>64</v>
      </c>
      <c r="F594" t="s">
        <v>50</v>
      </c>
      <c r="G594" s="6">
        <v>2670.19</v>
      </c>
      <c r="H594" s="7">
        <v>0.2</v>
      </c>
      <c r="I594" s="6">
        <v>534.04</v>
      </c>
      <c r="J594" s="6">
        <v>3204.23</v>
      </c>
      <c r="K594" t="s">
        <v>1256</v>
      </c>
      <c r="L594" t="s">
        <v>1257</v>
      </c>
    </row>
    <row r="595" spans="1:13" ht="15" customHeight="1" x14ac:dyDescent="0.25">
      <c r="A595">
        <v>594</v>
      </c>
      <c r="B595" s="5">
        <v>45881</v>
      </c>
      <c r="C595" t="s">
        <v>47</v>
      </c>
      <c r="D595" t="s">
        <v>28</v>
      </c>
      <c r="E595" t="s">
        <v>29</v>
      </c>
      <c r="F595" t="s">
        <v>76</v>
      </c>
      <c r="G595" s="6">
        <v>3579.94</v>
      </c>
      <c r="H595" s="7">
        <v>2.1000000000000001E-2</v>
      </c>
      <c r="I595" s="6">
        <v>75.180000000000007</v>
      </c>
      <c r="J595" s="6">
        <v>3655.12</v>
      </c>
      <c r="K595" t="s">
        <v>1258</v>
      </c>
      <c r="L595" t="s">
        <v>1259</v>
      </c>
    </row>
    <row r="596" spans="1:13" ht="15" customHeight="1" x14ac:dyDescent="0.25">
      <c r="A596">
        <v>595</v>
      </c>
      <c r="B596" s="5">
        <v>45945</v>
      </c>
      <c r="C596" t="s">
        <v>47</v>
      </c>
      <c r="D596" t="s">
        <v>28</v>
      </c>
      <c r="E596" t="s">
        <v>29</v>
      </c>
      <c r="F596" t="s">
        <v>84</v>
      </c>
      <c r="G596" s="6">
        <v>3145.54</v>
      </c>
      <c r="H596" s="7">
        <v>2.1000000000000001E-2</v>
      </c>
      <c r="I596" s="6">
        <v>66.06</v>
      </c>
      <c r="J596" s="6">
        <v>3211.6</v>
      </c>
      <c r="K596" t="s">
        <v>1260</v>
      </c>
      <c r="L596" t="s">
        <v>1261</v>
      </c>
    </row>
    <row r="597" spans="1:13" ht="15" customHeight="1" x14ac:dyDescent="0.25">
      <c r="A597">
        <v>596</v>
      </c>
      <c r="B597" s="5">
        <v>45959</v>
      </c>
      <c r="C597" t="s">
        <v>47</v>
      </c>
      <c r="D597" t="s">
        <v>55</v>
      </c>
      <c r="E597" t="s">
        <v>56</v>
      </c>
      <c r="F597" t="s">
        <v>36</v>
      </c>
      <c r="G597" s="6">
        <v>3679.89</v>
      </c>
      <c r="H597" s="7">
        <v>5.5E-2</v>
      </c>
      <c r="I597" s="6">
        <v>202.39</v>
      </c>
      <c r="J597" s="6">
        <v>3882.28</v>
      </c>
      <c r="K597" t="s">
        <v>1262</v>
      </c>
      <c r="L597" t="s">
        <v>1263</v>
      </c>
    </row>
    <row r="598" spans="1:13" ht="15" customHeight="1" x14ac:dyDescent="0.25">
      <c r="A598">
        <v>597</v>
      </c>
      <c r="B598" s="5">
        <v>45723</v>
      </c>
      <c r="C598" t="s">
        <v>27</v>
      </c>
      <c r="D598" t="s">
        <v>34</v>
      </c>
      <c r="E598" t="s">
        <v>35</v>
      </c>
      <c r="F598" t="s">
        <v>39</v>
      </c>
      <c r="G598" s="6">
        <v>865.47</v>
      </c>
      <c r="H598" s="7">
        <v>0.2</v>
      </c>
      <c r="I598" s="6">
        <v>173.09</v>
      </c>
      <c r="J598" s="6">
        <v>1038.56</v>
      </c>
      <c r="K598" t="s">
        <v>1264</v>
      </c>
      <c r="L598" t="s">
        <v>1265</v>
      </c>
    </row>
    <row r="599" spans="1:13" ht="15" customHeight="1" x14ac:dyDescent="0.25">
      <c r="A599">
        <v>598</v>
      </c>
      <c r="B599" s="5">
        <v>45674</v>
      </c>
      <c r="C599" t="s">
        <v>27</v>
      </c>
      <c r="D599" t="s">
        <v>63</v>
      </c>
      <c r="E599" t="s">
        <v>64</v>
      </c>
      <c r="F599" t="s">
        <v>50</v>
      </c>
      <c r="G599" s="6">
        <v>884.8</v>
      </c>
      <c r="H599" s="7">
        <v>0.2</v>
      </c>
      <c r="I599" s="6">
        <v>176.96</v>
      </c>
      <c r="J599" s="6">
        <v>1061.76</v>
      </c>
      <c r="K599" t="s">
        <v>1266</v>
      </c>
      <c r="L599" t="s">
        <v>1267</v>
      </c>
    </row>
    <row r="600" spans="1:13" ht="15" customHeight="1" x14ac:dyDescent="0.25">
      <c r="A600">
        <v>599</v>
      </c>
      <c r="B600" s="5">
        <v>45948</v>
      </c>
      <c r="C600" t="s">
        <v>27</v>
      </c>
      <c r="D600" t="s">
        <v>55</v>
      </c>
      <c r="E600" t="s">
        <v>56</v>
      </c>
      <c r="F600" t="s">
        <v>76</v>
      </c>
      <c r="G600" s="6">
        <v>540.16999999999996</v>
      </c>
      <c r="H600" s="7">
        <v>5.5E-2</v>
      </c>
      <c r="I600" s="6">
        <v>29.71</v>
      </c>
      <c r="J600" s="6">
        <v>569.88</v>
      </c>
      <c r="K600" t="s">
        <v>1268</v>
      </c>
      <c r="L600" t="s">
        <v>1269</v>
      </c>
      <c r="M600" t="s">
        <v>472</v>
      </c>
    </row>
    <row r="601" spans="1:13" ht="15" customHeight="1" x14ac:dyDescent="0.25">
      <c r="A601">
        <v>600</v>
      </c>
      <c r="B601" s="5">
        <v>45779</v>
      </c>
      <c r="C601" t="s">
        <v>47</v>
      </c>
      <c r="D601" t="s">
        <v>42</v>
      </c>
      <c r="E601" t="s">
        <v>43</v>
      </c>
      <c r="F601" t="s">
        <v>44</v>
      </c>
      <c r="G601" s="6">
        <v>2566.84</v>
      </c>
      <c r="H601" s="7">
        <v>0</v>
      </c>
      <c r="I601" s="6">
        <v>0</v>
      </c>
      <c r="J601" s="6">
        <v>2566.84</v>
      </c>
      <c r="K601" t="s">
        <v>1270</v>
      </c>
      <c r="L601" t="s">
        <v>1271</v>
      </c>
    </row>
    <row r="602" spans="1:13" ht="15" customHeight="1" x14ac:dyDescent="0.25">
      <c r="A602">
        <v>601</v>
      </c>
      <c r="B602" s="5">
        <v>46001</v>
      </c>
      <c r="C602" t="s">
        <v>33</v>
      </c>
      <c r="D602" t="s">
        <v>42</v>
      </c>
      <c r="E602" t="s">
        <v>43</v>
      </c>
      <c r="F602" t="s">
        <v>44</v>
      </c>
      <c r="G602" s="6">
        <v>3927.97</v>
      </c>
      <c r="H602" s="7">
        <v>0</v>
      </c>
      <c r="I602" s="6">
        <v>0</v>
      </c>
      <c r="J602" s="6">
        <v>3927.97</v>
      </c>
      <c r="K602" t="s">
        <v>1272</v>
      </c>
      <c r="L602" t="s">
        <v>1273</v>
      </c>
    </row>
    <row r="603" spans="1:13" ht="15" customHeight="1" x14ac:dyDescent="0.25">
      <c r="A603">
        <v>602</v>
      </c>
      <c r="B603" s="5">
        <v>45785</v>
      </c>
      <c r="C603" t="s">
        <v>33</v>
      </c>
      <c r="D603" t="s">
        <v>55</v>
      </c>
      <c r="E603" t="s">
        <v>56</v>
      </c>
      <c r="F603" t="s">
        <v>50</v>
      </c>
      <c r="G603" s="6">
        <v>3143.84</v>
      </c>
      <c r="H603" s="7">
        <v>5.5E-2</v>
      </c>
      <c r="I603" s="6">
        <v>172.91</v>
      </c>
      <c r="J603" s="6">
        <v>3316.75</v>
      </c>
      <c r="K603" t="s">
        <v>1274</v>
      </c>
      <c r="L603" t="s">
        <v>1275</v>
      </c>
    </row>
    <row r="604" spans="1:13" ht="15" customHeight="1" x14ac:dyDescent="0.25">
      <c r="A604">
        <v>603</v>
      </c>
      <c r="B604" s="5">
        <v>45855</v>
      </c>
      <c r="C604" t="s">
        <v>33</v>
      </c>
      <c r="D604" t="s">
        <v>42</v>
      </c>
      <c r="E604" t="s">
        <v>43</v>
      </c>
      <c r="F604" t="s">
        <v>44</v>
      </c>
      <c r="G604" s="6">
        <v>2807.17</v>
      </c>
      <c r="H604" s="7">
        <v>0</v>
      </c>
      <c r="I604" s="6">
        <v>0</v>
      </c>
      <c r="J604" s="6">
        <v>2807.17</v>
      </c>
      <c r="K604" t="s">
        <v>1276</v>
      </c>
      <c r="L604" t="s">
        <v>1277</v>
      </c>
    </row>
    <row r="605" spans="1:13" ht="15" customHeight="1" x14ac:dyDescent="0.25">
      <c r="A605">
        <v>604</v>
      </c>
      <c r="B605" s="5">
        <v>45937</v>
      </c>
      <c r="C605" t="s">
        <v>47</v>
      </c>
      <c r="D605" t="s">
        <v>79</v>
      </c>
      <c r="E605" t="s">
        <v>80</v>
      </c>
      <c r="F605" t="s">
        <v>76</v>
      </c>
      <c r="G605" s="6">
        <v>1739.04</v>
      </c>
      <c r="H605" s="7">
        <v>0.2</v>
      </c>
      <c r="I605" s="6">
        <v>347.81</v>
      </c>
      <c r="J605" s="6">
        <v>2086.85</v>
      </c>
      <c r="K605" t="s">
        <v>1278</v>
      </c>
      <c r="L605" t="s">
        <v>1279</v>
      </c>
    </row>
    <row r="606" spans="1:13" ht="15" customHeight="1" x14ac:dyDescent="0.25">
      <c r="A606">
        <v>605</v>
      </c>
      <c r="B606" s="5">
        <v>46031</v>
      </c>
      <c r="C606" t="s">
        <v>27</v>
      </c>
      <c r="D606" t="s">
        <v>34</v>
      </c>
      <c r="E606" t="s">
        <v>35</v>
      </c>
      <c r="F606" t="s">
        <v>76</v>
      </c>
      <c r="G606" s="6">
        <v>1077.08</v>
      </c>
      <c r="H606" s="7">
        <v>0.2</v>
      </c>
      <c r="I606" s="6">
        <v>215.42</v>
      </c>
      <c r="J606" s="6">
        <v>1292.5</v>
      </c>
      <c r="K606" t="s">
        <v>1280</v>
      </c>
      <c r="L606" t="s">
        <v>1281</v>
      </c>
      <c r="M606" t="s">
        <v>1282</v>
      </c>
    </row>
    <row r="607" spans="1:13" ht="15" customHeight="1" x14ac:dyDescent="0.25">
      <c r="A607">
        <v>606</v>
      </c>
      <c r="B607" s="5">
        <v>45821</v>
      </c>
      <c r="C607" t="s">
        <v>33</v>
      </c>
      <c r="D607" t="s">
        <v>55</v>
      </c>
      <c r="E607" t="s">
        <v>56</v>
      </c>
      <c r="F607" t="s">
        <v>87</v>
      </c>
      <c r="G607" s="6">
        <v>1234.18</v>
      </c>
      <c r="H607" s="7">
        <v>5.5E-2</v>
      </c>
      <c r="I607" s="6">
        <v>67.88</v>
      </c>
      <c r="J607" s="6">
        <v>1302.06</v>
      </c>
      <c r="K607" t="s">
        <v>1283</v>
      </c>
      <c r="L607" t="s">
        <v>1284</v>
      </c>
    </row>
    <row r="608" spans="1:13" ht="15" customHeight="1" x14ac:dyDescent="0.25">
      <c r="A608">
        <v>607</v>
      </c>
      <c r="B608" s="5">
        <v>45740</v>
      </c>
      <c r="C608" t="s">
        <v>47</v>
      </c>
      <c r="D608" t="s">
        <v>28</v>
      </c>
      <c r="E608" t="s">
        <v>29</v>
      </c>
      <c r="F608" t="s">
        <v>106</v>
      </c>
      <c r="G608" s="6">
        <v>3315.37</v>
      </c>
      <c r="H608" s="7">
        <v>2.1000000000000001E-2</v>
      </c>
      <c r="I608" s="6">
        <v>69.62</v>
      </c>
      <c r="J608" s="6">
        <v>3384.99</v>
      </c>
      <c r="K608" t="s">
        <v>1285</v>
      </c>
      <c r="L608" t="s">
        <v>1286</v>
      </c>
    </row>
    <row r="609" spans="1:12" ht="15" customHeight="1" x14ac:dyDescent="0.25">
      <c r="A609">
        <v>608</v>
      </c>
      <c r="B609" s="5">
        <v>45972</v>
      </c>
      <c r="C609" t="s">
        <v>47</v>
      </c>
      <c r="D609" t="s">
        <v>172</v>
      </c>
      <c r="E609" t="s">
        <v>173</v>
      </c>
      <c r="F609" t="s">
        <v>81</v>
      </c>
      <c r="G609" s="6">
        <v>4028.06</v>
      </c>
      <c r="H609" s="7">
        <v>0.2</v>
      </c>
      <c r="I609" s="6">
        <v>805.61</v>
      </c>
      <c r="J609" s="6">
        <v>4833.67</v>
      </c>
      <c r="K609" t="s">
        <v>1287</v>
      </c>
      <c r="L609" t="s">
        <v>1288</v>
      </c>
    </row>
    <row r="610" spans="1:12" ht="15" customHeight="1" x14ac:dyDescent="0.25">
      <c r="A610">
        <v>609</v>
      </c>
      <c r="B610" s="5">
        <v>45742</v>
      </c>
      <c r="C610" t="s">
        <v>47</v>
      </c>
      <c r="D610" t="s">
        <v>100</v>
      </c>
      <c r="E610" t="s">
        <v>101</v>
      </c>
      <c r="F610" t="s">
        <v>44</v>
      </c>
      <c r="G610" s="6">
        <v>2842.08</v>
      </c>
      <c r="H610" s="7">
        <v>0</v>
      </c>
      <c r="I610" s="6">
        <v>0</v>
      </c>
      <c r="J610" s="6">
        <v>2842.08</v>
      </c>
      <c r="K610" t="s">
        <v>1289</v>
      </c>
      <c r="L610" t="s">
        <v>1290</v>
      </c>
    </row>
    <row r="611" spans="1:12" ht="15" customHeight="1" x14ac:dyDescent="0.25">
      <c r="A611">
        <v>610</v>
      </c>
      <c r="B611" s="5">
        <v>45755</v>
      </c>
      <c r="C611" t="s">
        <v>33</v>
      </c>
      <c r="D611" t="s">
        <v>55</v>
      </c>
      <c r="E611" t="s">
        <v>56</v>
      </c>
      <c r="F611" t="s">
        <v>106</v>
      </c>
      <c r="G611" s="6">
        <v>1889.02</v>
      </c>
      <c r="H611" s="7">
        <v>5.5E-2</v>
      </c>
      <c r="I611" s="6">
        <v>103.9</v>
      </c>
      <c r="J611" s="6">
        <v>1992.92</v>
      </c>
      <c r="K611" t="s">
        <v>1291</v>
      </c>
      <c r="L611" t="s">
        <v>1292</v>
      </c>
    </row>
    <row r="612" spans="1:12" ht="15" customHeight="1" x14ac:dyDescent="0.25">
      <c r="A612">
        <v>611</v>
      </c>
      <c r="B612" s="5">
        <v>45996</v>
      </c>
      <c r="C612" t="s">
        <v>27</v>
      </c>
      <c r="D612" t="s">
        <v>172</v>
      </c>
      <c r="E612" t="s">
        <v>173</v>
      </c>
      <c r="F612" t="s">
        <v>71</v>
      </c>
      <c r="G612" s="6">
        <v>1324.33</v>
      </c>
      <c r="H612" s="7">
        <v>0.2</v>
      </c>
      <c r="I612" s="6">
        <v>264.87</v>
      </c>
      <c r="J612" s="6">
        <v>1589.2</v>
      </c>
      <c r="K612" t="s">
        <v>1293</v>
      </c>
      <c r="L612" t="s">
        <v>1294</v>
      </c>
    </row>
    <row r="613" spans="1:12" ht="15" customHeight="1" x14ac:dyDescent="0.25">
      <c r="A613">
        <v>612</v>
      </c>
      <c r="B613" s="5">
        <v>45939</v>
      </c>
      <c r="C613" t="s">
        <v>33</v>
      </c>
      <c r="D613" t="s">
        <v>63</v>
      </c>
      <c r="E613" t="s">
        <v>64</v>
      </c>
      <c r="F613" t="s">
        <v>30</v>
      </c>
      <c r="G613" s="6">
        <v>3792.16</v>
      </c>
      <c r="H613" s="7">
        <v>0.2</v>
      </c>
      <c r="I613" s="6">
        <v>758.43</v>
      </c>
      <c r="J613" s="6">
        <v>4550.59</v>
      </c>
      <c r="K613" t="s">
        <v>1295</v>
      </c>
      <c r="L613" t="s">
        <v>1296</v>
      </c>
    </row>
    <row r="614" spans="1:12" ht="15" customHeight="1" x14ac:dyDescent="0.25">
      <c r="A614">
        <v>613</v>
      </c>
      <c r="B614" s="5">
        <v>45702</v>
      </c>
      <c r="C614" t="s">
        <v>47</v>
      </c>
      <c r="D614" t="s">
        <v>28</v>
      </c>
      <c r="E614" t="s">
        <v>29</v>
      </c>
      <c r="F614" t="s">
        <v>120</v>
      </c>
      <c r="G614" s="6">
        <v>1381.91</v>
      </c>
      <c r="H614" s="7">
        <v>2.1000000000000001E-2</v>
      </c>
      <c r="I614" s="6">
        <v>29.02</v>
      </c>
      <c r="J614" s="6">
        <v>1410.93</v>
      </c>
      <c r="K614" t="s">
        <v>1297</v>
      </c>
      <c r="L614" t="s">
        <v>1298</v>
      </c>
    </row>
    <row r="615" spans="1:12" ht="15" customHeight="1" x14ac:dyDescent="0.25">
      <c r="A615">
        <v>614</v>
      </c>
      <c r="B615" s="5">
        <v>45707</v>
      </c>
      <c r="C615" t="s">
        <v>27</v>
      </c>
      <c r="D615" t="s">
        <v>79</v>
      </c>
      <c r="E615" t="s">
        <v>80</v>
      </c>
      <c r="F615" t="s">
        <v>30</v>
      </c>
      <c r="G615" s="6">
        <v>193.75</v>
      </c>
      <c r="H615" s="7">
        <v>0.2</v>
      </c>
      <c r="I615" s="6">
        <v>38.75</v>
      </c>
      <c r="J615" s="6">
        <v>232.5</v>
      </c>
      <c r="K615" t="s">
        <v>1299</v>
      </c>
      <c r="L615" t="s">
        <v>1300</v>
      </c>
    </row>
    <row r="616" spans="1:12" ht="15" customHeight="1" x14ac:dyDescent="0.25">
      <c r="A616">
        <v>615</v>
      </c>
      <c r="B616" s="5">
        <v>45861</v>
      </c>
      <c r="C616" t="s">
        <v>47</v>
      </c>
      <c r="D616" t="s">
        <v>94</v>
      </c>
      <c r="E616" t="s">
        <v>95</v>
      </c>
      <c r="F616" t="s">
        <v>44</v>
      </c>
      <c r="G616" s="6">
        <v>2737.19</v>
      </c>
      <c r="H616" s="7">
        <v>0</v>
      </c>
      <c r="I616" s="6">
        <v>0</v>
      </c>
      <c r="J616" s="6">
        <v>2737.19</v>
      </c>
      <c r="K616" t="s">
        <v>1301</v>
      </c>
      <c r="L616" t="s">
        <v>1302</v>
      </c>
    </row>
    <row r="617" spans="1:12" ht="15" customHeight="1" x14ac:dyDescent="0.25">
      <c r="A617">
        <v>616</v>
      </c>
      <c r="B617" s="5">
        <v>45856</v>
      </c>
      <c r="C617" t="s">
        <v>33</v>
      </c>
      <c r="D617" t="s">
        <v>181</v>
      </c>
      <c r="E617" t="s">
        <v>182</v>
      </c>
      <c r="F617" t="s">
        <v>36</v>
      </c>
      <c r="G617" s="6">
        <v>897.17</v>
      </c>
      <c r="H617" s="7">
        <v>0.2</v>
      </c>
      <c r="I617" s="6">
        <v>179.43</v>
      </c>
      <c r="J617" s="6">
        <v>1076.5999999999999</v>
      </c>
      <c r="K617" t="s">
        <v>1303</v>
      </c>
      <c r="L617" t="s">
        <v>1304</v>
      </c>
    </row>
    <row r="618" spans="1:12" ht="15" customHeight="1" x14ac:dyDescent="0.25">
      <c r="A618">
        <v>617</v>
      </c>
      <c r="B618" s="5">
        <v>45792</v>
      </c>
      <c r="C618" t="s">
        <v>33</v>
      </c>
      <c r="D618" t="s">
        <v>79</v>
      </c>
      <c r="E618" t="s">
        <v>80</v>
      </c>
      <c r="F618" t="s">
        <v>174</v>
      </c>
      <c r="G618" s="6">
        <v>2023.65</v>
      </c>
      <c r="H618" s="7">
        <v>0.2</v>
      </c>
      <c r="I618" s="6">
        <v>404.73</v>
      </c>
      <c r="J618" s="6">
        <v>2428.38</v>
      </c>
      <c r="K618" t="s">
        <v>1305</v>
      </c>
      <c r="L618" t="s">
        <v>1306</v>
      </c>
    </row>
    <row r="619" spans="1:12" ht="15" customHeight="1" x14ac:dyDescent="0.25">
      <c r="A619">
        <v>618</v>
      </c>
      <c r="B619" s="5">
        <v>45735</v>
      </c>
      <c r="C619" t="s">
        <v>47</v>
      </c>
      <c r="D619" t="s">
        <v>172</v>
      </c>
      <c r="E619" t="s">
        <v>173</v>
      </c>
      <c r="F619" t="s">
        <v>120</v>
      </c>
      <c r="G619" s="6">
        <v>3404.88</v>
      </c>
      <c r="H619" s="7">
        <v>0.2</v>
      </c>
      <c r="I619" s="6">
        <v>680.98</v>
      </c>
      <c r="J619" s="6">
        <v>4085.86</v>
      </c>
      <c r="K619" t="s">
        <v>1307</v>
      </c>
      <c r="L619" t="s">
        <v>1308</v>
      </c>
    </row>
    <row r="620" spans="1:12" ht="15" customHeight="1" x14ac:dyDescent="0.25">
      <c r="A620">
        <v>619</v>
      </c>
      <c r="B620" s="5">
        <v>45869</v>
      </c>
      <c r="C620" t="s">
        <v>33</v>
      </c>
      <c r="D620" t="s">
        <v>34</v>
      </c>
      <c r="E620" t="s">
        <v>35</v>
      </c>
      <c r="F620" t="s">
        <v>84</v>
      </c>
      <c r="G620" s="6">
        <v>4370.5200000000004</v>
      </c>
      <c r="H620" s="7">
        <v>0.2</v>
      </c>
      <c r="I620" s="6">
        <v>874.1</v>
      </c>
      <c r="J620" s="6">
        <v>5244.62</v>
      </c>
      <c r="K620" t="s">
        <v>1309</v>
      </c>
      <c r="L620" t="s">
        <v>1310</v>
      </c>
    </row>
    <row r="621" spans="1:12" ht="15" customHeight="1" x14ac:dyDescent="0.25">
      <c r="A621">
        <v>620</v>
      </c>
      <c r="B621" s="5">
        <v>45856</v>
      </c>
      <c r="C621" t="s">
        <v>27</v>
      </c>
      <c r="D621" t="s">
        <v>28</v>
      </c>
      <c r="E621" t="s">
        <v>29</v>
      </c>
      <c r="F621" t="s">
        <v>36</v>
      </c>
      <c r="G621" s="6">
        <v>3697.35</v>
      </c>
      <c r="H621" s="7">
        <v>2.1000000000000001E-2</v>
      </c>
      <c r="I621" s="6">
        <v>77.64</v>
      </c>
      <c r="J621" s="6">
        <v>3774.99</v>
      </c>
      <c r="K621" t="s">
        <v>1311</v>
      </c>
      <c r="L621" t="s">
        <v>1312</v>
      </c>
    </row>
    <row r="622" spans="1:12" ht="15" customHeight="1" x14ac:dyDescent="0.25">
      <c r="A622">
        <v>621</v>
      </c>
      <c r="B622" s="5">
        <v>45901</v>
      </c>
      <c r="C622" t="s">
        <v>27</v>
      </c>
      <c r="D622" t="s">
        <v>42</v>
      </c>
      <c r="E622" t="s">
        <v>43</v>
      </c>
      <c r="F622" t="s">
        <v>44</v>
      </c>
      <c r="G622" s="6">
        <v>2365.54</v>
      </c>
      <c r="H622" s="7">
        <v>0</v>
      </c>
      <c r="I622" s="6">
        <v>0</v>
      </c>
      <c r="J622" s="6">
        <v>2365.54</v>
      </c>
      <c r="K622" t="s">
        <v>1313</v>
      </c>
      <c r="L622" t="s">
        <v>1314</v>
      </c>
    </row>
    <row r="623" spans="1:12" ht="15" customHeight="1" x14ac:dyDescent="0.25">
      <c r="A623">
        <v>622</v>
      </c>
      <c r="B623" s="5">
        <v>45915</v>
      </c>
      <c r="C623" t="s">
        <v>33</v>
      </c>
      <c r="D623" t="s">
        <v>63</v>
      </c>
      <c r="E623" t="s">
        <v>64</v>
      </c>
      <c r="F623" t="s">
        <v>106</v>
      </c>
      <c r="G623" s="6">
        <v>2604.79</v>
      </c>
      <c r="H623" s="7">
        <v>0.2</v>
      </c>
      <c r="I623" s="6">
        <v>520.96</v>
      </c>
      <c r="J623" s="6">
        <v>3125.75</v>
      </c>
      <c r="K623" t="s">
        <v>1315</v>
      </c>
      <c r="L623" t="s">
        <v>1316</v>
      </c>
    </row>
    <row r="624" spans="1:12" ht="15" customHeight="1" x14ac:dyDescent="0.25">
      <c r="A624">
        <v>623</v>
      </c>
      <c r="B624" s="5">
        <v>45975</v>
      </c>
      <c r="C624" t="s">
        <v>27</v>
      </c>
      <c r="D624" t="s">
        <v>34</v>
      </c>
      <c r="E624" t="s">
        <v>35</v>
      </c>
      <c r="F624" t="s">
        <v>76</v>
      </c>
      <c r="G624" s="6">
        <v>731.72</v>
      </c>
      <c r="H624" s="7">
        <v>0.2</v>
      </c>
      <c r="I624" s="6">
        <v>146.34</v>
      </c>
      <c r="J624" s="6">
        <v>878.06</v>
      </c>
      <c r="K624" t="s">
        <v>1317</v>
      </c>
      <c r="L624" t="s">
        <v>1318</v>
      </c>
    </row>
    <row r="625" spans="1:12" ht="15" customHeight="1" x14ac:dyDescent="0.25">
      <c r="A625">
        <v>624</v>
      </c>
      <c r="B625" s="5">
        <v>45756</v>
      </c>
      <c r="C625" t="s">
        <v>33</v>
      </c>
      <c r="D625" t="s">
        <v>94</v>
      </c>
      <c r="E625" t="s">
        <v>95</v>
      </c>
      <c r="F625" t="s">
        <v>44</v>
      </c>
      <c r="G625" s="6">
        <v>1558.44</v>
      </c>
      <c r="H625" s="7">
        <v>0</v>
      </c>
      <c r="I625" s="6">
        <v>0</v>
      </c>
      <c r="J625" s="6">
        <v>1558.44</v>
      </c>
      <c r="K625" t="s">
        <v>1319</v>
      </c>
      <c r="L625" t="s">
        <v>1320</v>
      </c>
    </row>
    <row r="626" spans="1:12" ht="15" customHeight="1" x14ac:dyDescent="0.25">
      <c r="A626">
        <v>625</v>
      </c>
      <c r="B626" s="5">
        <v>45979</v>
      </c>
      <c r="C626" t="s">
        <v>47</v>
      </c>
      <c r="D626" t="s">
        <v>28</v>
      </c>
      <c r="E626" t="s">
        <v>29</v>
      </c>
      <c r="F626" t="s">
        <v>84</v>
      </c>
      <c r="G626" s="6">
        <v>733.62</v>
      </c>
      <c r="H626" s="7">
        <v>2.1000000000000001E-2</v>
      </c>
      <c r="I626" s="6">
        <v>15.41</v>
      </c>
      <c r="J626" s="6">
        <v>749.03</v>
      </c>
      <c r="K626" t="s">
        <v>1321</v>
      </c>
      <c r="L626" t="s">
        <v>1322</v>
      </c>
    </row>
    <row r="627" spans="1:12" ht="15" customHeight="1" x14ac:dyDescent="0.25">
      <c r="A627">
        <v>626</v>
      </c>
      <c r="B627" s="5">
        <v>45692</v>
      </c>
      <c r="C627" t="s">
        <v>47</v>
      </c>
      <c r="D627" t="s">
        <v>100</v>
      </c>
      <c r="E627" t="s">
        <v>101</v>
      </c>
      <c r="F627" t="s">
        <v>44</v>
      </c>
      <c r="G627" s="6">
        <v>3135.27</v>
      </c>
      <c r="H627" s="7">
        <v>0</v>
      </c>
      <c r="I627" s="6">
        <v>0</v>
      </c>
      <c r="J627" s="6">
        <v>3135.27</v>
      </c>
      <c r="K627" t="s">
        <v>1323</v>
      </c>
      <c r="L627" t="s">
        <v>1324</v>
      </c>
    </row>
    <row r="628" spans="1:12" ht="15" customHeight="1" x14ac:dyDescent="0.25">
      <c r="A628">
        <v>627</v>
      </c>
      <c r="B628" s="5">
        <v>45924</v>
      </c>
      <c r="C628" t="s">
        <v>47</v>
      </c>
      <c r="D628" t="s">
        <v>42</v>
      </c>
      <c r="E628" t="s">
        <v>43</v>
      </c>
      <c r="F628" t="s">
        <v>44</v>
      </c>
      <c r="G628" s="6">
        <v>3896.32</v>
      </c>
      <c r="H628" s="7">
        <v>0</v>
      </c>
      <c r="I628" s="6">
        <v>0</v>
      </c>
      <c r="J628" s="6">
        <v>3896.32</v>
      </c>
      <c r="K628" t="s">
        <v>1325</v>
      </c>
      <c r="L628" t="s">
        <v>1326</v>
      </c>
    </row>
    <row r="629" spans="1:12" ht="15" customHeight="1" x14ac:dyDescent="0.25">
      <c r="A629">
        <v>628</v>
      </c>
      <c r="B629" s="5">
        <v>45925</v>
      </c>
      <c r="C629" t="s">
        <v>27</v>
      </c>
      <c r="D629" t="s">
        <v>181</v>
      </c>
      <c r="E629" t="s">
        <v>182</v>
      </c>
      <c r="F629" t="s">
        <v>87</v>
      </c>
      <c r="G629" s="6">
        <v>3535.05</v>
      </c>
      <c r="H629" s="7">
        <v>0.2</v>
      </c>
      <c r="I629" s="6">
        <v>707.01</v>
      </c>
      <c r="J629" s="6">
        <v>4242.0600000000004</v>
      </c>
      <c r="K629" t="s">
        <v>1327</v>
      </c>
      <c r="L629" t="s">
        <v>1328</v>
      </c>
    </row>
    <row r="630" spans="1:12" ht="15" customHeight="1" x14ac:dyDescent="0.25">
      <c r="A630">
        <v>629</v>
      </c>
      <c r="B630" s="5">
        <v>45959</v>
      </c>
      <c r="C630" t="s">
        <v>33</v>
      </c>
      <c r="D630" t="s">
        <v>28</v>
      </c>
      <c r="E630" t="s">
        <v>29</v>
      </c>
      <c r="F630" t="s">
        <v>87</v>
      </c>
      <c r="G630" s="6">
        <v>2655.43</v>
      </c>
      <c r="H630" s="7">
        <v>2.1000000000000001E-2</v>
      </c>
      <c r="I630" s="6">
        <v>55.76</v>
      </c>
      <c r="J630" s="6">
        <v>2711.19</v>
      </c>
      <c r="K630" t="s">
        <v>1329</v>
      </c>
      <c r="L630" t="s">
        <v>1330</v>
      </c>
    </row>
    <row r="631" spans="1:12" ht="15" customHeight="1" x14ac:dyDescent="0.25">
      <c r="A631">
        <v>630</v>
      </c>
      <c r="B631" s="5">
        <v>45804</v>
      </c>
      <c r="C631" t="s">
        <v>27</v>
      </c>
      <c r="D631" t="s">
        <v>42</v>
      </c>
      <c r="E631" t="s">
        <v>43</v>
      </c>
      <c r="F631" t="s">
        <v>44</v>
      </c>
      <c r="G631" s="6">
        <v>3912.33</v>
      </c>
      <c r="H631" s="7">
        <v>0</v>
      </c>
      <c r="I631" s="6">
        <v>0</v>
      </c>
      <c r="J631" s="6">
        <v>3912.33</v>
      </c>
      <c r="K631" t="s">
        <v>1331</v>
      </c>
      <c r="L631" t="s">
        <v>1332</v>
      </c>
    </row>
    <row r="632" spans="1:12" ht="15" customHeight="1" x14ac:dyDescent="0.25">
      <c r="A632">
        <v>631</v>
      </c>
      <c r="B632" s="5">
        <v>45950</v>
      </c>
      <c r="C632" t="s">
        <v>47</v>
      </c>
      <c r="D632" t="s">
        <v>63</v>
      </c>
      <c r="E632" t="s">
        <v>64</v>
      </c>
      <c r="F632" t="s">
        <v>39</v>
      </c>
      <c r="G632" s="6">
        <v>2771.61</v>
      </c>
      <c r="H632" s="7">
        <v>0.2</v>
      </c>
      <c r="I632" s="6">
        <v>554.32000000000005</v>
      </c>
      <c r="J632" s="6">
        <v>3325.93</v>
      </c>
      <c r="K632" t="s">
        <v>1333</v>
      </c>
      <c r="L632" t="s">
        <v>1334</v>
      </c>
    </row>
    <row r="633" spans="1:12" ht="15" customHeight="1" x14ac:dyDescent="0.25">
      <c r="A633">
        <v>632</v>
      </c>
      <c r="B633" s="5">
        <v>45974</v>
      </c>
      <c r="C633" t="s">
        <v>47</v>
      </c>
      <c r="D633" t="s">
        <v>63</v>
      </c>
      <c r="E633" t="s">
        <v>64</v>
      </c>
      <c r="F633" t="s">
        <v>81</v>
      </c>
      <c r="G633" s="6">
        <v>2770.26</v>
      </c>
      <c r="H633" s="7">
        <v>0.2</v>
      </c>
      <c r="I633" s="6">
        <v>554.04999999999995</v>
      </c>
      <c r="J633" s="6">
        <v>3324.31</v>
      </c>
      <c r="K633" t="s">
        <v>1335</v>
      </c>
      <c r="L633" t="s">
        <v>1336</v>
      </c>
    </row>
    <row r="634" spans="1:12" ht="15" customHeight="1" x14ac:dyDescent="0.25">
      <c r="A634">
        <v>633</v>
      </c>
      <c r="B634" s="5">
        <v>45827</v>
      </c>
      <c r="C634" t="s">
        <v>33</v>
      </c>
      <c r="D634" t="s">
        <v>63</v>
      </c>
      <c r="E634" t="s">
        <v>64</v>
      </c>
      <c r="F634" t="s">
        <v>39</v>
      </c>
      <c r="G634" s="6">
        <v>3132.07</v>
      </c>
      <c r="H634" s="7">
        <v>0.2</v>
      </c>
      <c r="I634" s="6">
        <v>626.41</v>
      </c>
      <c r="J634" s="6">
        <v>3758.48</v>
      </c>
      <c r="K634" t="s">
        <v>1337</v>
      </c>
      <c r="L634" t="s">
        <v>1338</v>
      </c>
    </row>
    <row r="635" spans="1:12" ht="15" customHeight="1" x14ac:dyDescent="0.25">
      <c r="A635">
        <v>634</v>
      </c>
      <c r="B635" s="5">
        <v>45848</v>
      </c>
      <c r="C635" t="s">
        <v>47</v>
      </c>
      <c r="D635" t="s">
        <v>100</v>
      </c>
      <c r="E635" t="s">
        <v>101</v>
      </c>
      <c r="F635" t="s">
        <v>44</v>
      </c>
      <c r="G635" s="6">
        <v>3761.73</v>
      </c>
      <c r="H635" s="7">
        <v>0</v>
      </c>
      <c r="I635" s="6">
        <v>0</v>
      </c>
      <c r="J635" s="6">
        <v>3761.73</v>
      </c>
      <c r="K635" t="s">
        <v>1339</v>
      </c>
      <c r="L635" t="s">
        <v>1340</v>
      </c>
    </row>
    <row r="636" spans="1:12" ht="15" customHeight="1" x14ac:dyDescent="0.25">
      <c r="A636">
        <v>635</v>
      </c>
      <c r="B636" s="5">
        <v>45909</v>
      </c>
      <c r="C636" t="s">
        <v>47</v>
      </c>
      <c r="D636" t="s">
        <v>55</v>
      </c>
      <c r="E636" t="s">
        <v>56</v>
      </c>
      <c r="F636" t="s">
        <v>120</v>
      </c>
      <c r="G636" s="6">
        <v>3873.4</v>
      </c>
      <c r="H636" s="7">
        <v>5.5E-2</v>
      </c>
      <c r="I636" s="6">
        <v>213.04</v>
      </c>
      <c r="J636" s="6">
        <v>4086.44</v>
      </c>
      <c r="K636" t="s">
        <v>1341</v>
      </c>
      <c r="L636" t="s">
        <v>1342</v>
      </c>
    </row>
    <row r="637" spans="1:12" ht="15" customHeight="1" x14ac:dyDescent="0.25">
      <c r="A637">
        <v>636</v>
      </c>
      <c r="B637" s="5">
        <v>45884</v>
      </c>
      <c r="C637" t="s">
        <v>33</v>
      </c>
      <c r="D637" t="s">
        <v>28</v>
      </c>
      <c r="E637" t="s">
        <v>29</v>
      </c>
      <c r="F637" t="s">
        <v>50</v>
      </c>
      <c r="G637" s="6">
        <v>3501.22</v>
      </c>
      <c r="H637" s="7">
        <v>2.1000000000000001E-2</v>
      </c>
      <c r="I637" s="6">
        <v>73.53</v>
      </c>
      <c r="J637" s="6">
        <v>3574.75</v>
      </c>
      <c r="K637" t="s">
        <v>1343</v>
      </c>
      <c r="L637" t="s">
        <v>1344</v>
      </c>
    </row>
    <row r="638" spans="1:12" ht="15" customHeight="1" x14ac:dyDescent="0.25">
      <c r="A638">
        <v>637</v>
      </c>
      <c r="B638" s="5">
        <v>45988</v>
      </c>
      <c r="C638" t="s">
        <v>27</v>
      </c>
      <c r="D638" t="s">
        <v>63</v>
      </c>
      <c r="E638" t="s">
        <v>64</v>
      </c>
      <c r="F638" t="s">
        <v>76</v>
      </c>
      <c r="G638" s="6">
        <v>474.65</v>
      </c>
      <c r="H638" s="7">
        <v>0.2</v>
      </c>
      <c r="I638" s="6">
        <v>94.93</v>
      </c>
      <c r="J638" s="6">
        <v>569.58000000000004</v>
      </c>
      <c r="K638" t="s">
        <v>1345</v>
      </c>
      <c r="L638" t="s">
        <v>1346</v>
      </c>
    </row>
    <row r="639" spans="1:12" ht="15" customHeight="1" x14ac:dyDescent="0.25">
      <c r="A639">
        <v>638</v>
      </c>
      <c r="B639" s="5">
        <v>45922</v>
      </c>
      <c r="C639" t="s">
        <v>47</v>
      </c>
      <c r="D639" t="s">
        <v>42</v>
      </c>
      <c r="E639" t="s">
        <v>43</v>
      </c>
      <c r="F639" t="s">
        <v>44</v>
      </c>
      <c r="G639" s="6">
        <v>3770.44</v>
      </c>
      <c r="H639" s="7">
        <v>0</v>
      </c>
      <c r="I639" s="6">
        <v>0</v>
      </c>
      <c r="J639" s="6">
        <v>3770.44</v>
      </c>
      <c r="K639" t="s">
        <v>1347</v>
      </c>
      <c r="L639" t="s">
        <v>1348</v>
      </c>
    </row>
    <row r="640" spans="1:12" ht="15" customHeight="1" x14ac:dyDescent="0.25">
      <c r="A640">
        <v>639</v>
      </c>
      <c r="B640" s="5">
        <v>46021</v>
      </c>
      <c r="C640" t="s">
        <v>33</v>
      </c>
      <c r="D640" t="s">
        <v>28</v>
      </c>
      <c r="E640" t="s">
        <v>29</v>
      </c>
      <c r="F640" t="s">
        <v>30</v>
      </c>
      <c r="G640" s="6">
        <v>2320.04</v>
      </c>
      <c r="H640" s="7">
        <v>2.1000000000000001E-2</v>
      </c>
      <c r="I640" s="6">
        <v>48.72</v>
      </c>
      <c r="J640" s="6">
        <v>2368.7600000000002</v>
      </c>
      <c r="K640" t="s">
        <v>1349</v>
      </c>
      <c r="L640" t="s">
        <v>1350</v>
      </c>
    </row>
    <row r="641" spans="1:12" ht="15" customHeight="1" x14ac:dyDescent="0.25">
      <c r="A641">
        <v>640</v>
      </c>
      <c r="B641" s="5">
        <v>45672</v>
      </c>
      <c r="C641" t="s">
        <v>27</v>
      </c>
      <c r="D641" t="s">
        <v>100</v>
      </c>
      <c r="E641" t="s">
        <v>101</v>
      </c>
      <c r="F641" t="s">
        <v>44</v>
      </c>
      <c r="G641" s="6">
        <v>3900.43</v>
      </c>
      <c r="H641" s="7">
        <v>0</v>
      </c>
      <c r="I641" s="6">
        <v>0</v>
      </c>
      <c r="J641" s="6">
        <v>3900.43</v>
      </c>
      <c r="K641" t="s">
        <v>1351</v>
      </c>
      <c r="L641" t="s">
        <v>1352</v>
      </c>
    </row>
    <row r="642" spans="1:12" ht="15" customHeight="1" x14ac:dyDescent="0.25">
      <c r="A642">
        <v>641</v>
      </c>
      <c r="B642" s="5">
        <v>45891</v>
      </c>
      <c r="C642" t="s">
        <v>33</v>
      </c>
      <c r="D642" t="s">
        <v>55</v>
      </c>
      <c r="E642" t="s">
        <v>56</v>
      </c>
      <c r="F642" t="s">
        <v>50</v>
      </c>
      <c r="G642" s="6">
        <v>303.47000000000003</v>
      </c>
      <c r="H642" s="7">
        <v>5.5E-2</v>
      </c>
      <c r="I642" s="6">
        <v>16.690000000000001</v>
      </c>
      <c r="J642" s="6">
        <v>320.16000000000003</v>
      </c>
      <c r="K642" t="s">
        <v>1353</v>
      </c>
      <c r="L642" t="s">
        <v>1354</v>
      </c>
    </row>
    <row r="643" spans="1:12" ht="15" customHeight="1" x14ac:dyDescent="0.25">
      <c r="A643">
        <v>642</v>
      </c>
      <c r="B643" s="5">
        <v>45895</v>
      </c>
      <c r="C643" t="s">
        <v>33</v>
      </c>
      <c r="D643" t="s">
        <v>55</v>
      </c>
      <c r="E643" t="s">
        <v>56</v>
      </c>
      <c r="F643" t="s">
        <v>120</v>
      </c>
      <c r="G643" s="6">
        <v>2312.66</v>
      </c>
      <c r="H643" s="7">
        <v>5.5E-2</v>
      </c>
      <c r="I643" s="6">
        <v>127.2</v>
      </c>
      <c r="J643" s="6">
        <v>2439.86</v>
      </c>
      <c r="K643" t="s">
        <v>1355</v>
      </c>
      <c r="L643" t="s">
        <v>1356</v>
      </c>
    </row>
    <row r="644" spans="1:12" ht="15" customHeight="1" x14ac:dyDescent="0.25">
      <c r="A644">
        <v>643</v>
      </c>
      <c r="B644" s="5">
        <v>45848</v>
      </c>
      <c r="C644" t="s">
        <v>27</v>
      </c>
      <c r="D644" t="s">
        <v>28</v>
      </c>
      <c r="E644" t="s">
        <v>29</v>
      </c>
      <c r="F644" t="s">
        <v>76</v>
      </c>
      <c r="G644" s="6">
        <v>2240.44</v>
      </c>
      <c r="H644" s="7">
        <v>2.1000000000000001E-2</v>
      </c>
      <c r="I644" s="6">
        <v>47.05</v>
      </c>
      <c r="J644" s="6">
        <v>2287.4899999999998</v>
      </c>
      <c r="K644" t="s">
        <v>1357</v>
      </c>
      <c r="L644" t="s">
        <v>1358</v>
      </c>
    </row>
    <row r="645" spans="1:12" ht="15" customHeight="1" x14ac:dyDescent="0.25">
      <c r="A645">
        <v>644</v>
      </c>
      <c r="B645" s="5">
        <v>45834</v>
      </c>
      <c r="C645" t="s">
        <v>47</v>
      </c>
      <c r="D645" t="s">
        <v>172</v>
      </c>
      <c r="E645" t="s">
        <v>173</v>
      </c>
      <c r="F645" t="s">
        <v>174</v>
      </c>
      <c r="G645" s="6">
        <v>802.73</v>
      </c>
      <c r="H645" s="7">
        <v>0.2</v>
      </c>
      <c r="I645" s="6">
        <v>160.55000000000001</v>
      </c>
      <c r="J645" s="6">
        <v>963.28</v>
      </c>
      <c r="K645" t="s">
        <v>1359</v>
      </c>
      <c r="L645" t="s">
        <v>1360</v>
      </c>
    </row>
    <row r="646" spans="1:12" ht="15" customHeight="1" x14ac:dyDescent="0.25">
      <c r="A646">
        <v>645</v>
      </c>
      <c r="B646" s="5">
        <v>45672</v>
      </c>
      <c r="C646" t="s">
        <v>27</v>
      </c>
      <c r="D646" t="s">
        <v>28</v>
      </c>
      <c r="E646" t="s">
        <v>29</v>
      </c>
      <c r="F646" t="s">
        <v>30</v>
      </c>
      <c r="G646" s="6">
        <v>1788.62</v>
      </c>
      <c r="H646" s="7">
        <v>2.1000000000000001E-2</v>
      </c>
      <c r="I646" s="6">
        <v>37.56</v>
      </c>
      <c r="J646" s="6">
        <v>1826.18</v>
      </c>
      <c r="K646" t="s">
        <v>1361</v>
      </c>
      <c r="L646" t="s">
        <v>1362</v>
      </c>
    </row>
    <row r="647" spans="1:12" ht="15" customHeight="1" x14ac:dyDescent="0.25">
      <c r="A647">
        <v>646</v>
      </c>
      <c r="B647" s="5">
        <v>45771</v>
      </c>
      <c r="C647" t="s">
        <v>27</v>
      </c>
      <c r="D647" t="s">
        <v>42</v>
      </c>
      <c r="E647" t="s">
        <v>43</v>
      </c>
      <c r="F647" t="s">
        <v>44</v>
      </c>
      <c r="G647" s="6">
        <v>3426.47</v>
      </c>
      <c r="H647" s="7">
        <v>0</v>
      </c>
      <c r="I647" s="6">
        <v>0</v>
      </c>
      <c r="J647" s="6">
        <v>3426.47</v>
      </c>
      <c r="K647" t="s">
        <v>1363</v>
      </c>
      <c r="L647" t="s">
        <v>1364</v>
      </c>
    </row>
    <row r="648" spans="1:12" ht="15" customHeight="1" x14ac:dyDescent="0.25">
      <c r="A648">
        <v>647</v>
      </c>
      <c r="B648" s="5">
        <v>46007</v>
      </c>
      <c r="C648" t="s">
        <v>27</v>
      </c>
      <c r="D648" t="s">
        <v>63</v>
      </c>
      <c r="E648" t="s">
        <v>64</v>
      </c>
      <c r="F648" t="s">
        <v>30</v>
      </c>
      <c r="G648" s="6">
        <v>119.33</v>
      </c>
      <c r="H648" s="7">
        <v>0.2</v>
      </c>
      <c r="I648" s="6">
        <v>23.87</v>
      </c>
      <c r="J648" s="6">
        <v>143.19999999999999</v>
      </c>
      <c r="K648" t="s">
        <v>1365</v>
      </c>
      <c r="L648" t="s">
        <v>1366</v>
      </c>
    </row>
    <row r="649" spans="1:12" ht="15" customHeight="1" x14ac:dyDescent="0.25">
      <c r="A649">
        <v>648</v>
      </c>
      <c r="B649" s="5">
        <v>45772</v>
      </c>
      <c r="C649" t="s">
        <v>33</v>
      </c>
      <c r="D649" t="s">
        <v>172</v>
      </c>
      <c r="E649" t="s">
        <v>173</v>
      </c>
      <c r="F649" t="s">
        <v>174</v>
      </c>
      <c r="G649" s="6">
        <v>1195.57</v>
      </c>
      <c r="H649" s="7">
        <v>0.2</v>
      </c>
      <c r="I649" s="6">
        <v>239.11</v>
      </c>
      <c r="J649" s="6">
        <v>1434.68</v>
      </c>
      <c r="K649" t="s">
        <v>1367</v>
      </c>
      <c r="L649" t="s">
        <v>1368</v>
      </c>
    </row>
    <row r="650" spans="1:12" ht="15" customHeight="1" x14ac:dyDescent="0.25">
      <c r="A650">
        <v>649</v>
      </c>
      <c r="B650" s="5">
        <v>45874</v>
      </c>
      <c r="C650" t="s">
        <v>27</v>
      </c>
      <c r="D650" t="s">
        <v>181</v>
      </c>
      <c r="E650" t="s">
        <v>182</v>
      </c>
      <c r="F650" t="s">
        <v>50</v>
      </c>
      <c r="G650" s="6">
        <v>4038.03</v>
      </c>
      <c r="H650" s="7">
        <v>0.2</v>
      </c>
      <c r="I650" s="6">
        <v>807.61</v>
      </c>
      <c r="J650" s="6">
        <v>4845.6400000000003</v>
      </c>
      <c r="K650" t="s">
        <v>1369</v>
      </c>
      <c r="L650" t="s">
        <v>937</v>
      </c>
    </row>
    <row r="651" spans="1:12" ht="15" customHeight="1" x14ac:dyDescent="0.25">
      <c r="A651">
        <v>650</v>
      </c>
      <c r="B651" s="5">
        <v>45812</v>
      </c>
      <c r="C651" t="s">
        <v>47</v>
      </c>
      <c r="D651" t="s">
        <v>28</v>
      </c>
      <c r="E651" t="s">
        <v>29</v>
      </c>
      <c r="F651" t="s">
        <v>84</v>
      </c>
      <c r="G651" s="6">
        <v>3073.21</v>
      </c>
      <c r="H651" s="7">
        <v>2.1000000000000001E-2</v>
      </c>
      <c r="I651" s="6">
        <v>64.540000000000006</v>
      </c>
      <c r="J651" s="6">
        <v>3137.75</v>
      </c>
      <c r="K651" t="s">
        <v>1370</v>
      </c>
      <c r="L651" t="s">
        <v>1371</v>
      </c>
    </row>
    <row r="652" spans="1:12" ht="15" customHeight="1" x14ac:dyDescent="0.25">
      <c r="A652">
        <v>651</v>
      </c>
      <c r="B652" s="5">
        <v>45919</v>
      </c>
      <c r="C652" t="s">
        <v>27</v>
      </c>
      <c r="D652" t="s">
        <v>28</v>
      </c>
      <c r="E652" t="s">
        <v>29</v>
      </c>
      <c r="F652" t="s">
        <v>50</v>
      </c>
      <c r="G652" s="6">
        <v>4497.4799999999996</v>
      </c>
      <c r="H652" s="7">
        <v>2.1000000000000001E-2</v>
      </c>
      <c r="I652" s="6">
        <v>94.45</v>
      </c>
      <c r="J652" s="6">
        <v>4591.93</v>
      </c>
      <c r="K652" t="s">
        <v>1372</v>
      </c>
      <c r="L652" t="s">
        <v>1373</v>
      </c>
    </row>
    <row r="653" spans="1:12" ht="15" customHeight="1" x14ac:dyDescent="0.25">
      <c r="A653">
        <v>652</v>
      </c>
      <c r="B653" s="5">
        <v>45810</v>
      </c>
      <c r="C653" t="s">
        <v>27</v>
      </c>
      <c r="D653" t="s">
        <v>172</v>
      </c>
      <c r="E653" t="s">
        <v>173</v>
      </c>
      <c r="F653" t="s">
        <v>76</v>
      </c>
      <c r="G653" s="6">
        <v>3105.11</v>
      </c>
      <c r="H653" s="7">
        <v>0.2</v>
      </c>
      <c r="I653" s="6">
        <v>621.02</v>
      </c>
      <c r="J653" s="6">
        <v>3726.13</v>
      </c>
      <c r="K653" t="s">
        <v>1374</v>
      </c>
      <c r="L653" t="s">
        <v>1375</v>
      </c>
    </row>
    <row r="654" spans="1:12" ht="15" customHeight="1" x14ac:dyDescent="0.25">
      <c r="A654">
        <v>653</v>
      </c>
      <c r="B654" s="5">
        <v>45985</v>
      </c>
      <c r="C654" t="s">
        <v>47</v>
      </c>
      <c r="D654" t="s">
        <v>94</v>
      </c>
      <c r="E654" t="s">
        <v>95</v>
      </c>
      <c r="F654" t="s">
        <v>44</v>
      </c>
      <c r="G654" s="6">
        <v>1192.21</v>
      </c>
      <c r="H654" s="7">
        <v>0</v>
      </c>
      <c r="I654" s="6">
        <v>0</v>
      </c>
      <c r="J654" s="6">
        <v>1192.21</v>
      </c>
      <c r="K654" t="s">
        <v>1376</v>
      </c>
      <c r="L654" t="s">
        <v>1377</v>
      </c>
    </row>
    <row r="655" spans="1:12" ht="15" customHeight="1" x14ac:dyDescent="0.25">
      <c r="A655">
        <v>654</v>
      </c>
      <c r="B655" s="5">
        <v>45810</v>
      </c>
      <c r="C655" t="s">
        <v>27</v>
      </c>
      <c r="D655" t="s">
        <v>100</v>
      </c>
      <c r="E655" t="s">
        <v>101</v>
      </c>
      <c r="F655" t="s">
        <v>44</v>
      </c>
      <c r="G655" s="6">
        <v>3041.5</v>
      </c>
      <c r="H655" s="7">
        <v>0</v>
      </c>
      <c r="I655" s="6">
        <v>0</v>
      </c>
      <c r="J655" s="6">
        <v>3041.5</v>
      </c>
      <c r="K655" t="s">
        <v>1378</v>
      </c>
      <c r="L655" t="s">
        <v>1379</v>
      </c>
    </row>
    <row r="656" spans="1:12" ht="15" customHeight="1" x14ac:dyDescent="0.25">
      <c r="A656">
        <v>655</v>
      </c>
      <c r="B656" s="5">
        <v>45965</v>
      </c>
      <c r="C656" t="s">
        <v>33</v>
      </c>
      <c r="D656" t="s">
        <v>42</v>
      </c>
      <c r="E656" t="s">
        <v>43</v>
      </c>
      <c r="F656" t="s">
        <v>44</v>
      </c>
      <c r="G656" s="6">
        <v>2567.0100000000002</v>
      </c>
      <c r="H656" s="7">
        <v>0</v>
      </c>
      <c r="I656" s="6">
        <v>0</v>
      </c>
      <c r="J656" s="6">
        <v>2567.0100000000002</v>
      </c>
      <c r="K656" t="s">
        <v>1380</v>
      </c>
      <c r="L656" t="s">
        <v>1381</v>
      </c>
    </row>
    <row r="657" spans="1:13" ht="15" customHeight="1" x14ac:dyDescent="0.25">
      <c r="A657">
        <v>656</v>
      </c>
      <c r="B657" s="5">
        <v>45912</v>
      </c>
      <c r="C657" t="s">
        <v>27</v>
      </c>
      <c r="D657" t="s">
        <v>28</v>
      </c>
      <c r="E657" t="s">
        <v>29</v>
      </c>
      <c r="F657" t="s">
        <v>174</v>
      </c>
      <c r="G657" s="6">
        <v>4488.8100000000004</v>
      </c>
      <c r="H657" s="7">
        <v>2.1000000000000001E-2</v>
      </c>
      <c r="I657" s="6">
        <v>94.27</v>
      </c>
      <c r="J657" s="6">
        <v>4583.08</v>
      </c>
      <c r="K657" t="s">
        <v>1382</v>
      </c>
      <c r="L657" t="s">
        <v>1383</v>
      </c>
    </row>
    <row r="658" spans="1:13" ht="15" customHeight="1" x14ac:dyDescent="0.25">
      <c r="A658">
        <v>657</v>
      </c>
      <c r="B658" s="5">
        <v>46020</v>
      </c>
      <c r="C658" t="s">
        <v>47</v>
      </c>
      <c r="D658" t="s">
        <v>63</v>
      </c>
      <c r="E658" t="s">
        <v>64</v>
      </c>
      <c r="F658" t="s">
        <v>71</v>
      </c>
      <c r="G658" s="6">
        <v>4476.8100000000004</v>
      </c>
      <c r="H658" s="7">
        <v>0.2</v>
      </c>
      <c r="I658" s="6">
        <v>895.36</v>
      </c>
      <c r="J658" s="6">
        <v>5372.17</v>
      </c>
      <c r="K658" t="s">
        <v>1384</v>
      </c>
      <c r="L658" t="s">
        <v>1385</v>
      </c>
    </row>
    <row r="659" spans="1:13" ht="15" customHeight="1" x14ac:dyDescent="0.25">
      <c r="A659">
        <v>658</v>
      </c>
      <c r="B659" s="5">
        <v>46009</v>
      </c>
      <c r="C659" t="s">
        <v>27</v>
      </c>
      <c r="D659" t="s">
        <v>42</v>
      </c>
      <c r="E659" t="s">
        <v>43</v>
      </c>
      <c r="F659" t="s">
        <v>44</v>
      </c>
      <c r="G659" s="6">
        <v>3683.75</v>
      </c>
      <c r="H659" s="7">
        <v>0</v>
      </c>
      <c r="I659" s="6">
        <v>0</v>
      </c>
      <c r="J659" s="6">
        <v>3683.75</v>
      </c>
      <c r="K659" t="s">
        <v>1386</v>
      </c>
      <c r="L659" t="s">
        <v>1387</v>
      </c>
    </row>
    <row r="660" spans="1:13" ht="15" customHeight="1" x14ac:dyDescent="0.25">
      <c r="A660">
        <v>659</v>
      </c>
      <c r="B660" s="5">
        <v>45994</v>
      </c>
      <c r="C660" t="s">
        <v>47</v>
      </c>
      <c r="D660" t="s">
        <v>79</v>
      </c>
      <c r="E660" t="s">
        <v>80</v>
      </c>
      <c r="F660" t="s">
        <v>30</v>
      </c>
      <c r="G660" s="6">
        <v>8000</v>
      </c>
      <c r="H660" s="7">
        <v>0.2</v>
      </c>
      <c r="I660" s="6">
        <v>1600</v>
      </c>
      <c r="J660" s="6">
        <v>9600</v>
      </c>
      <c r="K660" t="s">
        <v>1388</v>
      </c>
      <c r="L660" t="s">
        <v>1389</v>
      </c>
      <c r="M660" t="s">
        <v>143</v>
      </c>
    </row>
    <row r="661" spans="1:13" ht="15" customHeight="1" x14ac:dyDescent="0.25">
      <c r="A661">
        <v>660</v>
      </c>
      <c r="B661" s="5">
        <v>45790</v>
      </c>
      <c r="C661" t="s">
        <v>33</v>
      </c>
      <c r="D661" t="s">
        <v>79</v>
      </c>
      <c r="E661" t="s">
        <v>80</v>
      </c>
      <c r="F661" t="s">
        <v>106</v>
      </c>
      <c r="G661" s="6">
        <v>3285.32</v>
      </c>
      <c r="H661" s="7">
        <v>0.2</v>
      </c>
      <c r="I661" s="6">
        <v>657.06</v>
      </c>
      <c r="J661" s="6">
        <v>3942.38</v>
      </c>
      <c r="K661" t="s">
        <v>1390</v>
      </c>
      <c r="L661" t="s">
        <v>1391</v>
      </c>
    </row>
    <row r="662" spans="1:13" ht="15" customHeight="1" x14ac:dyDescent="0.25">
      <c r="A662">
        <v>661</v>
      </c>
      <c r="B662" s="5">
        <v>45993</v>
      </c>
      <c r="C662" t="s">
        <v>33</v>
      </c>
      <c r="D662" t="s">
        <v>100</v>
      </c>
      <c r="E662" t="s">
        <v>101</v>
      </c>
      <c r="F662" t="s">
        <v>44</v>
      </c>
      <c r="G662" s="6">
        <v>2652.68</v>
      </c>
      <c r="H662" s="7">
        <v>0</v>
      </c>
      <c r="I662" s="6">
        <v>0</v>
      </c>
      <c r="J662" s="6">
        <v>2652.68</v>
      </c>
      <c r="K662" t="s">
        <v>1392</v>
      </c>
      <c r="L662" t="s">
        <v>1393</v>
      </c>
    </row>
    <row r="663" spans="1:13" ht="15" customHeight="1" x14ac:dyDescent="0.25">
      <c r="A663">
        <v>662</v>
      </c>
      <c r="B663" s="5">
        <v>45827</v>
      </c>
      <c r="C663" t="s">
        <v>47</v>
      </c>
      <c r="D663" t="s">
        <v>63</v>
      </c>
      <c r="E663" t="s">
        <v>64</v>
      </c>
      <c r="F663" t="s">
        <v>84</v>
      </c>
      <c r="G663" s="6">
        <v>1722.84</v>
      </c>
      <c r="H663" s="7">
        <v>0.2</v>
      </c>
      <c r="I663" s="6">
        <v>344.57</v>
      </c>
      <c r="J663" s="6">
        <v>2067.41</v>
      </c>
      <c r="K663" t="s">
        <v>1394</v>
      </c>
      <c r="L663" t="s">
        <v>1395</v>
      </c>
    </row>
    <row r="664" spans="1:13" ht="15" customHeight="1" x14ac:dyDescent="0.25">
      <c r="A664">
        <v>663</v>
      </c>
      <c r="B664" s="5">
        <v>45898</v>
      </c>
      <c r="C664" t="s">
        <v>47</v>
      </c>
      <c r="D664" t="s">
        <v>42</v>
      </c>
      <c r="E664" t="s">
        <v>43</v>
      </c>
      <c r="F664" t="s">
        <v>44</v>
      </c>
      <c r="G664" s="6">
        <v>3322.55</v>
      </c>
      <c r="H664" s="7">
        <v>0</v>
      </c>
      <c r="I664" s="6">
        <v>0</v>
      </c>
      <c r="J664" s="6">
        <v>3322.55</v>
      </c>
      <c r="K664" t="s">
        <v>1396</v>
      </c>
      <c r="L664" t="s">
        <v>1397</v>
      </c>
    </row>
    <row r="665" spans="1:13" ht="15" customHeight="1" x14ac:dyDescent="0.25">
      <c r="A665">
        <v>664</v>
      </c>
      <c r="B665" s="5">
        <v>45757</v>
      </c>
      <c r="C665" t="s">
        <v>27</v>
      </c>
      <c r="D665" t="s">
        <v>28</v>
      </c>
      <c r="E665" t="s">
        <v>29</v>
      </c>
      <c r="F665" t="s">
        <v>120</v>
      </c>
      <c r="G665" s="6">
        <v>2292.11</v>
      </c>
      <c r="H665" s="7">
        <v>2.1000000000000001E-2</v>
      </c>
      <c r="I665" s="6">
        <v>48.13</v>
      </c>
      <c r="J665" s="6">
        <v>2340.2399999999998</v>
      </c>
      <c r="K665" t="s">
        <v>1398</v>
      </c>
      <c r="L665" t="s">
        <v>1399</v>
      </c>
    </row>
    <row r="666" spans="1:13" ht="15" customHeight="1" x14ac:dyDescent="0.25">
      <c r="A666">
        <v>665</v>
      </c>
      <c r="B666" s="5">
        <v>45685</v>
      </c>
      <c r="C666" t="s">
        <v>27</v>
      </c>
      <c r="D666" t="s">
        <v>55</v>
      </c>
      <c r="E666" t="s">
        <v>56</v>
      </c>
      <c r="F666" t="s">
        <v>30</v>
      </c>
      <c r="G666" s="6">
        <v>3929.15</v>
      </c>
      <c r="H666" s="7">
        <v>5.5E-2</v>
      </c>
      <c r="I666" s="6">
        <v>216.1</v>
      </c>
      <c r="J666" s="6">
        <v>4145.25</v>
      </c>
      <c r="K666" t="s">
        <v>1400</v>
      </c>
      <c r="L666" t="s">
        <v>1401</v>
      </c>
    </row>
    <row r="667" spans="1:13" ht="15" customHeight="1" x14ac:dyDescent="0.25">
      <c r="A667">
        <v>666</v>
      </c>
      <c r="B667" s="5">
        <v>45819</v>
      </c>
      <c r="C667" t="s">
        <v>33</v>
      </c>
      <c r="D667" t="s">
        <v>55</v>
      </c>
      <c r="E667" t="s">
        <v>56</v>
      </c>
      <c r="F667" t="s">
        <v>30</v>
      </c>
      <c r="G667" s="6">
        <v>3891.78</v>
      </c>
      <c r="H667" s="7">
        <v>5.5E-2</v>
      </c>
      <c r="I667" s="6">
        <v>214.05</v>
      </c>
      <c r="J667" s="6">
        <v>4105.83</v>
      </c>
      <c r="K667" t="s">
        <v>1402</v>
      </c>
      <c r="L667" t="s">
        <v>1403</v>
      </c>
    </row>
    <row r="668" spans="1:13" ht="15" customHeight="1" x14ac:dyDescent="0.25">
      <c r="A668">
        <v>667</v>
      </c>
      <c r="B668" s="5">
        <v>45981</v>
      </c>
      <c r="C668" t="s">
        <v>33</v>
      </c>
      <c r="D668" t="s">
        <v>79</v>
      </c>
      <c r="E668" t="s">
        <v>80</v>
      </c>
      <c r="F668" t="s">
        <v>50</v>
      </c>
      <c r="G668" s="6">
        <v>4440.95</v>
      </c>
      <c r="H668" s="7">
        <v>0.2</v>
      </c>
      <c r="I668" s="6">
        <v>888.19</v>
      </c>
      <c r="J668" s="6">
        <v>5329.14</v>
      </c>
      <c r="K668" t="s">
        <v>1404</v>
      </c>
      <c r="L668" t="s">
        <v>1405</v>
      </c>
    </row>
    <row r="669" spans="1:13" ht="15" customHeight="1" x14ac:dyDescent="0.25">
      <c r="A669">
        <v>668</v>
      </c>
      <c r="B669" s="5">
        <v>45798</v>
      </c>
      <c r="C669" t="s">
        <v>33</v>
      </c>
      <c r="D669" t="s">
        <v>28</v>
      </c>
      <c r="E669" t="s">
        <v>29</v>
      </c>
      <c r="F669" t="s">
        <v>30</v>
      </c>
      <c r="G669" s="6">
        <v>1005.47</v>
      </c>
      <c r="H669" s="7">
        <v>2.1000000000000001E-2</v>
      </c>
      <c r="I669" s="6">
        <v>21.11</v>
      </c>
      <c r="J669" s="6">
        <v>1026.58</v>
      </c>
      <c r="K669" t="s">
        <v>1406</v>
      </c>
      <c r="L669" t="s">
        <v>1407</v>
      </c>
    </row>
    <row r="670" spans="1:13" ht="15" customHeight="1" x14ac:dyDescent="0.25">
      <c r="A670">
        <v>669</v>
      </c>
      <c r="B670" s="5">
        <v>45972</v>
      </c>
      <c r="C670" t="s">
        <v>33</v>
      </c>
      <c r="D670" t="s">
        <v>79</v>
      </c>
      <c r="E670" t="s">
        <v>80</v>
      </c>
      <c r="F670" t="s">
        <v>36</v>
      </c>
      <c r="G670" s="6">
        <v>1997</v>
      </c>
      <c r="H670" s="7">
        <v>0.2</v>
      </c>
      <c r="I670" s="6">
        <v>399.4</v>
      </c>
      <c r="J670" s="6">
        <v>2396.4</v>
      </c>
      <c r="K670" t="s">
        <v>1408</v>
      </c>
      <c r="L670" t="s">
        <v>1409</v>
      </c>
    </row>
    <row r="671" spans="1:13" ht="15" customHeight="1" x14ac:dyDescent="0.25">
      <c r="A671">
        <v>670</v>
      </c>
      <c r="B671" s="5">
        <v>45854</v>
      </c>
      <c r="C671" t="s">
        <v>47</v>
      </c>
      <c r="D671" t="s">
        <v>94</v>
      </c>
      <c r="E671" t="s">
        <v>95</v>
      </c>
      <c r="F671" t="s">
        <v>44</v>
      </c>
      <c r="G671" s="6">
        <v>1834.46</v>
      </c>
      <c r="H671" s="7">
        <v>0</v>
      </c>
      <c r="I671" s="6">
        <v>0</v>
      </c>
      <c r="J671" s="6">
        <v>1834.46</v>
      </c>
      <c r="K671" t="s">
        <v>1410</v>
      </c>
      <c r="L671" t="s">
        <v>1411</v>
      </c>
    </row>
    <row r="672" spans="1:13" ht="15" customHeight="1" x14ac:dyDescent="0.25">
      <c r="A672">
        <v>671</v>
      </c>
      <c r="B672" s="5">
        <v>45929</v>
      </c>
      <c r="C672" t="s">
        <v>47</v>
      </c>
      <c r="D672" t="s">
        <v>100</v>
      </c>
      <c r="E672" t="s">
        <v>101</v>
      </c>
      <c r="F672" t="s">
        <v>44</v>
      </c>
      <c r="G672" s="6">
        <v>3424.2</v>
      </c>
      <c r="H672" s="7">
        <v>0</v>
      </c>
      <c r="I672" s="6">
        <v>0</v>
      </c>
      <c r="J672" s="6">
        <v>3424.2</v>
      </c>
      <c r="K672" t="s">
        <v>1412</v>
      </c>
      <c r="L672" t="s">
        <v>1413</v>
      </c>
    </row>
    <row r="673" spans="1:13" ht="15" customHeight="1" x14ac:dyDescent="0.25">
      <c r="A673">
        <v>672</v>
      </c>
      <c r="B673" s="5">
        <v>46013</v>
      </c>
      <c r="C673" t="s">
        <v>27</v>
      </c>
      <c r="D673" t="s">
        <v>55</v>
      </c>
      <c r="E673" t="s">
        <v>56</v>
      </c>
      <c r="F673" t="s">
        <v>174</v>
      </c>
      <c r="G673" s="6">
        <v>3956.27</v>
      </c>
      <c r="H673" s="7">
        <v>5.5E-2</v>
      </c>
      <c r="I673" s="6">
        <v>217.59</v>
      </c>
      <c r="J673" s="6">
        <v>4173.8599999999997</v>
      </c>
      <c r="K673" t="s">
        <v>1414</v>
      </c>
      <c r="L673" t="s">
        <v>1415</v>
      </c>
    </row>
    <row r="674" spans="1:13" ht="15" customHeight="1" x14ac:dyDescent="0.25">
      <c r="A674">
        <v>673</v>
      </c>
      <c r="B674" s="5">
        <v>45959</v>
      </c>
      <c r="C674" t="s">
        <v>33</v>
      </c>
      <c r="D674" t="s">
        <v>63</v>
      </c>
      <c r="E674" t="s">
        <v>64</v>
      </c>
      <c r="F674" t="s">
        <v>87</v>
      </c>
      <c r="G674" s="6">
        <v>1433.03</v>
      </c>
      <c r="H674" s="7">
        <v>0.2</v>
      </c>
      <c r="I674" s="6">
        <v>286.61</v>
      </c>
      <c r="J674" s="6">
        <v>1719.64</v>
      </c>
      <c r="K674" t="s">
        <v>1416</v>
      </c>
      <c r="L674" t="s">
        <v>1417</v>
      </c>
    </row>
    <row r="675" spans="1:13" ht="15" customHeight="1" x14ac:dyDescent="0.25">
      <c r="A675">
        <v>674</v>
      </c>
      <c r="B675" s="5">
        <v>45806</v>
      </c>
      <c r="C675" t="s">
        <v>33</v>
      </c>
      <c r="D675" t="s">
        <v>55</v>
      </c>
      <c r="E675" t="s">
        <v>56</v>
      </c>
      <c r="F675" t="s">
        <v>106</v>
      </c>
      <c r="G675" s="6">
        <v>2095.19</v>
      </c>
      <c r="H675" s="7">
        <v>5.5E-2</v>
      </c>
      <c r="I675" s="6">
        <v>115.24</v>
      </c>
      <c r="J675" s="6">
        <v>2210.4299999999998</v>
      </c>
      <c r="K675" t="s">
        <v>1418</v>
      </c>
      <c r="L675" t="s">
        <v>1419</v>
      </c>
    </row>
    <row r="676" spans="1:13" ht="15" customHeight="1" x14ac:dyDescent="0.25">
      <c r="A676">
        <v>675</v>
      </c>
      <c r="B676" s="5">
        <v>46009</v>
      </c>
      <c r="C676" t="s">
        <v>27</v>
      </c>
      <c r="D676" t="s">
        <v>55</v>
      </c>
      <c r="E676" t="s">
        <v>56</v>
      </c>
      <c r="F676" t="s">
        <v>50</v>
      </c>
      <c r="G676" s="6">
        <v>4479.99</v>
      </c>
      <c r="H676" s="7">
        <v>5.5E-2</v>
      </c>
      <c r="I676" s="6">
        <v>246.4</v>
      </c>
      <c r="J676" s="6">
        <v>4726.3900000000003</v>
      </c>
      <c r="K676" t="s">
        <v>1420</v>
      </c>
      <c r="L676" t="s">
        <v>1421</v>
      </c>
    </row>
    <row r="677" spans="1:13" ht="15" customHeight="1" x14ac:dyDescent="0.25">
      <c r="A677">
        <v>676</v>
      </c>
      <c r="B677" s="5">
        <v>45742</v>
      </c>
      <c r="C677" t="s">
        <v>47</v>
      </c>
      <c r="D677" t="s">
        <v>42</v>
      </c>
      <c r="E677" t="s">
        <v>43</v>
      </c>
      <c r="F677" t="s">
        <v>44</v>
      </c>
      <c r="G677" s="6">
        <v>4003.69</v>
      </c>
      <c r="H677" s="7">
        <v>0</v>
      </c>
      <c r="I677" s="6">
        <v>0</v>
      </c>
      <c r="J677" s="6">
        <v>4003.69</v>
      </c>
      <c r="K677" t="s">
        <v>1422</v>
      </c>
      <c r="L677" t="s">
        <v>1423</v>
      </c>
    </row>
    <row r="678" spans="1:13" ht="15" customHeight="1" x14ac:dyDescent="0.25">
      <c r="A678">
        <v>677</v>
      </c>
      <c r="B678" s="5">
        <v>45959</v>
      </c>
      <c r="C678" t="s">
        <v>33</v>
      </c>
      <c r="D678" t="s">
        <v>55</v>
      </c>
      <c r="E678" t="s">
        <v>56</v>
      </c>
      <c r="F678" t="s">
        <v>87</v>
      </c>
      <c r="G678" s="6">
        <v>2310.48</v>
      </c>
      <c r="H678" s="7">
        <v>5.5E-2</v>
      </c>
      <c r="I678" s="6">
        <v>127.08</v>
      </c>
      <c r="J678" s="6">
        <v>2437.56</v>
      </c>
      <c r="K678" t="s">
        <v>1424</v>
      </c>
      <c r="L678" t="s">
        <v>1425</v>
      </c>
    </row>
    <row r="679" spans="1:13" ht="15" customHeight="1" x14ac:dyDescent="0.25">
      <c r="A679">
        <v>678</v>
      </c>
      <c r="B679" s="5">
        <v>45677</v>
      </c>
      <c r="C679" t="s">
        <v>27</v>
      </c>
      <c r="D679" t="s">
        <v>601</v>
      </c>
      <c r="E679" t="s">
        <v>116</v>
      </c>
      <c r="F679" t="s">
        <v>120</v>
      </c>
      <c r="G679" s="6">
        <v>1738.35</v>
      </c>
      <c r="H679" s="7">
        <v>0.2</v>
      </c>
      <c r="I679" s="6">
        <v>347.67</v>
      </c>
      <c r="J679" s="6">
        <v>2086.02</v>
      </c>
      <c r="K679" t="s">
        <v>1426</v>
      </c>
      <c r="L679" t="s">
        <v>1427</v>
      </c>
      <c r="M679" t="s">
        <v>119</v>
      </c>
    </row>
    <row r="680" spans="1:13" ht="15" customHeight="1" x14ac:dyDescent="0.25">
      <c r="A680">
        <v>679</v>
      </c>
      <c r="B680" s="5">
        <v>45996</v>
      </c>
      <c r="C680" t="s">
        <v>27</v>
      </c>
      <c r="D680" t="s">
        <v>181</v>
      </c>
      <c r="E680" t="s">
        <v>182</v>
      </c>
      <c r="F680" t="s">
        <v>39</v>
      </c>
      <c r="G680" s="6">
        <v>557.86</v>
      </c>
      <c r="H680" s="7">
        <v>0.2</v>
      </c>
      <c r="I680" s="6">
        <v>111.57</v>
      </c>
      <c r="J680" s="6">
        <v>669.43</v>
      </c>
      <c r="K680" t="s">
        <v>1428</v>
      </c>
      <c r="M680" t="s">
        <v>186</v>
      </c>
    </row>
    <row r="681" spans="1:13" ht="15" customHeight="1" x14ac:dyDescent="0.25">
      <c r="A681">
        <v>680</v>
      </c>
      <c r="B681" s="5">
        <v>45852</v>
      </c>
      <c r="C681" t="s">
        <v>27</v>
      </c>
      <c r="D681" t="s">
        <v>28</v>
      </c>
      <c r="E681" t="s">
        <v>29</v>
      </c>
      <c r="F681" t="s">
        <v>174</v>
      </c>
      <c r="G681" s="6">
        <v>626.29</v>
      </c>
      <c r="H681" s="7">
        <v>2.1000000000000001E-2</v>
      </c>
      <c r="I681" s="6">
        <v>13.15</v>
      </c>
      <c r="J681" s="6">
        <v>639.44000000000005</v>
      </c>
      <c r="K681" t="s">
        <v>1429</v>
      </c>
      <c r="L681" t="s">
        <v>1430</v>
      </c>
    </row>
    <row r="682" spans="1:13" ht="15" customHeight="1" x14ac:dyDescent="0.25">
      <c r="A682">
        <v>681</v>
      </c>
      <c r="B682" s="5">
        <v>46013</v>
      </c>
      <c r="C682" t="s">
        <v>27</v>
      </c>
      <c r="D682" t="s">
        <v>28</v>
      </c>
      <c r="E682" t="s">
        <v>29</v>
      </c>
      <c r="F682" t="s">
        <v>39</v>
      </c>
      <c r="G682" s="6">
        <v>3110.97</v>
      </c>
      <c r="H682" s="7">
        <v>2.1000000000000001E-2</v>
      </c>
      <c r="I682" s="6">
        <v>65.33</v>
      </c>
      <c r="J682" s="6">
        <v>3176.3</v>
      </c>
      <c r="K682" t="s">
        <v>1431</v>
      </c>
      <c r="L682" t="s">
        <v>1432</v>
      </c>
    </row>
    <row r="683" spans="1:13" ht="15" customHeight="1" x14ac:dyDescent="0.25">
      <c r="A683">
        <v>682</v>
      </c>
      <c r="B683" s="5">
        <v>45924</v>
      </c>
      <c r="C683" t="s">
        <v>47</v>
      </c>
      <c r="D683" t="s">
        <v>34</v>
      </c>
      <c r="E683" t="s">
        <v>35</v>
      </c>
      <c r="F683" t="s">
        <v>84</v>
      </c>
      <c r="G683" s="6">
        <v>1273.3</v>
      </c>
      <c r="H683" s="7">
        <v>0.2</v>
      </c>
      <c r="I683" s="6">
        <v>254.66</v>
      </c>
      <c r="J683" s="6">
        <v>1527.96</v>
      </c>
      <c r="K683" t="s">
        <v>1433</v>
      </c>
      <c r="L683" t="s">
        <v>1197</v>
      </c>
    </row>
    <row r="684" spans="1:13" ht="15" customHeight="1" x14ac:dyDescent="0.25">
      <c r="A684">
        <v>683</v>
      </c>
      <c r="B684" s="5">
        <v>45919</v>
      </c>
      <c r="C684" t="s">
        <v>33</v>
      </c>
      <c r="D684" t="s">
        <v>63</v>
      </c>
      <c r="E684" t="s">
        <v>64</v>
      </c>
      <c r="F684" t="s">
        <v>87</v>
      </c>
      <c r="G684" s="6">
        <v>3256.95</v>
      </c>
      <c r="H684" s="7">
        <v>0.2</v>
      </c>
      <c r="I684" s="6">
        <v>651.39</v>
      </c>
      <c r="J684" s="6">
        <v>3908.34</v>
      </c>
      <c r="K684" t="s">
        <v>1434</v>
      </c>
      <c r="L684" t="s">
        <v>1435</v>
      </c>
    </row>
    <row r="685" spans="1:13" ht="15" customHeight="1" x14ac:dyDescent="0.25">
      <c r="A685">
        <v>684</v>
      </c>
      <c r="B685" s="5">
        <v>45912</v>
      </c>
      <c r="C685" t="s">
        <v>33</v>
      </c>
      <c r="D685" t="s">
        <v>42</v>
      </c>
      <c r="E685" t="s">
        <v>43</v>
      </c>
      <c r="F685" t="s">
        <v>44</v>
      </c>
      <c r="G685" s="6">
        <v>2279.4</v>
      </c>
      <c r="H685" s="7">
        <v>0</v>
      </c>
      <c r="I685" s="6">
        <v>0</v>
      </c>
      <c r="J685" s="6">
        <v>2279.4</v>
      </c>
      <c r="K685" t="s">
        <v>1436</v>
      </c>
      <c r="L685" t="s">
        <v>1437</v>
      </c>
    </row>
    <row r="686" spans="1:13" ht="15" customHeight="1" x14ac:dyDescent="0.25">
      <c r="A686">
        <v>685</v>
      </c>
      <c r="B686" s="5">
        <v>45841</v>
      </c>
      <c r="C686" t="s">
        <v>27</v>
      </c>
      <c r="D686" t="s">
        <v>94</v>
      </c>
      <c r="E686" t="s">
        <v>95</v>
      </c>
      <c r="F686" t="s">
        <v>44</v>
      </c>
      <c r="G686" s="6">
        <v>1238.3800000000001</v>
      </c>
      <c r="H686" s="7">
        <v>0</v>
      </c>
      <c r="I686" s="6">
        <v>0</v>
      </c>
      <c r="J686" s="6">
        <v>1238.3800000000001</v>
      </c>
      <c r="K686" t="s">
        <v>1438</v>
      </c>
      <c r="L686" t="s">
        <v>1439</v>
      </c>
    </row>
    <row r="687" spans="1:13" ht="15" customHeight="1" x14ac:dyDescent="0.25">
      <c r="A687">
        <v>686</v>
      </c>
      <c r="B687" s="5">
        <v>45764</v>
      </c>
      <c r="C687" t="s">
        <v>27</v>
      </c>
      <c r="D687" t="s">
        <v>79</v>
      </c>
      <c r="E687" t="s">
        <v>80</v>
      </c>
      <c r="F687" t="s">
        <v>76</v>
      </c>
      <c r="G687" s="6">
        <v>3121.86</v>
      </c>
      <c r="H687" s="7">
        <v>0.2</v>
      </c>
      <c r="I687" s="6">
        <v>624.37</v>
      </c>
      <c r="J687" s="6">
        <v>3746.23</v>
      </c>
      <c r="K687" t="s">
        <v>1440</v>
      </c>
      <c r="L687" t="s">
        <v>1441</v>
      </c>
    </row>
    <row r="688" spans="1:13" ht="15" customHeight="1" x14ac:dyDescent="0.25">
      <c r="A688">
        <v>687</v>
      </c>
      <c r="B688" s="5">
        <v>46001</v>
      </c>
      <c r="C688" t="s">
        <v>33</v>
      </c>
      <c r="D688" t="s">
        <v>28</v>
      </c>
      <c r="E688" t="s">
        <v>29</v>
      </c>
      <c r="F688" t="s">
        <v>87</v>
      </c>
      <c r="G688" s="6">
        <v>473.39</v>
      </c>
      <c r="H688" s="7">
        <v>2.1000000000000001E-2</v>
      </c>
      <c r="I688" s="6">
        <v>9.94</v>
      </c>
      <c r="J688" s="6">
        <v>483.33</v>
      </c>
      <c r="K688" t="s">
        <v>1442</v>
      </c>
      <c r="L688" t="s">
        <v>1443</v>
      </c>
    </row>
    <row r="689" spans="1:13" ht="15" customHeight="1" x14ac:dyDescent="0.25">
      <c r="A689">
        <v>688</v>
      </c>
      <c r="B689" s="5">
        <v>45734</v>
      </c>
      <c r="C689" t="s">
        <v>27</v>
      </c>
      <c r="D689" t="s">
        <v>34</v>
      </c>
      <c r="E689" t="s">
        <v>35</v>
      </c>
      <c r="F689" t="s">
        <v>106</v>
      </c>
      <c r="G689" s="6">
        <v>4276.55</v>
      </c>
      <c r="H689" s="7">
        <v>0.2</v>
      </c>
      <c r="I689" s="6">
        <v>855.31</v>
      </c>
      <c r="J689" s="6">
        <v>5131.8599999999997</v>
      </c>
      <c r="K689" t="s">
        <v>1444</v>
      </c>
      <c r="L689" t="s">
        <v>1445</v>
      </c>
    </row>
    <row r="690" spans="1:13" ht="15" customHeight="1" x14ac:dyDescent="0.25">
      <c r="A690">
        <v>689</v>
      </c>
      <c r="B690" s="5">
        <v>45789</v>
      </c>
      <c r="C690" t="s">
        <v>27</v>
      </c>
      <c r="D690" t="s">
        <v>42</v>
      </c>
      <c r="E690" t="s">
        <v>43</v>
      </c>
      <c r="F690" t="s">
        <v>44</v>
      </c>
      <c r="G690" s="6">
        <v>23831.59</v>
      </c>
      <c r="H690" s="7">
        <v>0</v>
      </c>
      <c r="I690" s="6">
        <v>0</v>
      </c>
      <c r="J690" s="6">
        <v>23831.59</v>
      </c>
      <c r="K690" t="s">
        <v>1446</v>
      </c>
      <c r="L690" t="s">
        <v>1447</v>
      </c>
      <c r="M690" t="s">
        <v>580</v>
      </c>
    </row>
    <row r="691" spans="1:13" ht="15" customHeight="1" x14ac:dyDescent="0.25">
      <c r="A691">
        <v>690</v>
      </c>
      <c r="B691" s="5">
        <v>45709</v>
      </c>
      <c r="C691" t="s">
        <v>47</v>
      </c>
      <c r="D691" t="s">
        <v>79</v>
      </c>
      <c r="E691" t="s">
        <v>80</v>
      </c>
      <c r="F691" t="s">
        <v>39</v>
      </c>
      <c r="G691" s="6">
        <v>3674.25</v>
      </c>
      <c r="H691" s="7">
        <v>0.2</v>
      </c>
      <c r="I691" s="6">
        <v>734.85</v>
      </c>
      <c r="J691" s="6">
        <v>4409.1000000000004</v>
      </c>
      <c r="K691" t="s">
        <v>1448</v>
      </c>
      <c r="L691" t="s">
        <v>1449</v>
      </c>
    </row>
    <row r="692" spans="1:13" ht="15" customHeight="1" x14ac:dyDescent="0.25">
      <c r="A692">
        <v>691</v>
      </c>
      <c r="B692" s="5">
        <v>45818</v>
      </c>
      <c r="C692" t="s">
        <v>47</v>
      </c>
      <c r="D692" t="s">
        <v>55</v>
      </c>
      <c r="E692" t="s">
        <v>56</v>
      </c>
      <c r="F692" t="s">
        <v>87</v>
      </c>
      <c r="G692" s="6">
        <v>1962.9</v>
      </c>
      <c r="H692" s="7">
        <v>5.5E-2</v>
      </c>
      <c r="I692" s="6">
        <v>107.96</v>
      </c>
      <c r="J692" s="6">
        <v>2070.86</v>
      </c>
      <c r="K692" t="s">
        <v>1450</v>
      </c>
      <c r="L692" t="s">
        <v>1451</v>
      </c>
    </row>
    <row r="693" spans="1:13" ht="15" customHeight="1" x14ac:dyDescent="0.25">
      <c r="A693">
        <v>692</v>
      </c>
      <c r="B693" s="5">
        <v>45728</v>
      </c>
      <c r="C693" t="s">
        <v>33</v>
      </c>
      <c r="D693" t="s">
        <v>28</v>
      </c>
      <c r="E693" t="s">
        <v>29</v>
      </c>
      <c r="F693" t="s">
        <v>30</v>
      </c>
      <c r="G693" s="6">
        <v>3012.03</v>
      </c>
      <c r="H693" s="7">
        <v>2.1000000000000001E-2</v>
      </c>
      <c r="I693" s="6">
        <v>63.25</v>
      </c>
      <c r="J693" s="6">
        <v>3075.28</v>
      </c>
      <c r="K693" t="s">
        <v>1452</v>
      </c>
      <c r="L693" t="s">
        <v>1453</v>
      </c>
    </row>
    <row r="694" spans="1:13" ht="15" customHeight="1" x14ac:dyDescent="0.25">
      <c r="A694">
        <v>693</v>
      </c>
      <c r="B694" s="5">
        <v>45705</v>
      </c>
      <c r="C694" t="s">
        <v>47</v>
      </c>
      <c r="D694" t="s">
        <v>100</v>
      </c>
      <c r="E694" t="s">
        <v>101</v>
      </c>
      <c r="F694" t="s">
        <v>44</v>
      </c>
      <c r="G694" s="6">
        <v>2622.53</v>
      </c>
      <c r="H694" s="7">
        <v>0</v>
      </c>
      <c r="I694" s="6">
        <v>0</v>
      </c>
      <c r="J694" s="6">
        <v>2622.53</v>
      </c>
      <c r="K694" t="s">
        <v>1454</v>
      </c>
      <c r="L694" t="s">
        <v>1455</v>
      </c>
    </row>
    <row r="695" spans="1:13" ht="15" customHeight="1" x14ac:dyDescent="0.25">
      <c r="A695">
        <v>694</v>
      </c>
      <c r="B695" s="5">
        <v>45891</v>
      </c>
      <c r="C695" t="s">
        <v>47</v>
      </c>
      <c r="D695" t="s">
        <v>63</v>
      </c>
      <c r="E695" t="s">
        <v>64</v>
      </c>
      <c r="F695" t="s">
        <v>36</v>
      </c>
      <c r="G695" s="6">
        <v>1281.5</v>
      </c>
      <c r="H695" s="7">
        <v>0.2</v>
      </c>
      <c r="I695" s="6">
        <v>256.3</v>
      </c>
      <c r="J695" s="6">
        <v>1537.8</v>
      </c>
      <c r="K695" t="s">
        <v>1456</v>
      </c>
      <c r="L695" t="s">
        <v>1457</v>
      </c>
    </row>
    <row r="696" spans="1:13" ht="15" customHeight="1" x14ac:dyDescent="0.25">
      <c r="A696">
        <v>695</v>
      </c>
      <c r="B696" s="5">
        <v>45743</v>
      </c>
      <c r="C696" t="s">
        <v>47</v>
      </c>
      <c r="D696" t="s">
        <v>42</v>
      </c>
      <c r="E696" t="s">
        <v>43</v>
      </c>
      <c r="F696" t="s">
        <v>44</v>
      </c>
      <c r="G696" s="6">
        <v>3470.81</v>
      </c>
      <c r="H696" s="7">
        <v>0</v>
      </c>
      <c r="I696" s="6">
        <v>0</v>
      </c>
      <c r="J696" s="6">
        <v>3470.81</v>
      </c>
      <c r="K696" t="s">
        <v>1458</v>
      </c>
      <c r="L696" t="s">
        <v>1459</v>
      </c>
    </row>
    <row r="697" spans="1:13" ht="15" customHeight="1" x14ac:dyDescent="0.25">
      <c r="A697">
        <v>696</v>
      </c>
      <c r="B697" s="5">
        <v>45960</v>
      </c>
      <c r="C697" t="s">
        <v>33</v>
      </c>
      <c r="D697" t="s">
        <v>28</v>
      </c>
      <c r="E697" t="s">
        <v>29</v>
      </c>
      <c r="F697" t="s">
        <v>84</v>
      </c>
      <c r="G697" s="6">
        <v>2213.42</v>
      </c>
      <c r="H697" s="7">
        <v>2.1000000000000001E-2</v>
      </c>
      <c r="I697" s="6">
        <v>46.48</v>
      </c>
      <c r="J697" s="6">
        <v>2259.9</v>
      </c>
      <c r="K697" t="s">
        <v>1460</v>
      </c>
      <c r="L697" t="s">
        <v>1461</v>
      </c>
    </row>
    <row r="698" spans="1:13" ht="15" customHeight="1" x14ac:dyDescent="0.25">
      <c r="A698">
        <v>697</v>
      </c>
      <c r="B698" s="5">
        <v>45852</v>
      </c>
      <c r="C698" t="s">
        <v>47</v>
      </c>
      <c r="D698" t="s">
        <v>28</v>
      </c>
      <c r="E698" t="s">
        <v>29</v>
      </c>
      <c r="F698" t="s">
        <v>84</v>
      </c>
      <c r="G698" s="6">
        <v>3523.91</v>
      </c>
      <c r="H698" s="7">
        <v>2.1000000000000001E-2</v>
      </c>
      <c r="I698" s="6">
        <v>74</v>
      </c>
      <c r="J698" s="6">
        <v>3597.91</v>
      </c>
      <c r="K698" t="s">
        <v>1462</v>
      </c>
      <c r="L698" t="s">
        <v>1463</v>
      </c>
    </row>
    <row r="699" spans="1:13" ht="15" customHeight="1" x14ac:dyDescent="0.25">
      <c r="A699">
        <v>698</v>
      </c>
      <c r="B699" s="5">
        <v>45905</v>
      </c>
      <c r="C699" t="s">
        <v>27</v>
      </c>
      <c r="D699" t="s">
        <v>100</v>
      </c>
      <c r="E699" t="s">
        <v>101</v>
      </c>
      <c r="F699" t="s">
        <v>44</v>
      </c>
      <c r="G699" s="6">
        <v>2071.0500000000002</v>
      </c>
      <c r="H699" s="7">
        <v>0</v>
      </c>
      <c r="I699" s="6">
        <v>0</v>
      </c>
      <c r="J699" s="6">
        <v>2071.0500000000002</v>
      </c>
      <c r="K699" t="s">
        <v>1464</v>
      </c>
      <c r="L699" t="s">
        <v>1465</v>
      </c>
    </row>
    <row r="700" spans="1:13" ht="15" customHeight="1" x14ac:dyDescent="0.25">
      <c r="A700">
        <v>699</v>
      </c>
      <c r="B700" s="5">
        <v>45791</v>
      </c>
      <c r="C700" t="s">
        <v>47</v>
      </c>
      <c r="D700" t="s">
        <v>28</v>
      </c>
      <c r="E700" t="s">
        <v>29</v>
      </c>
      <c r="F700" t="s">
        <v>39</v>
      </c>
      <c r="G700" s="6">
        <v>2974.98</v>
      </c>
      <c r="H700" s="7">
        <v>2.1000000000000001E-2</v>
      </c>
      <c r="I700" s="6">
        <v>62.47</v>
      </c>
      <c r="J700" s="6">
        <v>3037.45</v>
      </c>
      <c r="K700" t="s">
        <v>1466</v>
      </c>
      <c r="L700" t="s">
        <v>1467</v>
      </c>
    </row>
    <row r="701" spans="1:13" ht="15" customHeight="1" x14ac:dyDescent="0.25">
      <c r="A701">
        <v>700</v>
      </c>
      <c r="B701" s="5">
        <v>45953</v>
      </c>
      <c r="C701" t="s">
        <v>27</v>
      </c>
      <c r="D701" t="s">
        <v>172</v>
      </c>
      <c r="E701" t="s">
        <v>173</v>
      </c>
      <c r="F701" t="s">
        <v>71</v>
      </c>
      <c r="G701" s="6">
        <v>3279.08</v>
      </c>
      <c r="H701" s="7">
        <v>0.2</v>
      </c>
      <c r="I701" s="6">
        <v>655.82</v>
      </c>
      <c r="J701" s="6">
        <v>3934.9</v>
      </c>
      <c r="K701" t="s">
        <v>1468</v>
      </c>
      <c r="L701" t="s">
        <v>1469</v>
      </c>
    </row>
    <row r="702" spans="1:13" ht="15" customHeight="1" x14ac:dyDescent="0.25">
      <c r="A702">
        <v>701</v>
      </c>
      <c r="B702" s="5">
        <v>46010</v>
      </c>
      <c r="C702" t="s">
        <v>47</v>
      </c>
      <c r="D702" t="s">
        <v>172</v>
      </c>
      <c r="E702" t="s">
        <v>173</v>
      </c>
      <c r="F702" t="s">
        <v>87</v>
      </c>
      <c r="G702" s="6">
        <v>3176.56</v>
      </c>
      <c r="H702" s="7">
        <v>0.2</v>
      </c>
      <c r="I702" s="6">
        <v>635.30999999999995</v>
      </c>
      <c r="J702" s="6">
        <v>3811.87</v>
      </c>
      <c r="K702" t="s">
        <v>1470</v>
      </c>
      <c r="L702" t="s">
        <v>1471</v>
      </c>
    </row>
    <row r="703" spans="1:13" ht="15" customHeight="1" x14ac:dyDescent="0.25">
      <c r="A703">
        <v>702</v>
      </c>
      <c r="B703" s="5">
        <v>45904</v>
      </c>
      <c r="C703" t="s">
        <v>27</v>
      </c>
      <c r="D703" t="s">
        <v>42</v>
      </c>
      <c r="E703" t="s">
        <v>43</v>
      </c>
      <c r="F703" t="s">
        <v>44</v>
      </c>
      <c r="G703" s="6">
        <v>3423.11</v>
      </c>
      <c r="H703" s="7">
        <v>0</v>
      </c>
      <c r="I703" s="6">
        <v>0</v>
      </c>
      <c r="J703" s="6">
        <v>3423.11</v>
      </c>
      <c r="K703" t="s">
        <v>1472</v>
      </c>
      <c r="L703" t="s">
        <v>1473</v>
      </c>
    </row>
    <row r="704" spans="1:13" ht="15" customHeight="1" x14ac:dyDescent="0.25">
      <c r="A704">
        <v>703</v>
      </c>
      <c r="B704" s="5">
        <v>45943</v>
      </c>
      <c r="C704" t="s">
        <v>33</v>
      </c>
      <c r="D704" t="s">
        <v>42</v>
      </c>
      <c r="E704" t="s">
        <v>43</v>
      </c>
      <c r="F704" t="s">
        <v>44</v>
      </c>
      <c r="G704" s="6">
        <v>3270.99</v>
      </c>
      <c r="H704" s="7">
        <v>0</v>
      </c>
      <c r="I704" s="6">
        <v>0</v>
      </c>
      <c r="J704" s="6">
        <v>3270.99</v>
      </c>
      <c r="K704" t="s">
        <v>1474</v>
      </c>
      <c r="L704" t="s">
        <v>1475</v>
      </c>
    </row>
    <row r="705" spans="1:12" ht="15" customHeight="1" x14ac:dyDescent="0.25">
      <c r="A705">
        <v>704</v>
      </c>
      <c r="B705" s="5">
        <v>45916</v>
      </c>
      <c r="C705" t="s">
        <v>27</v>
      </c>
      <c r="D705" t="s">
        <v>100</v>
      </c>
      <c r="E705" t="s">
        <v>101</v>
      </c>
      <c r="F705" t="s">
        <v>44</v>
      </c>
      <c r="G705" s="6">
        <v>3844.49</v>
      </c>
      <c r="H705" s="7">
        <v>0</v>
      </c>
      <c r="I705" s="6">
        <v>0</v>
      </c>
      <c r="J705" s="6">
        <v>3844.49</v>
      </c>
      <c r="K705" t="s">
        <v>1476</v>
      </c>
      <c r="L705" t="s">
        <v>1477</v>
      </c>
    </row>
    <row r="706" spans="1:12" ht="15" customHeight="1" x14ac:dyDescent="0.25">
      <c r="A706">
        <v>705</v>
      </c>
      <c r="B706" s="5">
        <v>45827</v>
      </c>
      <c r="C706" t="s">
        <v>33</v>
      </c>
      <c r="D706" t="s">
        <v>42</v>
      </c>
      <c r="E706" t="s">
        <v>43</v>
      </c>
      <c r="F706" t="s">
        <v>44</v>
      </c>
      <c r="G706" s="6">
        <v>1920.84</v>
      </c>
      <c r="H706" s="7">
        <v>0</v>
      </c>
      <c r="I706" s="6">
        <v>0</v>
      </c>
      <c r="J706" s="6">
        <v>1920.84</v>
      </c>
      <c r="K706" t="s">
        <v>1478</v>
      </c>
      <c r="L706" t="s">
        <v>1479</v>
      </c>
    </row>
    <row r="707" spans="1:12" ht="15" customHeight="1" x14ac:dyDescent="0.25">
      <c r="A707">
        <v>706</v>
      </c>
      <c r="B707" s="5">
        <v>45778</v>
      </c>
      <c r="C707" t="s">
        <v>27</v>
      </c>
      <c r="D707" t="s">
        <v>181</v>
      </c>
      <c r="E707" t="s">
        <v>182</v>
      </c>
      <c r="F707" t="s">
        <v>76</v>
      </c>
      <c r="G707" s="6">
        <v>428.43</v>
      </c>
      <c r="H707" s="7">
        <v>0.2</v>
      </c>
      <c r="I707" s="6">
        <v>85.69</v>
      </c>
      <c r="J707" s="6">
        <v>514.12</v>
      </c>
      <c r="K707" t="s">
        <v>1480</v>
      </c>
      <c r="L707" t="s">
        <v>1481</v>
      </c>
    </row>
    <row r="708" spans="1:12" ht="15" customHeight="1" x14ac:dyDescent="0.25">
      <c r="A708">
        <v>707</v>
      </c>
      <c r="B708" s="5">
        <v>45819</v>
      </c>
      <c r="C708" t="s">
        <v>27</v>
      </c>
      <c r="D708" t="s">
        <v>79</v>
      </c>
      <c r="E708" t="s">
        <v>80</v>
      </c>
      <c r="F708" t="s">
        <v>76</v>
      </c>
      <c r="G708" s="6">
        <v>604.67999999999995</v>
      </c>
      <c r="H708" s="7">
        <v>0.2</v>
      </c>
      <c r="I708" s="6">
        <v>120.94</v>
      </c>
      <c r="J708" s="6">
        <v>725.62</v>
      </c>
      <c r="K708" t="s">
        <v>1482</v>
      </c>
      <c r="L708" t="s">
        <v>1483</v>
      </c>
    </row>
    <row r="709" spans="1:12" ht="15" customHeight="1" x14ac:dyDescent="0.25">
      <c r="A709">
        <v>708</v>
      </c>
      <c r="B709" s="5">
        <v>45869</v>
      </c>
      <c r="C709" t="s">
        <v>27</v>
      </c>
      <c r="D709" t="s">
        <v>28</v>
      </c>
      <c r="E709" t="s">
        <v>29</v>
      </c>
      <c r="F709" t="s">
        <v>106</v>
      </c>
      <c r="G709" s="6">
        <v>238.38</v>
      </c>
      <c r="H709" s="7">
        <v>2.1000000000000001E-2</v>
      </c>
      <c r="I709" s="6">
        <v>5.01</v>
      </c>
      <c r="J709" s="6">
        <v>243.39</v>
      </c>
      <c r="K709" t="s">
        <v>1484</v>
      </c>
      <c r="L709" t="s">
        <v>1485</v>
      </c>
    </row>
    <row r="710" spans="1:12" ht="15" customHeight="1" x14ac:dyDescent="0.25">
      <c r="A710">
        <v>709</v>
      </c>
      <c r="B710" s="5">
        <v>45974</v>
      </c>
      <c r="C710" t="s">
        <v>33</v>
      </c>
      <c r="D710" t="s">
        <v>42</v>
      </c>
      <c r="E710" t="s">
        <v>43</v>
      </c>
      <c r="F710" t="s">
        <v>44</v>
      </c>
      <c r="G710" s="6">
        <v>3936.27</v>
      </c>
      <c r="H710" s="7">
        <v>0</v>
      </c>
      <c r="I710" s="6">
        <v>0</v>
      </c>
      <c r="J710" s="6">
        <v>3936.27</v>
      </c>
      <c r="K710" t="s">
        <v>1486</v>
      </c>
      <c r="L710" t="s">
        <v>1487</v>
      </c>
    </row>
    <row r="711" spans="1:12" ht="15" customHeight="1" x14ac:dyDescent="0.25">
      <c r="A711">
        <v>710</v>
      </c>
      <c r="B711" s="5">
        <v>45891</v>
      </c>
      <c r="C711" t="s">
        <v>33</v>
      </c>
      <c r="D711" t="s">
        <v>34</v>
      </c>
      <c r="E711" t="s">
        <v>35</v>
      </c>
      <c r="F711" t="s">
        <v>50</v>
      </c>
      <c r="G711" s="6">
        <v>4280.57</v>
      </c>
      <c r="H711" s="7">
        <v>0.2</v>
      </c>
      <c r="I711" s="6">
        <v>856.11</v>
      </c>
      <c r="J711" s="6">
        <v>5136.68</v>
      </c>
      <c r="K711" t="s">
        <v>1488</v>
      </c>
      <c r="L711" t="s">
        <v>1489</v>
      </c>
    </row>
    <row r="712" spans="1:12" ht="15" customHeight="1" x14ac:dyDescent="0.25">
      <c r="A712">
        <v>711</v>
      </c>
      <c r="B712" s="5">
        <v>45890</v>
      </c>
      <c r="C712" t="s">
        <v>33</v>
      </c>
      <c r="D712" t="s">
        <v>42</v>
      </c>
      <c r="E712" t="s">
        <v>43</v>
      </c>
      <c r="F712" t="s">
        <v>44</v>
      </c>
      <c r="G712" s="6">
        <v>3641.8</v>
      </c>
      <c r="H712" s="7">
        <v>0</v>
      </c>
      <c r="I712" s="6">
        <v>0</v>
      </c>
      <c r="J712" s="6">
        <v>3641.8</v>
      </c>
      <c r="K712" t="s">
        <v>1490</v>
      </c>
      <c r="L712" t="s">
        <v>1491</v>
      </c>
    </row>
    <row r="713" spans="1:12" ht="15" customHeight="1" x14ac:dyDescent="0.25">
      <c r="A713">
        <v>712</v>
      </c>
      <c r="B713" s="5">
        <v>45889</v>
      </c>
      <c r="C713" t="s">
        <v>47</v>
      </c>
      <c r="D713" t="s">
        <v>42</v>
      </c>
      <c r="E713" t="s">
        <v>43</v>
      </c>
      <c r="F713" t="s">
        <v>44</v>
      </c>
      <c r="G713" s="6">
        <v>3622.37</v>
      </c>
      <c r="H713" s="7">
        <v>0</v>
      </c>
      <c r="I713" s="6">
        <v>0</v>
      </c>
      <c r="J713" s="6">
        <v>3622.37</v>
      </c>
      <c r="K713" t="s">
        <v>1492</v>
      </c>
      <c r="L713" t="s">
        <v>1493</v>
      </c>
    </row>
    <row r="714" spans="1:12" ht="15" customHeight="1" x14ac:dyDescent="0.25">
      <c r="A714">
        <v>713</v>
      </c>
      <c r="B714" s="5">
        <v>45982</v>
      </c>
      <c r="C714" t="s">
        <v>33</v>
      </c>
      <c r="D714" t="s">
        <v>55</v>
      </c>
      <c r="E714" t="s">
        <v>56</v>
      </c>
      <c r="F714" t="s">
        <v>174</v>
      </c>
      <c r="G714" s="6">
        <v>4342.8</v>
      </c>
      <c r="H714" s="7">
        <v>5.5E-2</v>
      </c>
      <c r="I714" s="6">
        <v>238.85</v>
      </c>
      <c r="J714" s="6">
        <v>4581.6499999999996</v>
      </c>
      <c r="K714" t="s">
        <v>1494</v>
      </c>
      <c r="L714" t="s">
        <v>1495</v>
      </c>
    </row>
    <row r="715" spans="1:12" ht="15" customHeight="1" x14ac:dyDescent="0.25">
      <c r="A715">
        <v>714</v>
      </c>
      <c r="B715" s="5">
        <v>45712</v>
      </c>
      <c r="C715" t="s">
        <v>27</v>
      </c>
      <c r="D715" t="s">
        <v>63</v>
      </c>
      <c r="E715" t="s">
        <v>64</v>
      </c>
      <c r="F715" t="s">
        <v>30</v>
      </c>
      <c r="G715" s="6">
        <v>282.33999999999997</v>
      </c>
      <c r="H715" s="7">
        <v>0.2</v>
      </c>
      <c r="I715" s="6">
        <v>56.47</v>
      </c>
      <c r="J715" s="6">
        <v>338.81</v>
      </c>
      <c r="K715" t="s">
        <v>1496</v>
      </c>
      <c r="L715" t="s">
        <v>1497</v>
      </c>
    </row>
    <row r="716" spans="1:12" ht="15" customHeight="1" x14ac:dyDescent="0.25">
      <c r="A716">
        <v>715</v>
      </c>
      <c r="B716" s="5">
        <v>45867</v>
      </c>
      <c r="C716" t="s">
        <v>33</v>
      </c>
      <c r="D716" t="s">
        <v>42</v>
      </c>
      <c r="E716" t="s">
        <v>43</v>
      </c>
      <c r="F716" t="s">
        <v>44</v>
      </c>
      <c r="G716" s="6">
        <v>3266.04</v>
      </c>
      <c r="H716" s="7">
        <v>0</v>
      </c>
      <c r="I716" s="6">
        <v>0</v>
      </c>
      <c r="J716" s="6">
        <v>3266.04</v>
      </c>
      <c r="K716" t="s">
        <v>1498</v>
      </c>
      <c r="L716" t="s">
        <v>1499</v>
      </c>
    </row>
    <row r="717" spans="1:12" ht="15" customHeight="1" x14ac:dyDescent="0.25">
      <c r="A717">
        <v>716</v>
      </c>
      <c r="B717" s="5">
        <v>45859</v>
      </c>
      <c r="C717" t="s">
        <v>33</v>
      </c>
      <c r="D717" t="s">
        <v>100</v>
      </c>
      <c r="E717" t="s">
        <v>101</v>
      </c>
      <c r="F717" t="s">
        <v>44</v>
      </c>
      <c r="G717" s="6">
        <v>3778.93</v>
      </c>
      <c r="H717" s="7">
        <v>0</v>
      </c>
      <c r="I717" s="6">
        <v>0</v>
      </c>
      <c r="J717" s="6">
        <v>3778.93</v>
      </c>
      <c r="K717" t="s">
        <v>1500</v>
      </c>
      <c r="L717" t="s">
        <v>1501</v>
      </c>
    </row>
    <row r="718" spans="1:12" ht="15" customHeight="1" x14ac:dyDescent="0.25">
      <c r="A718">
        <v>717</v>
      </c>
      <c r="B718" s="5">
        <v>45870</v>
      </c>
      <c r="C718" t="s">
        <v>27</v>
      </c>
      <c r="D718" t="s">
        <v>55</v>
      </c>
      <c r="E718" t="s">
        <v>56</v>
      </c>
      <c r="F718" t="s">
        <v>120</v>
      </c>
      <c r="G718" s="6">
        <v>285.52999999999997</v>
      </c>
      <c r="H718" s="7">
        <v>5.5E-2</v>
      </c>
      <c r="I718" s="6">
        <v>15.7</v>
      </c>
      <c r="J718" s="6">
        <v>301.23</v>
      </c>
      <c r="K718" t="s">
        <v>1502</v>
      </c>
      <c r="L718" t="s">
        <v>1503</v>
      </c>
    </row>
    <row r="719" spans="1:12" ht="15" customHeight="1" x14ac:dyDescent="0.25">
      <c r="A719">
        <v>718</v>
      </c>
      <c r="B719" s="5">
        <v>45888</v>
      </c>
      <c r="C719" t="s">
        <v>27</v>
      </c>
      <c r="D719" t="s">
        <v>172</v>
      </c>
      <c r="E719" t="s">
        <v>173</v>
      </c>
      <c r="F719" t="s">
        <v>84</v>
      </c>
      <c r="G719" s="6">
        <v>2101.65</v>
      </c>
      <c r="H719" s="7">
        <v>0.2</v>
      </c>
      <c r="I719" s="6">
        <v>420.33</v>
      </c>
      <c r="J719" s="6">
        <v>2521.98</v>
      </c>
      <c r="K719" t="s">
        <v>1504</v>
      </c>
      <c r="L719" t="s">
        <v>1505</v>
      </c>
    </row>
    <row r="720" spans="1:12" ht="15" customHeight="1" x14ac:dyDescent="0.25">
      <c r="A720">
        <v>719</v>
      </c>
      <c r="B720" s="5">
        <v>45660</v>
      </c>
      <c r="C720" t="s">
        <v>33</v>
      </c>
      <c r="D720" t="s">
        <v>94</v>
      </c>
      <c r="E720" t="s">
        <v>95</v>
      </c>
      <c r="F720" t="s">
        <v>44</v>
      </c>
      <c r="G720" s="6">
        <v>621.42999999999995</v>
      </c>
      <c r="H720" s="7">
        <v>0</v>
      </c>
      <c r="I720" s="6">
        <v>0</v>
      </c>
      <c r="J720" s="6">
        <v>621.42999999999995</v>
      </c>
      <c r="K720" t="s">
        <v>1506</v>
      </c>
      <c r="L720" t="s">
        <v>1507</v>
      </c>
    </row>
    <row r="721" spans="1:13" ht="15" customHeight="1" x14ac:dyDescent="0.25">
      <c r="A721">
        <v>720</v>
      </c>
      <c r="B721" s="5">
        <v>45918</v>
      </c>
      <c r="C721" t="s">
        <v>27</v>
      </c>
      <c r="D721" t="s">
        <v>79</v>
      </c>
      <c r="E721" t="s">
        <v>80</v>
      </c>
      <c r="F721" t="s">
        <v>30</v>
      </c>
      <c r="G721" s="6">
        <v>3532.38</v>
      </c>
      <c r="H721" s="7">
        <v>0.2</v>
      </c>
      <c r="I721" s="6">
        <v>706.48</v>
      </c>
      <c r="J721" s="6">
        <v>4238.8599999999997</v>
      </c>
      <c r="K721" t="s">
        <v>1508</v>
      </c>
      <c r="L721" t="s">
        <v>1509</v>
      </c>
    </row>
    <row r="722" spans="1:13" ht="15" customHeight="1" x14ac:dyDescent="0.25">
      <c r="A722">
        <v>721</v>
      </c>
      <c r="B722" s="5">
        <v>45723</v>
      </c>
      <c r="C722" t="s">
        <v>27</v>
      </c>
      <c r="D722" t="s">
        <v>28</v>
      </c>
      <c r="E722" t="s">
        <v>29</v>
      </c>
      <c r="F722" t="s">
        <v>120</v>
      </c>
      <c r="G722" s="6">
        <v>537.71</v>
      </c>
      <c r="H722" s="7">
        <v>2.1000000000000001E-2</v>
      </c>
      <c r="I722" s="6">
        <v>11.29</v>
      </c>
      <c r="J722" s="6">
        <v>549</v>
      </c>
      <c r="K722" t="s">
        <v>1510</v>
      </c>
      <c r="L722" t="s">
        <v>1511</v>
      </c>
    </row>
    <row r="723" spans="1:13" ht="15" customHeight="1" x14ac:dyDescent="0.25">
      <c r="A723">
        <v>722</v>
      </c>
      <c r="B723" s="5">
        <v>45916</v>
      </c>
      <c r="C723" t="s">
        <v>27</v>
      </c>
      <c r="D723" t="s">
        <v>100</v>
      </c>
      <c r="E723" t="s">
        <v>101</v>
      </c>
      <c r="F723" t="s">
        <v>44</v>
      </c>
      <c r="G723" s="6">
        <v>2804.8</v>
      </c>
      <c r="H723" s="7">
        <v>0</v>
      </c>
      <c r="I723" s="6">
        <v>0</v>
      </c>
      <c r="J723" s="6">
        <v>2804.8</v>
      </c>
      <c r="K723" t="s">
        <v>1512</v>
      </c>
      <c r="L723" t="s">
        <v>1513</v>
      </c>
    </row>
    <row r="724" spans="1:13" ht="15" customHeight="1" x14ac:dyDescent="0.25">
      <c r="A724">
        <v>723</v>
      </c>
      <c r="B724" s="5">
        <v>45798</v>
      </c>
      <c r="C724" t="s">
        <v>27</v>
      </c>
      <c r="D724" t="s">
        <v>42</v>
      </c>
      <c r="E724" t="s">
        <v>43</v>
      </c>
      <c r="F724" t="s">
        <v>44</v>
      </c>
      <c r="G724" s="6">
        <v>2622.86</v>
      </c>
      <c r="H724" s="7">
        <v>0</v>
      </c>
      <c r="I724" s="6">
        <v>0</v>
      </c>
      <c r="J724" s="6">
        <v>2622.86</v>
      </c>
      <c r="K724" t="s">
        <v>1514</v>
      </c>
      <c r="L724" t="s">
        <v>1515</v>
      </c>
    </row>
    <row r="725" spans="1:13" ht="15" customHeight="1" x14ac:dyDescent="0.25">
      <c r="A725">
        <v>724</v>
      </c>
      <c r="B725" s="5">
        <v>45728</v>
      </c>
      <c r="C725" t="s">
        <v>47</v>
      </c>
      <c r="D725" t="s">
        <v>42</v>
      </c>
      <c r="E725" t="s">
        <v>43</v>
      </c>
      <c r="F725" t="s">
        <v>44</v>
      </c>
      <c r="G725" s="6">
        <v>3480.03</v>
      </c>
      <c r="H725" s="7">
        <v>0</v>
      </c>
      <c r="I725" s="6">
        <v>0</v>
      </c>
      <c r="J725" s="6">
        <v>3480.03</v>
      </c>
      <c r="K725" t="s">
        <v>1516</v>
      </c>
      <c r="L725" t="s">
        <v>1517</v>
      </c>
    </row>
    <row r="726" spans="1:13" ht="15" customHeight="1" x14ac:dyDescent="0.25">
      <c r="A726">
        <v>725</v>
      </c>
      <c r="B726" s="5">
        <v>46017</v>
      </c>
      <c r="C726" t="s">
        <v>27</v>
      </c>
      <c r="D726" t="s">
        <v>55</v>
      </c>
      <c r="E726" t="s">
        <v>56</v>
      </c>
      <c r="F726" t="s">
        <v>50</v>
      </c>
      <c r="G726" s="6">
        <v>2501.3000000000002</v>
      </c>
      <c r="H726" s="7">
        <v>5.5E-2</v>
      </c>
      <c r="I726" s="6">
        <v>137.57</v>
      </c>
      <c r="J726" s="6">
        <v>2638.87</v>
      </c>
      <c r="K726" t="s">
        <v>1518</v>
      </c>
      <c r="L726" t="s">
        <v>1519</v>
      </c>
    </row>
    <row r="727" spans="1:13" ht="15" customHeight="1" x14ac:dyDescent="0.25">
      <c r="A727">
        <v>726</v>
      </c>
      <c r="B727" s="5">
        <v>45981</v>
      </c>
      <c r="C727" t="s">
        <v>27</v>
      </c>
      <c r="D727" t="s">
        <v>100</v>
      </c>
      <c r="E727" t="s">
        <v>101</v>
      </c>
      <c r="F727" t="s">
        <v>44</v>
      </c>
      <c r="G727" s="6">
        <v>2303.31</v>
      </c>
      <c r="H727" s="7">
        <v>0</v>
      </c>
      <c r="I727" s="6">
        <v>0</v>
      </c>
      <c r="J727" s="6">
        <v>2303.31</v>
      </c>
      <c r="K727" t="s">
        <v>1520</v>
      </c>
      <c r="L727" t="s">
        <v>1521</v>
      </c>
    </row>
    <row r="728" spans="1:13" ht="15" customHeight="1" x14ac:dyDescent="0.25">
      <c r="A728">
        <v>727</v>
      </c>
      <c r="B728" s="5">
        <v>46002</v>
      </c>
      <c r="C728" t="s">
        <v>47</v>
      </c>
      <c r="D728" t="s">
        <v>34</v>
      </c>
      <c r="E728" t="s">
        <v>35</v>
      </c>
      <c r="F728" t="s">
        <v>81</v>
      </c>
      <c r="G728" s="6">
        <v>666.41</v>
      </c>
      <c r="H728" s="7">
        <v>0.2</v>
      </c>
      <c r="I728" s="6">
        <v>133.28</v>
      </c>
      <c r="J728" s="6">
        <v>799.69</v>
      </c>
      <c r="K728" t="s">
        <v>1522</v>
      </c>
      <c r="L728" t="s">
        <v>1523</v>
      </c>
    </row>
    <row r="729" spans="1:13" ht="15" customHeight="1" x14ac:dyDescent="0.25">
      <c r="A729">
        <v>728</v>
      </c>
      <c r="B729" s="5">
        <v>46013</v>
      </c>
      <c r="C729" t="s">
        <v>33</v>
      </c>
      <c r="D729" t="s">
        <v>79</v>
      </c>
      <c r="E729" t="s">
        <v>80</v>
      </c>
      <c r="F729" t="s">
        <v>81</v>
      </c>
      <c r="G729" s="6">
        <v>2895</v>
      </c>
      <c r="H729" s="7">
        <v>0.2</v>
      </c>
      <c r="I729" s="6">
        <v>579</v>
      </c>
      <c r="J729" s="6">
        <v>3474</v>
      </c>
      <c r="K729" t="s">
        <v>1524</v>
      </c>
      <c r="L729" t="s">
        <v>1525</v>
      </c>
    </row>
    <row r="730" spans="1:13" ht="15" customHeight="1" x14ac:dyDescent="0.25">
      <c r="A730">
        <v>729</v>
      </c>
      <c r="B730" s="5">
        <v>45950</v>
      </c>
      <c r="C730" t="s">
        <v>47</v>
      </c>
      <c r="D730" t="s">
        <v>172</v>
      </c>
      <c r="E730" t="s">
        <v>173</v>
      </c>
      <c r="F730" t="s">
        <v>81</v>
      </c>
      <c r="G730" s="6">
        <v>4246.62</v>
      </c>
      <c r="H730" s="7">
        <v>0.2</v>
      </c>
      <c r="I730" s="6">
        <v>849.32</v>
      </c>
      <c r="J730" s="6">
        <v>5095.9399999999996</v>
      </c>
      <c r="K730" t="s">
        <v>1526</v>
      </c>
      <c r="L730" t="s">
        <v>1527</v>
      </c>
    </row>
    <row r="731" spans="1:13" ht="15" customHeight="1" x14ac:dyDescent="0.25">
      <c r="A731">
        <v>730</v>
      </c>
      <c r="B731" s="5">
        <v>45931</v>
      </c>
      <c r="C731" t="s">
        <v>27</v>
      </c>
      <c r="D731" t="s">
        <v>42</v>
      </c>
      <c r="E731" t="s">
        <v>43</v>
      </c>
      <c r="F731" t="s">
        <v>44</v>
      </c>
      <c r="G731" s="6">
        <v>3833.52</v>
      </c>
      <c r="H731" s="7">
        <v>0</v>
      </c>
      <c r="I731" s="6">
        <v>0</v>
      </c>
      <c r="J731" s="6">
        <v>3833.52</v>
      </c>
      <c r="K731" t="s">
        <v>1528</v>
      </c>
      <c r="L731" t="s">
        <v>1529</v>
      </c>
    </row>
    <row r="732" spans="1:13" ht="15" customHeight="1" x14ac:dyDescent="0.25">
      <c r="A732">
        <v>731</v>
      </c>
      <c r="B732" s="5">
        <v>45670</v>
      </c>
      <c r="C732" t="s">
        <v>33</v>
      </c>
      <c r="D732" t="s">
        <v>172</v>
      </c>
      <c r="E732" t="s">
        <v>173</v>
      </c>
      <c r="F732" t="s">
        <v>39</v>
      </c>
      <c r="G732" s="6">
        <v>1763.45</v>
      </c>
      <c r="H732" s="7">
        <v>0.2</v>
      </c>
      <c r="I732" s="6">
        <v>352.69</v>
      </c>
      <c r="J732" s="6">
        <v>2116.14</v>
      </c>
      <c r="K732" t="s">
        <v>1530</v>
      </c>
      <c r="L732" t="s">
        <v>1531</v>
      </c>
    </row>
    <row r="733" spans="1:13" ht="15" customHeight="1" x14ac:dyDescent="0.25">
      <c r="A733">
        <v>732</v>
      </c>
      <c r="B733" s="5">
        <v>45740</v>
      </c>
      <c r="C733" t="s">
        <v>33</v>
      </c>
      <c r="D733" t="s">
        <v>28</v>
      </c>
      <c r="E733" t="s">
        <v>29</v>
      </c>
      <c r="F733" t="s">
        <v>120</v>
      </c>
      <c r="G733" s="6">
        <v>4427.21</v>
      </c>
      <c r="H733" s="7">
        <v>2.1000000000000001E-2</v>
      </c>
      <c r="I733" s="6">
        <v>92.97</v>
      </c>
      <c r="J733" s="6">
        <v>4520.18</v>
      </c>
      <c r="K733" t="s">
        <v>1532</v>
      </c>
      <c r="L733" t="s">
        <v>1533</v>
      </c>
    </row>
    <row r="734" spans="1:13" ht="15" customHeight="1" x14ac:dyDescent="0.25">
      <c r="A734">
        <v>733</v>
      </c>
      <c r="B734" s="5">
        <v>45762</v>
      </c>
      <c r="C734" t="s">
        <v>33</v>
      </c>
      <c r="D734" t="s">
        <v>42</v>
      </c>
      <c r="E734" t="s">
        <v>43</v>
      </c>
      <c r="F734" t="s">
        <v>44</v>
      </c>
      <c r="G734" s="6">
        <v>1877.54</v>
      </c>
      <c r="H734" s="7">
        <v>0</v>
      </c>
      <c r="I734" s="6">
        <v>0</v>
      </c>
      <c r="J734" s="6">
        <v>1877.54</v>
      </c>
      <c r="K734" t="s">
        <v>1534</v>
      </c>
      <c r="L734" t="s">
        <v>1535</v>
      </c>
    </row>
    <row r="735" spans="1:13" ht="15" customHeight="1" x14ac:dyDescent="0.25">
      <c r="A735">
        <v>734</v>
      </c>
      <c r="B735" s="5">
        <v>46003</v>
      </c>
      <c r="C735" t="s">
        <v>47</v>
      </c>
      <c r="D735" t="s">
        <v>28</v>
      </c>
      <c r="E735" t="s">
        <v>29</v>
      </c>
      <c r="F735" t="s">
        <v>71</v>
      </c>
      <c r="G735" s="6">
        <v>3348.56</v>
      </c>
      <c r="H735" s="7">
        <v>2.1000000000000001E-2</v>
      </c>
      <c r="I735" s="6">
        <v>70.319999999999993</v>
      </c>
      <c r="J735" s="6">
        <v>3418.88</v>
      </c>
      <c r="K735" t="s">
        <v>1536</v>
      </c>
      <c r="L735" t="s">
        <v>1537</v>
      </c>
    </row>
    <row r="736" spans="1:13" ht="15" customHeight="1" x14ac:dyDescent="0.25">
      <c r="A736">
        <v>735</v>
      </c>
      <c r="B736" s="5">
        <v>46025</v>
      </c>
      <c r="C736" t="s">
        <v>27</v>
      </c>
      <c r="D736" t="s">
        <v>172</v>
      </c>
      <c r="E736" t="s">
        <v>173</v>
      </c>
      <c r="F736" t="s">
        <v>81</v>
      </c>
      <c r="G736" s="6">
        <v>2338.2800000000002</v>
      </c>
      <c r="H736" s="7">
        <v>0.2</v>
      </c>
      <c r="I736" s="6">
        <v>467.66</v>
      </c>
      <c r="J736" s="6">
        <v>2805.94</v>
      </c>
      <c r="K736" t="s">
        <v>1538</v>
      </c>
      <c r="L736" t="s">
        <v>1539</v>
      </c>
      <c r="M736" t="s">
        <v>1282</v>
      </c>
    </row>
    <row r="737" spans="1:12" ht="15" customHeight="1" x14ac:dyDescent="0.25">
      <c r="A737">
        <v>736</v>
      </c>
      <c r="B737" s="5">
        <v>45853</v>
      </c>
      <c r="C737" t="s">
        <v>27</v>
      </c>
      <c r="D737" t="s">
        <v>34</v>
      </c>
      <c r="E737" t="s">
        <v>35</v>
      </c>
      <c r="F737" t="s">
        <v>120</v>
      </c>
      <c r="G737" s="6">
        <v>1792.99</v>
      </c>
      <c r="H737" s="7">
        <v>0.2</v>
      </c>
      <c r="I737" s="6">
        <v>358.6</v>
      </c>
      <c r="J737" s="6">
        <v>2151.59</v>
      </c>
      <c r="K737" t="s">
        <v>1540</v>
      </c>
      <c r="L737" t="s">
        <v>1541</v>
      </c>
    </row>
    <row r="738" spans="1:12" ht="15" customHeight="1" x14ac:dyDescent="0.25">
      <c r="A738">
        <v>737</v>
      </c>
      <c r="B738" s="5">
        <v>45786</v>
      </c>
      <c r="C738" t="s">
        <v>27</v>
      </c>
      <c r="D738" t="s">
        <v>28</v>
      </c>
      <c r="E738" t="s">
        <v>29</v>
      </c>
      <c r="F738" t="s">
        <v>76</v>
      </c>
      <c r="G738" s="6">
        <v>977.65</v>
      </c>
      <c r="H738" s="7">
        <v>2.1000000000000001E-2</v>
      </c>
      <c r="I738" s="6">
        <v>20.53</v>
      </c>
      <c r="J738" s="6">
        <v>998.18</v>
      </c>
      <c r="K738" t="s">
        <v>1542</v>
      </c>
      <c r="L738" t="s">
        <v>1543</v>
      </c>
    </row>
    <row r="739" spans="1:12" ht="15" customHeight="1" x14ac:dyDescent="0.25">
      <c r="A739">
        <v>738</v>
      </c>
      <c r="B739" s="5">
        <v>46021</v>
      </c>
      <c r="C739" t="s">
        <v>33</v>
      </c>
      <c r="D739" t="s">
        <v>100</v>
      </c>
      <c r="E739" t="s">
        <v>101</v>
      </c>
      <c r="F739" t="s">
        <v>44</v>
      </c>
      <c r="G739" s="6">
        <v>3612.26</v>
      </c>
      <c r="H739" s="7">
        <v>0</v>
      </c>
      <c r="I739" s="6">
        <v>0</v>
      </c>
      <c r="J739" s="6">
        <v>3612.26</v>
      </c>
      <c r="K739" t="s">
        <v>1544</v>
      </c>
      <c r="L739" t="s">
        <v>1545</v>
      </c>
    </row>
    <row r="740" spans="1:12" ht="15" customHeight="1" x14ac:dyDescent="0.25">
      <c r="A740">
        <v>739</v>
      </c>
      <c r="B740" s="5">
        <v>45757</v>
      </c>
      <c r="C740" t="s">
        <v>27</v>
      </c>
      <c r="D740" t="s">
        <v>172</v>
      </c>
      <c r="E740" t="s">
        <v>173</v>
      </c>
      <c r="F740" t="s">
        <v>30</v>
      </c>
      <c r="G740" s="6">
        <v>1380.27</v>
      </c>
      <c r="H740" s="7">
        <v>0.2</v>
      </c>
      <c r="I740" s="6">
        <v>276.05</v>
      </c>
      <c r="J740" s="6">
        <v>1656.32</v>
      </c>
      <c r="K740" t="s">
        <v>1546</v>
      </c>
      <c r="L740" t="s">
        <v>1547</v>
      </c>
    </row>
    <row r="741" spans="1:12" ht="15" customHeight="1" x14ac:dyDescent="0.25">
      <c r="A741">
        <v>740</v>
      </c>
      <c r="B741" s="5">
        <v>45719</v>
      </c>
      <c r="C741" t="s">
        <v>33</v>
      </c>
      <c r="D741" t="s">
        <v>28</v>
      </c>
      <c r="E741" t="s">
        <v>29</v>
      </c>
      <c r="F741" t="s">
        <v>36</v>
      </c>
      <c r="G741" s="6">
        <v>1747.22</v>
      </c>
      <c r="H741" s="7">
        <v>2.1000000000000001E-2</v>
      </c>
      <c r="I741" s="6">
        <v>36.69</v>
      </c>
      <c r="J741" s="6">
        <v>1783.91</v>
      </c>
      <c r="K741" t="s">
        <v>1548</v>
      </c>
      <c r="L741" t="s">
        <v>1549</v>
      </c>
    </row>
    <row r="742" spans="1:12" ht="15" customHeight="1" x14ac:dyDescent="0.25">
      <c r="A742">
        <v>741</v>
      </c>
      <c r="B742" s="5">
        <v>45740</v>
      </c>
      <c r="C742" t="s">
        <v>27</v>
      </c>
      <c r="D742" t="s">
        <v>55</v>
      </c>
      <c r="E742" t="s">
        <v>56</v>
      </c>
      <c r="F742" t="s">
        <v>174</v>
      </c>
      <c r="G742" s="6">
        <v>2661.22</v>
      </c>
      <c r="H742" s="7">
        <v>5.5E-2</v>
      </c>
      <c r="I742" s="6">
        <v>146.37</v>
      </c>
      <c r="J742" s="6">
        <v>2807.59</v>
      </c>
      <c r="K742" t="s">
        <v>1550</v>
      </c>
      <c r="L742" t="s">
        <v>1551</v>
      </c>
    </row>
    <row r="743" spans="1:12" ht="15" customHeight="1" x14ac:dyDescent="0.25">
      <c r="A743">
        <v>742</v>
      </c>
      <c r="B743" s="5">
        <v>45737</v>
      </c>
      <c r="C743" t="s">
        <v>47</v>
      </c>
      <c r="D743" t="s">
        <v>79</v>
      </c>
      <c r="E743" t="s">
        <v>80</v>
      </c>
      <c r="F743" t="s">
        <v>50</v>
      </c>
      <c r="G743" s="6">
        <v>256.54000000000002</v>
      </c>
      <c r="H743" s="7">
        <v>0.2</v>
      </c>
      <c r="I743" s="6">
        <v>51.31</v>
      </c>
      <c r="J743" s="6">
        <v>307.85000000000002</v>
      </c>
      <c r="K743" t="s">
        <v>1552</v>
      </c>
      <c r="L743" t="s">
        <v>1553</v>
      </c>
    </row>
    <row r="744" spans="1:12" ht="15" customHeight="1" x14ac:dyDescent="0.25">
      <c r="A744">
        <v>743</v>
      </c>
      <c r="B744" s="5">
        <v>45978</v>
      </c>
      <c r="C744" t="s">
        <v>33</v>
      </c>
      <c r="D744" t="s">
        <v>42</v>
      </c>
      <c r="E744" t="s">
        <v>43</v>
      </c>
      <c r="F744" t="s">
        <v>44</v>
      </c>
      <c r="G744" s="6">
        <v>3388.54</v>
      </c>
      <c r="H744" s="7">
        <v>0</v>
      </c>
      <c r="I744" s="6">
        <v>0</v>
      </c>
      <c r="J744" s="6">
        <v>3388.54</v>
      </c>
      <c r="K744" t="s">
        <v>1554</v>
      </c>
      <c r="L744" t="s">
        <v>1555</v>
      </c>
    </row>
    <row r="745" spans="1:12" ht="15" customHeight="1" x14ac:dyDescent="0.25">
      <c r="A745">
        <v>744</v>
      </c>
      <c r="B745" s="5">
        <v>45695</v>
      </c>
      <c r="C745" t="s">
        <v>27</v>
      </c>
      <c r="D745" t="s">
        <v>172</v>
      </c>
      <c r="E745" t="s">
        <v>173</v>
      </c>
      <c r="F745" t="s">
        <v>50</v>
      </c>
      <c r="G745" s="6">
        <v>3545.42</v>
      </c>
      <c r="H745" s="7">
        <v>0.2</v>
      </c>
      <c r="I745" s="6">
        <v>709.08</v>
      </c>
      <c r="J745" s="6">
        <v>4254.5</v>
      </c>
      <c r="K745" t="s">
        <v>1556</v>
      </c>
      <c r="L745" t="s">
        <v>1557</v>
      </c>
    </row>
    <row r="746" spans="1:12" ht="15" customHeight="1" x14ac:dyDescent="0.25">
      <c r="A746">
        <v>745</v>
      </c>
      <c r="B746" s="5">
        <v>45924</v>
      </c>
      <c r="C746" t="s">
        <v>33</v>
      </c>
      <c r="D746" t="s">
        <v>100</v>
      </c>
      <c r="E746" t="s">
        <v>101</v>
      </c>
      <c r="F746" t="s">
        <v>44</v>
      </c>
      <c r="G746" s="6">
        <v>3012.34</v>
      </c>
      <c r="H746" s="7">
        <v>0</v>
      </c>
      <c r="I746" s="6">
        <v>0</v>
      </c>
      <c r="J746" s="6">
        <v>3012.34</v>
      </c>
      <c r="K746" t="s">
        <v>1558</v>
      </c>
      <c r="L746" t="s">
        <v>1559</v>
      </c>
    </row>
    <row r="747" spans="1:12" ht="15" customHeight="1" x14ac:dyDescent="0.25">
      <c r="A747">
        <v>746</v>
      </c>
      <c r="B747" s="5">
        <v>45705</v>
      </c>
      <c r="C747" t="s">
        <v>27</v>
      </c>
      <c r="D747" t="s">
        <v>172</v>
      </c>
      <c r="E747" t="s">
        <v>173</v>
      </c>
      <c r="F747" t="s">
        <v>71</v>
      </c>
      <c r="G747" s="6">
        <v>1624.36</v>
      </c>
      <c r="H747" s="7">
        <v>0.2</v>
      </c>
      <c r="I747" s="6">
        <v>324.87</v>
      </c>
      <c r="J747" s="6">
        <v>1949.23</v>
      </c>
      <c r="K747" t="s">
        <v>1560</v>
      </c>
      <c r="L747" t="s">
        <v>1561</v>
      </c>
    </row>
    <row r="748" spans="1:12" ht="15" customHeight="1" x14ac:dyDescent="0.25">
      <c r="A748">
        <v>747</v>
      </c>
      <c r="B748" s="5">
        <v>45769</v>
      </c>
      <c r="C748" t="s">
        <v>47</v>
      </c>
      <c r="D748" t="s">
        <v>55</v>
      </c>
      <c r="E748" t="s">
        <v>56</v>
      </c>
      <c r="F748" t="s">
        <v>84</v>
      </c>
      <c r="G748" s="6">
        <v>4280.3599999999997</v>
      </c>
      <c r="H748" s="7">
        <v>5.5E-2</v>
      </c>
      <c r="I748" s="6">
        <v>235.42</v>
      </c>
      <c r="J748" s="6">
        <v>4515.78</v>
      </c>
      <c r="K748" t="s">
        <v>1562</v>
      </c>
      <c r="L748" t="s">
        <v>1563</v>
      </c>
    </row>
    <row r="749" spans="1:12" ht="15" customHeight="1" x14ac:dyDescent="0.25">
      <c r="A749">
        <v>748</v>
      </c>
      <c r="B749" s="5">
        <v>45716</v>
      </c>
      <c r="C749" t="s">
        <v>47</v>
      </c>
      <c r="D749" t="s">
        <v>94</v>
      </c>
      <c r="E749" t="s">
        <v>95</v>
      </c>
      <c r="F749" t="s">
        <v>44</v>
      </c>
      <c r="G749" s="6">
        <v>1614.17</v>
      </c>
      <c r="H749" s="7">
        <v>0</v>
      </c>
      <c r="I749" s="6">
        <v>0</v>
      </c>
      <c r="J749" s="6">
        <v>1614.17</v>
      </c>
      <c r="K749" t="s">
        <v>1564</v>
      </c>
      <c r="L749" t="s">
        <v>1565</v>
      </c>
    </row>
    <row r="750" spans="1:12" ht="15" customHeight="1" x14ac:dyDescent="0.25">
      <c r="A750">
        <v>749</v>
      </c>
      <c r="B750" s="5">
        <v>45782</v>
      </c>
      <c r="C750" t="s">
        <v>27</v>
      </c>
      <c r="D750" t="s">
        <v>100</v>
      </c>
      <c r="E750" t="s">
        <v>101</v>
      </c>
      <c r="F750" t="s">
        <v>44</v>
      </c>
      <c r="G750" s="6">
        <v>3438.12</v>
      </c>
      <c r="H750" s="7">
        <v>0</v>
      </c>
      <c r="I750" s="6">
        <v>0</v>
      </c>
      <c r="J750" s="6">
        <v>3438.12</v>
      </c>
      <c r="K750" t="s">
        <v>1566</v>
      </c>
      <c r="L750" t="s">
        <v>1567</v>
      </c>
    </row>
    <row r="751" spans="1:12" ht="15" customHeight="1" x14ac:dyDescent="0.25">
      <c r="A751">
        <v>750</v>
      </c>
      <c r="B751" s="5">
        <v>45716</v>
      </c>
      <c r="C751" t="s">
        <v>47</v>
      </c>
      <c r="D751" t="s">
        <v>100</v>
      </c>
      <c r="E751" t="s">
        <v>101</v>
      </c>
      <c r="F751" t="s">
        <v>44</v>
      </c>
      <c r="G751" s="6">
        <v>3096.57</v>
      </c>
      <c r="H751" s="7">
        <v>0</v>
      </c>
      <c r="I751" s="6">
        <v>0</v>
      </c>
      <c r="J751" s="6">
        <v>3096.57</v>
      </c>
      <c r="K751" t="s">
        <v>1568</v>
      </c>
      <c r="L751" t="s">
        <v>1569</v>
      </c>
    </row>
    <row r="752" spans="1:12" ht="15" customHeight="1" x14ac:dyDescent="0.25">
      <c r="A752">
        <v>751</v>
      </c>
      <c r="B752" s="5">
        <v>45849</v>
      </c>
      <c r="C752" t="s">
        <v>33</v>
      </c>
      <c r="D752" t="s">
        <v>100</v>
      </c>
      <c r="E752" t="s">
        <v>101</v>
      </c>
      <c r="F752" t="s">
        <v>44</v>
      </c>
      <c r="G752" s="6">
        <v>3020.97</v>
      </c>
      <c r="H752" s="7">
        <v>0</v>
      </c>
      <c r="I752" s="6">
        <v>0</v>
      </c>
      <c r="J752" s="6">
        <v>3020.97</v>
      </c>
      <c r="K752" t="s">
        <v>1570</v>
      </c>
      <c r="L752" t="s">
        <v>1571</v>
      </c>
    </row>
    <row r="753" spans="1:13" ht="15" customHeight="1" x14ac:dyDescent="0.25">
      <c r="A753">
        <v>752</v>
      </c>
      <c r="B753" s="5">
        <v>45756</v>
      </c>
      <c r="C753" t="s">
        <v>33</v>
      </c>
      <c r="D753" t="s">
        <v>55</v>
      </c>
      <c r="E753" t="s">
        <v>56</v>
      </c>
      <c r="F753" t="s">
        <v>87</v>
      </c>
      <c r="G753" s="6">
        <v>1495.78</v>
      </c>
      <c r="H753" s="7">
        <v>5.5E-2</v>
      </c>
      <c r="I753" s="6">
        <v>82.27</v>
      </c>
      <c r="J753" s="6">
        <v>1578.05</v>
      </c>
      <c r="K753" t="s">
        <v>1572</v>
      </c>
      <c r="L753" t="s">
        <v>1573</v>
      </c>
    </row>
    <row r="754" spans="1:13" ht="15" customHeight="1" x14ac:dyDescent="0.25">
      <c r="A754">
        <v>753</v>
      </c>
      <c r="B754" s="5">
        <v>45933</v>
      </c>
      <c r="C754" t="s">
        <v>33</v>
      </c>
      <c r="D754" t="s">
        <v>94</v>
      </c>
      <c r="E754" t="s">
        <v>95</v>
      </c>
      <c r="F754" t="s">
        <v>44</v>
      </c>
      <c r="G754" s="6">
        <v>2067.33</v>
      </c>
      <c r="H754" s="7">
        <v>0</v>
      </c>
      <c r="I754" s="6">
        <v>0</v>
      </c>
      <c r="J754" s="6">
        <v>2067.33</v>
      </c>
      <c r="K754" t="s">
        <v>1574</v>
      </c>
      <c r="L754" t="s">
        <v>1575</v>
      </c>
    </row>
    <row r="755" spans="1:13" ht="15" customHeight="1" x14ac:dyDescent="0.25">
      <c r="A755">
        <v>754</v>
      </c>
      <c r="B755" s="5">
        <v>46008</v>
      </c>
      <c r="C755" t="s">
        <v>27</v>
      </c>
      <c r="D755" t="s">
        <v>181</v>
      </c>
      <c r="E755" t="s">
        <v>182</v>
      </c>
      <c r="F755" t="s">
        <v>87</v>
      </c>
      <c r="G755" s="6">
        <v>1955.01</v>
      </c>
      <c r="H755" s="7">
        <v>0.2</v>
      </c>
      <c r="I755" s="6">
        <v>391</v>
      </c>
      <c r="J755" s="6">
        <v>2346.0100000000002</v>
      </c>
      <c r="K755" t="s">
        <v>1576</v>
      </c>
      <c r="L755" t="s">
        <v>1577</v>
      </c>
    </row>
    <row r="756" spans="1:13" ht="15" customHeight="1" x14ac:dyDescent="0.25">
      <c r="A756">
        <v>755</v>
      </c>
      <c r="B756" s="5">
        <v>45880</v>
      </c>
      <c r="C756" t="s">
        <v>27</v>
      </c>
      <c r="D756" t="s">
        <v>42</v>
      </c>
      <c r="E756" t="s">
        <v>43</v>
      </c>
      <c r="F756" t="s">
        <v>44</v>
      </c>
      <c r="G756" s="6">
        <v>4055.4</v>
      </c>
      <c r="H756" s="7">
        <v>0</v>
      </c>
      <c r="I756" s="6">
        <v>0</v>
      </c>
      <c r="J756" s="6">
        <v>4055.4</v>
      </c>
      <c r="K756" t="s">
        <v>1578</v>
      </c>
      <c r="L756" t="s">
        <v>1579</v>
      </c>
    </row>
    <row r="757" spans="1:13" ht="15" customHeight="1" x14ac:dyDescent="0.25">
      <c r="A757">
        <v>756</v>
      </c>
      <c r="B757" s="5">
        <v>45827</v>
      </c>
      <c r="C757" t="s">
        <v>27</v>
      </c>
      <c r="D757" t="s">
        <v>28</v>
      </c>
      <c r="E757" t="s">
        <v>29</v>
      </c>
      <c r="F757" t="s">
        <v>87</v>
      </c>
      <c r="G757" s="6">
        <v>247.46</v>
      </c>
      <c r="H757" s="7">
        <v>2.1000000000000001E-2</v>
      </c>
      <c r="I757" s="6">
        <v>5.2</v>
      </c>
      <c r="J757" s="6">
        <v>252.66</v>
      </c>
      <c r="K757" t="s">
        <v>1580</v>
      </c>
      <c r="L757" t="s">
        <v>1581</v>
      </c>
    </row>
    <row r="758" spans="1:13" ht="15" customHeight="1" x14ac:dyDescent="0.25">
      <c r="A758">
        <v>757</v>
      </c>
      <c r="B758" s="5">
        <v>45943</v>
      </c>
      <c r="C758" t="s">
        <v>33</v>
      </c>
      <c r="D758" t="s">
        <v>42</v>
      </c>
      <c r="E758" t="s">
        <v>43</v>
      </c>
      <c r="F758" t="s">
        <v>44</v>
      </c>
      <c r="G758" s="6">
        <v>3771.89</v>
      </c>
      <c r="H758" s="7">
        <v>0</v>
      </c>
      <c r="I758" s="6">
        <v>0</v>
      </c>
      <c r="J758" s="6">
        <v>3771.89</v>
      </c>
      <c r="K758" t="s">
        <v>1582</v>
      </c>
      <c r="L758" t="s">
        <v>1583</v>
      </c>
    </row>
    <row r="759" spans="1:13" ht="15" customHeight="1" x14ac:dyDescent="0.25">
      <c r="A759">
        <v>758</v>
      </c>
      <c r="B759" s="5">
        <v>45980</v>
      </c>
      <c r="C759" t="s">
        <v>47</v>
      </c>
      <c r="D759" t="s">
        <v>63</v>
      </c>
      <c r="E759" t="s">
        <v>64</v>
      </c>
      <c r="F759" t="s">
        <v>50</v>
      </c>
      <c r="G759" s="6">
        <v>1867.66</v>
      </c>
      <c r="H759" s="7">
        <v>0.2</v>
      </c>
      <c r="I759" s="6">
        <v>373.53</v>
      </c>
      <c r="J759" s="6">
        <v>2241.19</v>
      </c>
      <c r="K759" t="s">
        <v>1584</v>
      </c>
      <c r="L759" t="s">
        <v>1585</v>
      </c>
    </row>
    <row r="760" spans="1:13" ht="15" customHeight="1" x14ac:dyDescent="0.25">
      <c r="A760">
        <v>759</v>
      </c>
      <c r="B760" s="5">
        <v>45931</v>
      </c>
      <c r="C760" t="s">
        <v>47</v>
      </c>
      <c r="D760" t="s">
        <v>34</v>
      </c>
      <c r="E760" t="s">
        <v>35</v>
      </c>
      <c r="F760" t="s">
        <v>81</v>
      </c>
      <c r="G760" s="6">
        <v>106.07</v>
      </c>
      <c r="H760" s="7">
        <v>0.2</v>
      </c>
      <c r="I760" s="6">
        <v>21.21</v>
      </c>
      <c r="J760" s="6">
        <v>127.28</v>
      </c>
      <c r="K760" t="s">
        <v>1586</v>
      </c>
      <c r="L760" t="s">
        <v>1587</v>
      </c>
    </row>
    <row r="761" spans="1:13" ht="15" customHeight="1" x14ac:dyDescent="0.25">
      <c r="A761">
        <v>760</v>
      </c>
      <c r="B761" s="5">
        <v>45957</v>
      </c>
      <c r="C761" t="s">
        <v>33</v>
      </c>
      <c r="D761" t="s">
        <v>42</v>
      </c>
      <c r="E761" t="s">
        <v>43</v>
      </c>
      <c r="F761" t="s">
        <v>44</v>
      </c>
      <c r="G761" s="6">
        <v>3835.8</v>
      </c>
      <c r="H761" s="7">
        <v>0</v>
      </c>
      <c r="I761" s="6">
        <v>0</v>
      </c>
      <c r="J761" s="6">
        <v>3835.8</v>
      </c>
      <c r="K761" t="s">
        <v>1588</v>
      </c>
      <c r="L761" t="s">
        <v>1589</v>
      </c>
    </row>
    <row r="762" spans="1:13" ht="15" customHeight="1" x14ac:dyDescent="0.25">
      <c r="A762">
        <v>761</v>
      </c>
      <c r="B762" s="5">
        <v>46009</v>
      </c>
      <c r="C762" t="s">
        <v>27</v>
      </c>
      <c r="D762" t="s">
        <v>28</v>
      </c>
      <c r="E762" t="s">
        <v>29</v>
      </c>
      <c r="F762" t="s">
        <v>87</v>
      </c>
      <c r="G762" s="6">
        <v>1411.97</v>
      </c>
      <c r="H762" s="7">
        <v>2.1000000000000001E-2</v>
      </c>
      <c r="I762" s="6">
        <v>29.65</v>
      </c>
      <c r="J762" s="6">
        <v>1441.62</v>
      </c>
      <c r="K762" t="s">
        <v>1590</v>
      </c>
      <c r="L762" t="s">
        <v>1591</v>
      </c>
    </row>
    <row r="763" spans="1:13" ht="15" customHeight="1" x14ac:dyDescent="0.25">
      <c r="A763">
        <v>762</v>
      </c>
      <c r="B763" s="5">
        <v>45996</v>
      </c>
      <c r="C763" t="s">
        <v>47</v>
      </c>
      <c r="D763" t="s">
        <v>63</v>
      </c>
      <c r="E763" t="s">
        <v>64</v>
      </c>
      <c r="F763" t="s">
        <v>30</v>
      </c>
      <c r="G763" s="6">
        <v>216.22</v>
      </c>
      <c r="H763" s="7">
        <v>0.2</v>
      </c>
      <c r="I763" s="6">
        <v>43.24</v>
      </c>
      <c r="J763" s="6">
        <v>259.45999999999998</v>
      </c>
      <c r="K763" t="s">
        <v>1592</v>
      </c>
      <c r="L763" t="s">
        <v>1593</v>
      </c>
    </row>
    <row r="764" spans="1:13" ht="15" customHeight="1" x14ac:dyDescent="0.25">
      <c r="A764">
        <v>763</v>
      </c>
      <c r="B764" s="5">
        <v>45937</v>
      </c>
      <c r="C764" t="s">
        <v>33</v>
      </c>
      <c r="D764" t="s">
        <v>28</v>
      </c>
      <c r="E764" t="s">
        <v>29</v>
      </c>
      <c r="F764" t="s">
        <v>120</v>
      </c>
      <c r="G764" s="6">
        <v>1383.8</v>
      </c>
      <c r="H764" s="7">
        <v>2.1000000000000001E-2</v>
      </c>
      <c r="I764" s="6">
        <v>29.06</v>
      </c>
      <c r="J764" s="6">
        <v>1412.86</v>
      </c>
      <c r="K764" t="s">
        <v>1594</v>
      </c>
      <c r="L764" t="s">
        <v>1595</v>
      </c>
    </row>
    <row r="765" spans="1:13" ht="15" customHeight="1" x14ac:dyDescent="0.25">
      <c r="A765">
        <v>764</v>
      </c>
      <c r="B765" s="5">
        <v>45989</v>
      </c>
      <c r="C765" t="s">
        <v>47</v>
      </c>
      <c r="D765" t="s">
        <v>34</v>
      </c>
      <c r="E765" t="s">
        <v>35</v>
      </c>
      <c r="F765" t="s">
        <v>39</v>
      </c>
      <c r="G765" s="6">
        <v>1729.24</v>
      </c>
      <c r="H765" s="7">
        <v>0.2</v>
      </c>
      <c r="I765" s="6">
        <v>345.85</v>
      </c>
      <c r="J765" s="6">
        <v>2075.09</v>
      </c>
      <c r="K765" t="s">
        <v>1596</v>
      </c>
      <c r="L765" t="s">
        <v>1597</v>
      </c>
    </row>
    <row r="766" spans="1:13" ht="15" customHeight="1" x14ac:dyDescent="0.25">
      <c r="A766">
        <v>765</v>
      </c>
      <c r="B766" s="5">
        <v>45679</v>
      </c>
      <c r="C766" t="s">
        <v>27</v>
      </c>
      <c r="D766" t="s">
        <v>28</v>
      </c>
      <c r="E766" t="s">
        <v>29</v>
      </c>
      <c r="F766" t="s">
        <v>84</v>
      </c>
      <c r="G766" s="6">
        <v>102.23</v>
      </c>
      <c r="H766" s="7">
        <v>2.1000000000000001E-2</v>
      </c>
      <c r="I766" s="6">
        <v>2.15</v>
      </c>
      <c r="J766" s="6">
        <v>104.38</v>
      </c>
      <c r="K766" t="s">
        <v>1598</v>
      </c>
      <c r="L766" t="s">
        <v>1599</v>
      </c>
    </row>
    <row r="767" spans="1:13" ht="15" customHeight="1" x14ac:dyDescent="0.25">
      <c r="A767">
        <v>766</v>
      </c>
      <c r="B767" s="5">
        <v>45701</v>
      </c>
      <c r="C767" t="s">
        <v>27</v>
      </c>
      <c r="D767" t="s">
        <v>172</v>
      </c>
      <c r="E767" t="s">
        <v>173</v>
      </c>
      <c r="F767" t="s">
        <v>81</v>
      </c>
      <c r="G767" s="6">
        <v>1426.73</v>
      </c>
      <c r="H767" s="7">
        <v>0.2</v>
      </c>
      <c r="I767" s="6">
        <v>285.35000000000002</v>
      </c>
      <c r="J767" s="6">
        <v>1712.08</v>
      </c>
      <c r="K767" t="s">
        <v>1600</v>
      </c>
      <c r="L767" t="s">
        <v>1601</v>
      </c>
    </row>
    <row r="768" spans="1:13" ht="15" customHeight="1" x14ac:dyDescent="0.25">
      <c r="A768">
        <v>767</v>
      </c>
      <c r="B768" s="5">
        <v>45869</v>
      </c>
      <c r="C768" t="s">
        <v>27</v>
      </c>
      <c r="D768" t="s">
        <v>55</v>
      </c>
      <c r="E768" t="s">
        <v>56</v>
      </c>
      <c r="F768" t="s">
        <v>106</v>
      </c>
      <c r="G768" s="6">
        <v>13000</v>
      </c>
      <c r="H768" s="7">
        <v>5.5E-2</v>
      </c>
      <c r="I768" s="6">
        <v>715</v>
      </c>
      <c r="J768" s="6">
        <v>13715</v>
      </c>
      <c r="K768" t="s">
        <v>1602</v>
      </c>
      <c r="L768" t="s">
        <v>1603</v>
      </c>
      <c r="M768" t="s">
        <v>143</v>
      </c>
    </row>
    <row r="769" spans="1:13" ht="15" customHeight="1" x14ac:dyDescent="0.25">
      <c r="A769">
        <v>768</v>
      </c>
      <c r="B769" s="5">
        <v>45973</v>
      </c>
      <c r="C769" t="s">
        <v>33</v>
      </c>
      <c r="D769" t="s">
        <v>28</v>
      </c>
      <c r="E769" t="s">
        <v>29</v>
      </c>
      <c r="F769" t="s">
        <v>71</v>
      </c>
      <c r="G769" s="6">
        <v>3769.59</v>
      </c>
      <c r="H769" s="7">
        <v>2.1000000000000001E-2</v>
      </c>
      <c r="I769" s="6">
        <v>79.16</v>
      </c>
      <c r="J769" s="6">
        <v>3848.75</v>
      </c>
      <c r="K769" t="s">
        <v>1604</v>
      </c>
      <c r="L769" t="s">
        <v>1605</v>
      </c>
      <c r="M769" t="s">
        <v>286</v>
      </c>
    </row>
    <row r="770" spans="1:13" ht="15" customHeight="1" x14ac:dyDescent="0.25">
      <c r="A770">
        <v>769</v>
      </c>
      <c r="B770" s="5">
        <v>45685</v>
      </c>
      <c r="C770" t="s">
        <v>33</v>
      </c>
      <c r="D770" t="s">
        <v>34</v>
      </c>
      <c r="E770" t="s">
        <v>35</v>
      </c>
      <c r="F770" t="s">
        <v>106</v>
      </c>
      <c r="G770" s="6">
        <v>3843.13</v>
      </c>
      <c r="H770" s="7">
        <v>0.2</v>
      </c>
      <c r="I770" s="6">
        <v>768.63</v>
      </c>
      <c r="J770" s="6">
        <v>4611.76</v>
      </c>
      <c r="K770" t="s">
        <v>1606</v>
      </c>
      <c r="L770" t="s">
        <v>1607</v>
      </c>
    </row>
    <row r="771" spans="1:13" ht="15" customHeight="1" x14ac:dyDescent="0.25">
      <c r="A771">
        <v>770</v>
      </c>
      <c r="B771" s="5">
        <v>45806</v>
      </c>
      <c r="C771" t="s">
        <v>27</v>
      </c>
      <c r="D771" t="s">
        <v>172</v>
      </c>
      <c r="E771" t="s">
        <v>173</v>
      </c>
      <c r="F771" t="s">
        <v>174</v>
      </c>
      <c r="G771" s="6">
        <v>3048.85</v>
      </c>
      <c r="H771" s="7">
        <v>0.2</v>
      </c>
      <c r="I771" s="6">
        <v>609.77</v>
      </c>
      <c r="J771" s="6">
        <v>3658.62</v>
      </c>
      <c r="K771" t="s">
        <v>1608</v>
      </c>
      <c r="L771" t="s">
        <v>1609</v>
      </c>
    </row>
    <row r="772" spans="1:13" ht="15" customHeight="1" x14ac:dyDescent="0.25">
      <c r="A772">
        <v>771</v>
      </c>
      <c r="B772" s="5">
        <v>45827</v>
      </c>
      <c r="C772" t="s">
        <v>33</v>
      </c>
      <c r="D772" t="s">
        <v>42</v>
      </c>
      <c r="E772" t="s">
        <v>43</v>
      </c>
      <c r="F772" t="s">
        <v>44</v>
      </c>
      <c r="G772" s="6">
        <v>3411.11</v>
      </c>
      <c r="H772" s="7">
        <v>0</v>
      </c>
      <c r="I772" s="6">
        <v>0</v>
      </c>
      <c r="J772" s="6">
        <v>3411.11</v>
      </c>
      <c r="K772" t="s">
        <v>1610</v>
      </c>
      <c r="L772" t="s">
        <v>1611</v>
      </c>
    </row>
    <row r="773" spans="1:13" ht="15" customHeight="1" x14ac:dyDescent="0.25">
      <c r="A773">
        <v>772</v>
      </c>
      <c r="B773" s="5">
        <v>45693</v>
      </c>
      <c r="C773" t="s">
        <v>33</v>
      </c>
      <c r="D773" t="s">
        <v>55</v>
      </c>
      <c r="E773" t="s">
        <v>56</v>
      </c>
      <c r="F773" t="s">
        <v>50</v>
      </c>
      <c r="G773" s="6">
        <v>4058.52</v>
      </c>
      <c r="H773" s="7">
        <v>5.5E-2</v>
      </c>
      <c r="I773" s="6">
        <v>223.22</v>
      </c>
      <c r="J773" s="6">
        <v>4281.74</v>
      </c>
      <c r="K773" t="s">
        <v>1612</v>
      </c>
      <c r="L773" t="s">
        <v>1613</v>
      </c>
    </row>
    <row r="774" spans="1:13" ht="15" customHeight="1" x14ac:dyDescent="0.25">
      <c r="A774">
        <v>773</v>
      </c>
      <c r="B774" s="5">
        <v>45995</v>
      </c>
      <c r="C774" t="s">
        <v>47</v>
      </c>
      <c r="D774" t="s">
        <v>55</v>
      </c>
      <c r="E774" t="s">
        <v>56</v>
      </c>
      <c r="F774" t="s">
        <v>84</v>
      </c>
      <c r="G774" s="6">
        <v>1431.09</v>
      </c>
      <c r="H774" s="7">
        <v>5.5E-2</v>
      </c>
      <c r="I774" s="6">
        <v>78.709999999999994</v>
      </c>
      <c r="J774" s="6">
        <v>1509.8</v>
      </c>
      <c r="K774" t="s">
        <v>1614</v>
      </c>
      <c r="L774" t="s">
        <v>1615</v>
      </c>
    </row>
    <row r="775" spans="1:13" ht="15" customHeight="1" x14ac:dyDescent="0.25">
      <c r="A775">
        <v>774</v>
      </c>
      <c r="B775" s="5">
        <v>45819</v>
      </c>
      <c r="C775" t="s">
        <v>27</v>
      </c>
      <c r="D775" t="s">
        <v>172</v>
      </c>
      <c r="E775" t="s">
        <v>173</v>
      </c>
      <c r="F775" t="s">
        <v>30</v>
      </c>
      <c r="G775" s="6">
        <v>4317.2700000000004</v>
      </c>
      <c r="H775" s="7">
        <v>0.2</v>
      </c>
      <c r="I775" s="6">
        <v>863.45</v>
      </c>
      <c r="J775" s="6">
        <v>5180.72</v>
      </c>
      <c r="K775" t="s">
        <v>1616</v>
      </c>
      <c r="L775" t="s">
        <v>1617</v>
      </c>
    </row>
    <row r="776" spans="1:13" ht="15" customHeight="1" x14ac:dyDescent="0.25">
      <c r="A776">
        <v>775</v>
      </c>
      <c r="B776" s="5">
        <v>45771</v>
      </c>
      <c r="C776" t="s">
        <v>47</v>
      </c>
      <c r="D776" t="s">
        <v>55</v>
      </c>
      <c r="E776" t="s">
        <v>56</v>
      </c>
      <c r="F776" t="s">
        <v>120</v>
      </c>
      <c r="G776" s="6">
        <v>3227.92</v>
      </c>
      <c r="H776" s="7">
        <v>5.5E-2</v>
      </c>
      <c r="I776" s="6">
        <v>177.54</v>
      </c>
      <c r="J776" s="6">
        <v>3405.46</v>
      </c>
      <c r="K776" t="s">
        <v>1618</v>
      </c>
      <c r="L776" t="s">
        <v>1619</v>
      </c>
    </row>
    <row r="777" spans="1:13" ht="15" customHeight="1" x14ac:dyDescent="0.25">
      <c r="A777">
        <v>776</v>
      </c>
      <c r="B777" s="5">
        <v>45726</v>
      </c>
      <c r="C777" t="s">
        <v>47</v>
      </c>
      <c r="D777" t="s">
        <v>42</v>
      </c>
      <c r="E777" t="s">
        <v>43</v>
      </c>
      <c r="F777" t="s">
        <v>44</v>
      </c>
      <c r="G777" s="6">
        <v>2595.75</v>
      </c>
      <c r="H777" s="7">
        <v>0</v>
      </c>
      <c r="I777" s="6">
        <v>0</v>
      </c>
      <c r="J777" s="6">
        <v>2595.75</v>
      </c>
      <c r="K777" t="s">
        <v>1620</v>
      </c>
      <c r="L777" t="s">
        <v>1621</v>
      </c>
    </row>
    <row r="778" spans="1:13" ht="15" customHeight="1" x14ac:dyDescent="0.25">
      <c r="A778">
        <v>777</v>
      </c>
      <c r="B778" s="5">
        <v>45814</v>
      </c>
      <c r="C778" t="s">
        <v>47</v>
      </c>
      <c r="D778" t="s">
        <v>79</v>
      </c>
      <c r="E778" t="s">
        <v>80</v>
      </c>
      <c r="F778" t="s">
        <v>87</v>
      </c>
      <c r="G778" s="6">
        <v>2232.41</v>
      </c>
      <c r="H778" s="7">
        <v>0.2</v>
      </c>
      <c r="I778" s="6">
        <v>446.48</v>
      </c>
      <c r="J778" s="6">
        <v>2678.89</v>
      </c>
      <c r="K778" t="s">
        <v>1622</v>
      </c>
      <c r="L778" t="s">
        <v>1623</v>
      </c>
    </row>
    <row r="779" spans="1:13" ht="15" customHeight="1" x14ac:dyDescent="0.25">
      <c r="A779">
        <v>778</v>
      </c>
      <c r="B779" s="5">
        <v>45729</v>
      </c>
      <c r="C779" t="s">
        <v>27</v>
      </c>
      <c r="D779" t="s">
        <v>172</v>
      </c>
      <c r="E779" t="s">
        <v>173</v>
      </c>
      <c r="F779" t="s">
        <v>71</v>
      </c>
      <c r="G779" s="6">
        <v>4019.53</v>
      </c>
      <c r="H779" s="7">
        <v>0.2</v>
      </c>
      <c r="I779" s="6">
        <v>803.91</v>
      </c>
      <c r="J779" s="6">
        <v>4823.4399999999996</v>
      </c>
      <c r="K779" t="s">
        <v>1624</v>
      </c>
      <c r="L779" t="s">
        <v>1625</v>
      </c>
    </row>
    <row r="780" spans="1:13" ht="15" customHeight="1" x14ac:dyDescent="0.25">
      <c r="A780">
        <v>779</v>
      </c>
      <c r="B780" s="5">
        <v>45667</v>
      </c>
      <c r="C780" t="s">
        <v>27</v>
      </c>
      <c r="D780" t="s">
        <v>100</v>
      </c>
      <c r="E780" t="s">
        <v>101</v>
      </c>
      <c r="F780" t="s">
        <v>44</v>
      </c>
      <c r="G780" s="6">
        <v>3315.9</v>
      </c>
      <c r="H780" s="7">
        <v>0</v>
      </c>
      <c r="I780" s="6">
        <v>0</v>
      </c>
      <c r="J780" s="6">
        <v>3315.9</v>
      </c>
      <c r="K780" t="s">
        <v>1626</v>
      </c>
      <c r="L780" t="s">
        <v>1627</v>
      </c>
    </row>
    <row r="781" spans="1:13" ht="15" customHeight="1" x14ac:dyDescent="0.25">
      <c r="A781">
        <v>780</v>
      </c>
      <c r="B781" s="5">
        <v>45960</v>
      </c>
      <c r="C781" t="s">
        <v>27</v>
      </c>
      <c r="D781" t="s">
        <v>172</v>
      </c>
      <c r="E781" t="s">
        <v>173</v>
      </c>
      <c r="F781" t="s">
        <v>39</v>
      </c>
      <c r="G781" s="6">
        <v>1020.4</v>
      </c>
      <c r="H781" s="7">
        <v>0.2</v>
      </c>
      <c r="I781" s="6">
        <v>204.08</v>
      </c>
      <c r="J781" s="6">
        <v>1224.48</v>
      </c>
      <c r="K781" t="s">
        <v>1628</v>
      </c>
      <c r="L781" t="s">
        <v>1629</v>
      </c>
    </row>
    <row r="782" spans="1:13" ht="15" customHeight="1" x14ac:dyDescent="0.25">
      <c r="A782">
        <v>781</v>
      </c>
      <c r="B782" s="5">
        <v>45992</v>
      </c>
      <c r="C782" t="s">
        <v>47</v>
      </c>
      <c r="D782" t="s">
        <v>172</v>
      </c>
      <c r="E782" t="s">
        <v>173</v>
      </c>
      <c r="F782" t="s">
        <v>50</v>
      </c>
      <c r="G782" s="6">
        <v>3506.37</v>
      </c>
      <c r="H782" s="7">
        <v>0.2</v>
      </c>
      <c r="I782" s="6">
        <v>701.27</v>
      </c>
      <c r="J782" s="6">
        <v>4207.6400000000003</v>
      </c>
      <c r="K782" t="s">
        <v>1630</v>
      </c>
      <c r="L782" t="s">
        <v>1631</v>
      </c>
    </row>
    <row r="783" spans="1:13" ht="15" customHeight="1" x14ac:dyDescent="0.25">
      <c r="A783">
        <v>782</v>
      </c>
      <c r="B783" s="5">
        <v>45959</v>
      </c>
      <c r="C783" t="s">
        <v>33</v>
      </c>
      <c r="D783" t="s">
        <v>100</v>
      </c>
      <c r="E783" t="s">
        <v>101</v>
      </c>
      <c r="F783" t="s">
        <v>44</v>
      </c>
      <c r="G783" s="6">
        <v>2498.4</v>
      </c>
      <c r="H783" s="7">
        <v>0</v>
      </c>
      <c r="I783" s="6">
        <v>0</v>
      </c>
      <c r="J783" s="6">
        <v>2498.4</v>
      </c>
      <c r="K783" t="s">
        <v>1632</v>
      </c>
      <c r="L783" t="s">
        <v>1633</v>
      </c>
    </row>
    <row r="784" spans="1:13" ht="15" customHeight="1" x14ac:dyDescent="0.25">
      <c r="A784">
        <v>783</v>
      </c>
      <c r="B784" s="5">
        <v>45861</v>
      </c>
      <c r="C784" t="s">
        <v>27</v>
      </c>
      <c r="D784" t="s">
        <v>172</v>
      </c>
      <c r="E784" t="s">
        <v>173</v>
      </c>
      <c r="F784" t="s">
        <v>39</v>
      </c>
      <c r="G784" s="6">
        <v>1688.29</v>
      </c>
      <c r="H784" s="7">
        <v>0.2</v>
      </c>
      <c r="I784" s="6">
        <v>337.66</v>
      </c>
      <c r="J784" s="6">
        <v>2025.95</v>
      </c>
      <c r="K784" t="s">
        <v>1634</v>
      </c>
      <c r="L784" t="s">
        <v>1635</v>
      </c>
    </row>
    <row r="785" spans="1:12" ht="15" customHeight="1" x14ac:dyDescent="0.25">
      <c r="A785">
        <v>784</v>
      </c>
      <c r="B785" s="5">
        <v>45972</v>
      </c>
      <c r="C785" t="s">
        <v>33</v>
      </c>
      <c r="D785" t="s">
        <v>42</v>
      </c>
      <c r="E785" t="s">
        <v>43</v>
      </c>
      <c r="F785" t="s">
        <v>44</v>
      </c>
      <c r="G785" s="6">
        <v>3617.29</v>
      </c>
      <c r="H785" s="7">
        <v>0</v>
      </c>
      <c r="I785" s="6">
        <v>0</v>
      </c>
      <c r="J785" s="6">
        <v>3617.29</v>
      </c>
      <c r="K785" t="s">
        <v>1636</v>
      </c>
      <c r="L785" t="s">
        <v>1637</v>
      </c>
    </row>
    <row r="786" spans="1:12" ht="15" customHeight="1" x14ac:dyDescent="0.25">
      <c r="A786">
        <v>785</v>
      </c>
      <c r="B786" s="5">
        <v>45947</v>
      </c>
      <c r="C786" t="s">
        <v>47</v>
      </c>
      <c r="D786" t="s">
        <v>28</v>
      </c>
      <c r="E786" t="s">
        <v>29</v>
      </c>
      <c r="F786" t="s">
        <v>120</v>
      </c>
      <c r="G786" s="6">
        <v>4273.3100000000004</v>
      </c>
      <c r="H786" s="7">
        <v>2.1000000000000001E-2</v>
      </c>
      <c r="I786" s="6">
        <v>89.74</v>
      </c>
      <c r="J786" s="6">
        <v>4363.05</v>
      </c>
      <c r="K786" t="s">
        <v>1638</v>
      </c>
      <c r="L786" t="s">
        <v>1639</v>
      </c>
    </row>
    <row r="787" spans="1:12" ht="15" customHeight="1" x14ac:dyDescent="0.25">
      <c r="A787">
        <v>786</v>
      </c>
      <c r="B787" s="5">
        <v>45841</v>
      </c>
      <c r="C787" t="s">
        <v>27</v>
      </c>
      <c r="D787" t="s">
        <v>42</v>
      </c>
      <c r="E787" t="s">
        <v>43</v>
      </c>
      <c r="F787" t="s">
        <v>44</v>
      </c>
      <c r="G787" s="6">
        <v>3627.53</v>
      </c>
      <c r="H787" s="7">
        <v>0</v>
      </c>
      <c r="I787" s="6">
        <v>0</v>
      </c>
      <c r="J787" s="6">
        <v>3627.53</v>
      </c>
      <c r="K787" t="s">
        <v>1640</v>
      </c>
      <c r="L787" t="s">
        <v>1641</v>
      </c>
    </row>
    <row r="788" spans="1:12" ht="15" customHeight="1" x14ac:dyDescent="0.25">
      <c r="A788">
        <v>787</v>
      </c>
      <c r="B788" s="5">
        <v>45777</v>
      </c>
      <c r="C788" t="s">
        <v>33</v>
      </c>
      <c r="D788" t="s">
        <v>55</v>
      </c>
      <c r="E788" t="s">
        <v>56</v>
      </c>
      <c r="F788" t="s">
        <v>71</v>
      </c>
      <c r="G788" s="6">
        <v>269.20999999999998</v>
      </c>
      <c r="H788" s="7">
        <v>5.5E-2</v>
      </c>
      <c r="I788" s="6">
        <v>14.81</v>
      </c>
      <c r="J788" s="6">
        <v>284.02</v>
      </c>
      <c r="K788" t="s">
        <v>1642</v>
      </c>
      <c r="L788" t="s">
        <v>1643</v>
      </c>
    </row>
    <row r="789" spans="1:12" ht="15" customHeight="1" x14ac:dyDescent="0.25">
      <c r="A789">
        <v>788</v>
      </c>
      <c r="B789" s="5">
        <v>45890</v>
      </c>
      <c r="C789" t="s">
        <v>47</v>
      </c>
      <c r="D789" t="s">
        <v>63</v>
      </c>
      <c r="E789" t="s">
        <v>64</v>
      </c>
      <c r="F789" t="s">
        <v>39</v>
      </c>
      <c r="G789" s="6">
        <v>3976.46</v>
      </c>
      <c r="H789" s="7">
        <v>0.2</v>
      </c>
      <c r="I789" s="6">
        <v>795.29</v>
      </c>
      <c r="J789" s="6">
        <v>4771.75</v>
      </c>
      <c r="K789" t="s">
        <v>1644</v>
      </c>
      <c r="L789" t="s">
        <v>1645</v>
      </c>
    </row>
    <row r="790" spans="1:12" ht="15" customHeight="1" x14ac:dyDescent="0.25">
      <c r="A790">
        <v>789</v>
      </c>
      <c r="B790" s="5">
        <v>45924</v>
      </c>
      <c r="C790" t="s">
        <v>47</v>
      </c>
      <c r="D790" t="s">
        <v>28</v>
      </c>
      <c r="E790" t="s">
        <v>29</v>
      </c>
      <c r="F790" t="s">
        <v>174</v>
      </c>
      <c r="G790" s="6">
        <v>2880.37</v>
      </c>
      <c r="H790" s="7">
        <v>2.1000000000000001E-2</v>
      </c>
      <c r="I790" s="6">
        <v>60.49</v>
      </c>
      <c r="J790" s="6">
        <v>2940.86</v>
      </c>
      <c r="K790" t="s">
        <v>1646</v>
      </c>
      <c r="L790" t="s">
        <v>1647</v>
      </c>
    </row>
    <row r="791" spans="1:12" ht="15" customHeight="1" x14ac:dyDescent="0.25">
      <c r="A791">
        <v>790</v>
      </c>
      <c r="B791" s="5">
        <v>45936</v>
      </c>
      <c r="C791" t="s">
        <v>27</v>
      </c>
      <c r="D791" t="s">
        <v>55</v>
      </c>
      <c r="E791" t="s">
        <v>56</v>
      </c>
      <c r="F791" t="s">
        <v>36</v>
      </c>
      <c r="G791" s="6">
        <v>2600.11</v>
      </c>
      <c r="H791" s="7">
        <v>5.5E-2</v>
      </c>
      <c r="I791" s="6">
        <v>143.01</v>
      </c>
      <c r="J791" s="6">
        <v>2743.12</v>
      </c>
      <c r="K791" t="s">
        <v>1648</v>
      </c>
      <c r="L791" t="s">
        <v>1649</v>
      </c>
    </row>
    <row r="792" spans="1:12" ht="15" customHeight="1" x14ac:dyDescent="0.25">
      <c r="A792">
        <v>791</v>
      </c>
      <c r="B792" s="5">
        <v>45992</v>
      </c>
      <c r="C792" t="s">
        <v>47</v>
      </c>
      <c r="D792" t="s">
        <v>55</v>
      </c>
      <c r="E792" t="s">
        <v>56</v>
      </c>
      <c r="F792" t="s">
        <v>87</v>
      </c>
      <c r="G792" s="6">
        <v>4050.16</v>
      </c>
      <c r="H792" s="7">
        <v>5.5E-2</v>
      </c>
      <c r="I792" s="6">
        <v>222.76</v>
      </c>
      <c r="J792" s="6">
        <v>4272.92</v>
      </c>
      <c r="K792" t="s">
        <v>1650</v>
      </c>
      <c r="L792" t="s">
        <v>1651</v>
      </c>
    </row>
    <row r="793" spans="1:12" ht="15" customHeight="1" x14ac:dyDescent="0.25">
      <c r="A793">
        <v>792</v>
      </c>
      <c r="B793" s="5">
        <v>45772</v>
      </c>
      <c r="C793" t="s">
        <v>47</v>
      </c>
      <c r="D793" t="s">
        <v>63</v>
      </c>
      <c r="E793" t="s">
        <v>64</v>
      </c>
      <c r="F793" t="s">
        <v>50</v>
      </c>
      <c r="G793" s="6">
        <v>2362.36</v>
      </c>
      <c r="H793" s="7">
        <v>0.2</v>
      </c>
      <c r="I793" s="6">
        <v>472.47</v>
      </c>
      <c r="J793" s="6">
        <v>2834.83</v>
      </c>
      <c r="K793" t="s">
        <v>1652</v>
      </c>
      <c r="L793" t="s">
        <v>1653</v>
      </c>
    </row>
    <row r="794" spans="1:12" ht="15" customHeight="1" x14ac:dyDescent="0.25">
      <c r="A794">
        <v>793</v>
      </c>
      <c r="B794" s="5">
        <v>45904</v>
      </c>
      <c r="C794" t="s">
        <v>47</v>
      </c>
      <c r="D794" t="s">
        <v>79</v>
      </c>
      <c r="E794" t="s">
        <v>80</v>
      </c>
      <c r="F794" t="s">
        <v>39</v>
      </c>
      <c r="G794" s="6">
        <v>4001.3</v>
      </c>
      <c r="H794" s="7">
        <v>0.2</v>
      </c>
      <c r="I794" s="6">
        <v>800.26</v>
      </c>
      <c r="J794" s="6">
        <v>4801.5600000000004</v>
      </c>
      <c r="K794" t="s">
        <v>1654</v>
      </c>
      <c r="L794" t="s">
        <v>1655</v>
      </c>
    </row>
    <row r="795" spans="1:12" ht="15" customHeight="1" x14ac:dyDescent="0.25">
      <c r="A795">
        <v>794</v>
      </c>
      <c r="B795" s="5">
        <v>45775</v>
      </c>
      <c r="C795" t="s">
        <v>33</v>
      </c>
      <c r="D795" t="s">
        <v>79</v>
      </c>
      <c r="E795" t="s">
        <v>80</v>
      </c>
      <c r="F795" t="s">
        <v>120</v>
      </c>
      <c r="G795" s="6">
        <v>420.73</v>
      </c>
      <c r="H795" s="7">
        <v>0.2</v>
      </c>
      <c r="I795" s="6">
        <v>84.15</v>
      </c>
      <c r="J795" s="6">
        <v>504.88</v>
      </c>
      <c r="K795" t="s">
        <v>1656</v>
      </c>
      <c r="L795" t="s">
        <v>1657</v>
      </c>
    </row>
    <row r="796" spans="1:12" ht="15" customHeight="1" x14ac:dyDescent="0.25">
      <c r="A796">
        <v>795</v>
      </c>
      <c r="B796" s="5">
        <v>45966</v>
      </c>
      <c r="C796" t="s">
        <v>33</v>
      </c>
      <c r="D796" t="s">
        <v>28</v>
      </c>
      <c r="E796" t="s">
        <v>29</v>
      </c>
      <c r="F796" t="s">
        <v>87</v>
      </c>
      <c r="G796" s="6">
        <v>3250.48</v>
      </c>
      <c r="H796" s="7">
        <v>2.1000000000000001E-2</v>
      </c>
      <c r="I796" s="6">
        <v>68.260000000000005</v>
      </c>
      <c r="J796" s="6">
        <v>3318.74</v>
      </c>
      <c r="K796" t="s">
        <v>1658</v>
      </c>
      <c r="L796" t="s">
        <v>1659</v>
      </c>
    </row>
    <row r="797" spans="1:12" ht="15" customHeight="1" x14ac:dyDescent="0.25">
      <c r="A797">
        <v>796</v>
      </c>
      <c r="B797" s="5">
        <v>45827</v>
      </c>
      <c r="C797" t="s">
        <v>33</v>
      </c>
      <c r="D797" t="s">
        <v>63</v>
      </c>
      <c r="E797" t="s">
        <v>64</v>
      </c>
      <c r="F797" t="s">
        <v>76</v>
      </c>
      <c r="G797" s="6">
        <v>3263.53</v>
      </c>
      <c r="H797" s="7">
        <v>0.2</v>
      </c>
      <c r="I797" s="6">
        <v>652.71</v>
      </c>
      <c r="J797" s="6">
        <v>3916.24</v>
      </c>
      <c r="K797" t="s">
        <v>1660</v>
      </c>
      <c r="L797" t="s">
        <v>1661</v>
      </c>
    </row>
    <row r="798" spans="1:12" ht="15" customHeight="1" x14ac:dyDescent="0.25">
      <c r="A798">
        <v>797</v>
      </c>
      <c r="B798" s="5">
        <v>45960</v>
      </c>
      <c r="C798" t="s">
        <v>47</v>
      </c>
      <c r="D798" t="s">
        <v>79</v>
      </c>
      <c r="E798" t="s">
        <v>80</v>
      </c>
      <c r="F798" t="s">
        <v>36</v>
      </c>
      <c r="G798" s="6">
        <v>792.71</v>
      </c>
      <c r="H798" s="7">
        <v>0.2</v>
      </c>
      <c r="I798" s="6">
        <v>158.54</v>
      </c>
      <c r="J798" s="6">
        <v>951.25</v>
      </c>
      <c r="K798" t="s">
        <v>1662</v>
      </c>
      <c r="L798" t="s">
        <v>1663</v>
      </c>
    </row>
    <row r="799" spans="1:12" ht="15" customHeight="1" x14ac:dyDescent="0.25">
      <c r="A799">
        <v>798</v>
      </c>
      <c r="B799" s="5">
        <v>45951</v>
      </c>
      <c r="C799" t="s">
        <v>33</v>
      </c>
      <c r="D799" t="s">
        <v>28</v>
      </c>
      <c r="E799" t="s">
        <v>29</v>
      </c>
      <c r="F799" t="s">
        <v>30</v>
      </c>
      <c r="G799" s="6">
        <v>2698.18</v>
      </c>
      <c r="H799" s="7">
        <v>2.1000000000000001E-2</v>
      </c>
      <c r="I799" s="6">
        <v>56.66</v>
      </c>
      <c r="J799" s="6">
        <v>2754.84</v>
      </c>
      <c r="K799" t="s">
        <v>1664</v>
      </c>
      <c r="L799" t="s">
        <v>1665</v>
      </c>
    </row>
    <row r="800" spans="1:12" ht="15" customHeight="1" x14ac:dyDescent="0.25">
      <c r="A800">
        <v>799</v>
      </c>
      <c r="B800" s="5">
        <v>45951</v>
      </c>
      <c r="C800" t="s">
        <v>27</v>
      </c>
      <c r="D800" t="s">
        <v>28</v>
      </c>
      <c r="E800" t="s">
        <v>29</v>
      </c>
      <c r="F800" t="s">
        <v>30</v>
      </c>
      <c r="G800" s="6">
        <v>729.14</v>
      </c>
      <c r="H800" s="7">
        <v>2.1000000000000001E-2</v>
      </c>
      <c r="I800" s="6">
        <v>15.31</v>
      </c>
      <c r="J800" s="6">
        <v>744.45</v>
      </c>
      <c r="K800" t="s">
        <v>1666</v>
      </c>
      <c r="L800" t="s">
        <v>1667</v>
      </c>
    </row>
    <row r="801" spans="1:13" ht="15" customHeight="1" x14ac:dyDescent="0.25">
      <c r="A801">
        <v>800</v>
      </c>
      <c r="B801" s="5">
        <v>45964</v>
      </c>
      <c r="C801" t="s">
        <v>33</v>
      </c>
      <c r="D801" t="s">
        <v>172</v>
      </c>
      <c r="E801" t="s">
        <v>173</v>
      </c>
      <c r="F801" t="s">
        <v>120</v>
      </c>
      <c r="G801" s="6">
        <v>4364.0600000000004</v>
      </c>
      <c r="H801" s="7">
        <v>0.2</v>
      </c>
      <c r="I801" s="6">
        <v>872.81</v>
      </c>
      <c r="J801" s="6">
        <v>5236.87</v>
      </c>
      <c r="K801" t="s">
        <v>1668</v>
      </c>
      <c r="L801" t="s">
        <v>1669</v>
      </c>
    </row>
    <row r="802" spans="1:13" ht="15" customHeight="1" x14ac:dyDescent="0.25">
      <c r="A802">
        <v>801</v>
      </c>
      <c r="B802" s="5">
        <v>45803</v>
      </c>
      <c r="C802" t="s">
        <v>27</v>
      </c>
      <c r="D802" t="s">
        <v>42</v>
      </c>
      <c r="E802" t="s">
        <v>43</v>
      </c>
      <c r="F802" t="s">
        <v>44</v>
      </c>
      <c r="G802" s="6">
        <v>2319.8200000000002</v>
      </c>
      <c r="H802" s="7">
        <v>0</v>
      </c>
      <c r="I802" s="6">
        <v>0</v>
      </c>
      <c r="J802" s="6">
        <v>2319.8200000000002</v>
      </c>
      <c r="K802" t="s">
        <v>1670</v>
      </c>
      <c r="L802" t="s">
        <v>1671</v>
      </c>
    </row>
    <row r="803" spans="1:13" ht="15" customHeight="1" x14ac:dyDescent="0.25">
      <c r="A803">
        <v>802</v>
      </c>
      <c r="B803" s="5">
        <v>45770</v>
      </c>
      <c r="C803" t="s">
        <v>47</v>
      </c>
      <c r="D803" t="s">
        <v>42</v>
      </c>
      <c r="E803" t="s">
        <v>43</v>
      </c>
      <c r="F803" t="s">
        <v>44</v>
      </c>
      <c r="G803" s="6">
        <v>3242.01</v>
      </c>
      <c r="H803" s="7">
        <v>0</v>
      </c>
      <c r="I803" s="6">
        <v>0</v>
      </c>
      <c r="J803" s="6">
        <v>3242.01</v>
      </c>
      <c r="K803" t="s">
        <v>1672</v>
      </c>
      <c r="L803" t="s">
        <v>1673</v>
      </c>
    </row>
    <row r="804" spans="1:13" ht="15" customHeight="1" x14ac:dyDescent="0.25">
      <c r="A804">
        <v>803</v>
      </c>
      <c r="B804" s="5">
        <v>45751</v>
      </c>
      <c r="C804" t="s">
        <v>27</v>
      </c>
      <c r="D804" t="s">
        <v>42</v>
      </c>
      <c r="E804" t="s">
        <v>43</v>
      </c>
      <c r="F804" t="s">
        <v>44</v>
      </c>
      <c r="G804" s="6">
        <v>3025.93</v>
      </c>
      <c r="H804" s="7">
        <v>0</v>
      </c>
      <c r="I804" s="6">
        <v>0</v>
      </c>
      <c r="J804" s="6">
        <v>3025.93</v>
      </c>
      <c r="K804" t="s">
        <v>1674</v>
      </c>
      <c r="L804" t="s">
        <v>1675</v>
      </c>
    </row>
    <row r="805" spans="1:13" ht="15" customHeight="1" x14ac:dyDescent="0.25">
      <c r="A805">
        <v>804</v>
      </c>
      <c r="B805" s="5">
        <v>45890</v>
      </c>
      <c r="C805" t="s">
        <v>27</v>
      </c>
      <c r="D805" t="s">
        <v>34</v>
      </c>
      <c r="E805" t="s">
        <v>35</v>
      </c>
      <c r="F805" t="s">
        <v>87</v>
      </c>
      <c r="G805" s="6">
        <v>2716.68</v>
      </c>
      <c r="H805" s="7">
        <v>0.2</v>
      </c>
      <c r="I805" s="6">
        <v>543.34</v>
      </c>
      <c r="J805" s="6">
        <v>3260.02</v>
      </c>
      <c r="K805" t="s">
        <v>1676</v>
      </c>
      <c r="L805" t="s">
        <v>1677</v>
      </c>
    </row>
    <row r="806" spans="1:13" ht="15" customHeight="1" x14ac:dyDescent="0.25">
      <c r="A806">
        <v>805</v>
      </c>
      <c r="B806" s="5">
        <v>45713</v>
      </c>
      <c r="C806" t="s">
        <v>47</v>
      </c>
      <c r="D806" t="s">
        <v>63</v>
      </c>
      <c r="E806" t="s">
        <v>64</v>
      </c>
      <c r="F806" t="s">
        <v>106</v>
      </c>
      <c r="G806" s="6">
        <v>153.21</v>
      </c>
      <c r="H806" s="7">
        <v>0.2</v>
      </c>
      <c r="I806" s="6">
        <v>30.64</v>
      </c>
      <c r="J806" s="6">
        <v>183.85</v>
      </c>
      <c r="K806" t="s">
        <v>1678</v>
      </c>
      <c r="L806" t="s">
        <v>1679</v>
      </c>
    </row>
    <row r="807" spans="1:13" ht="15" customHeight="1" x14ac:dyDescent="0.25">
      <c r="A807">
        <v>806</v>
      </c>
      <c r="B807" s="5">
        <v>45734</v>
      </c>
      <c r="C807" t="s">
        <v>27</v>
      </c>
      <c r="D807" t="s">
        <v>63</v>
      </c>
      <c r="E807" t="s">
        <v>64</v>
      </c>
      <c r="F807" t="s">
        <v>30</v>
      </c>
      <c r="G807" s="6">
        <v>2756.36</v>
      </c>
      <c r="H807" s="7">
        <v>0.2</v>
      </c>
      <c r="I807" s="6">
        <v>551.27</v>
      </c>
      <c r="J807" s="6">
        <v>3307.63</v>
      </c>
      <c r="K807" t="s">
        <v>1680</v>
      </c>
      <c r="M807" t="s">
        <v>186</v>
      </c>
    </row>
    <row r="808" spans="1:13" ht="15" customHeight="1" x14ac:dyDescent="0.25">
      <c r="A808">
        <v>807</v>
      </c>
      <c r="B808" s="5">
        <v>45930</v>
      </c>
      <c r="C808" t="s">
        <v>27</v>
      </c>
      <c r="D808" t="s">
        <v>172</v>
      </c>
      <c r="E808" t="s">
        <v>173</v>
      </c>
      <c r="F808" t="s">
        <v>87</v>
      </c>
      <c r="G808" s="6">
        <v>2304.7199999999998</v>
      </c>
      <c r="H808" s="7">
        <v>0.2</v>
      </c>
      <c r="I808" s="6">
        <v>460.94</v>
      </c>
      <c r="J808" s="6">
        <v>2765.66</v>
      </c>
      <c r="K808" t="s">
        <v>1681</v>
      </c>
      <c r="L808" t="s">
        <v>1682</v>
      </c>
    </row>
    <row r="809" spans="1:13" ht="15" customHeight="1" x14ac:dyDescent="0.25">
      <c r="A809">
        <v>808</v>
      </c>
      <c r="B809" s="5">
        <v>45966</v>
      </c>
      <c r="C809" t="s">
        <v>47</v>
      </c>
      <c r="D809" t="s">
        <v>34</v>
      </c>
      <c r="E809" t="s">
        <v>35</v>
      </c>
      <c r="F809" t="s">
        <v>39</v>
      </c>
      <c r="G809" s="6">
        <v>2463.64</v>
      </c>
      <c r="H809" s="7">
        <v>0.2</v>
      </c>
      <c r="I809" s="6">
        <v>492.73</v>
      </c>
      <c r="J809" s="6">
        <v>2956.37</v>
      </c>
      <c r="K809" t="s">
        <v>1683</v>
      </c>
      <c r="L809" t="s">
        <v>1684</v>
      </c>
    </row>
    <row r="810" spans="1:13" ht="15" customHeight="1" x14ac:dyDescent="0.25">
      <c r="A810">
        <v>809</v>
      </c>
      <c r="B810" s="5">
        <v>45925</v>
      </c>
      <c r="C810" t="s">
        <v>27</v>
      </c>
      <c r="D810" t="s">
        <v>181</v>
      </c>
      <c r="E810" t="s">
        <v>182</v>
      </c>
      <c r="F810" t="s">
        <v>39</v>
      </c>
      <c r="G810" s="6">
        <v>1939.42</v>
      </c>
      <c r="H810" s="7">
        <v>0.2</v>
      </c>
      <c r="I810" s="6">
        <v>387.88</v>
      </c>
      <c r="J810" s="6">
        <v>2327.3000000000002</v>
      </c>
      <c r="K810" t="s">
        <v>1685</v>
      </c>
      <c r="L810" t="s">
        <v>1686</v>
      </c>
    </row>
    <row r="811" spans="1:13" ht="15" customHeight="1" x14ac:dyDescent="0.25">
      <c r="A811">
        <v>810</v>
      </c>
      <c r="B811" s="5">
        <v>45904</v>
      </c>
      <c r="C811" t="s">
        <v>27</v>
      </c>
      <c r="D811" t="s">
        <v>63</v>
      </c>
      <c r="E811" t="s">
        <v>64</v>
      </c>
      <c r="F811" t="s">
        <v>36</v>
      </c>
      <c r="G811" s="6">
        <v>3569.84</v>
      </c>
      <c r="H811" s="7">
        <v>0.2</v>
      </c>
      <c r="I811" s="6">
        <v>713.97</v>
      </c>
      <c r="J811" s="6">
        <v>4283.8100000000004</v>
      </c>
      <c r="K811" t="s">
        <v>1687</v>
      </c>
      <c r="L811" t="s">
        <v>1688</v>
      </c>
    </row>
    <row r="812" spans="1:13" ht="15" customHeight="1" x14ac:dyDescent="0.25">
      <c r="A812">
        <v>811</v>
      </c>
      <c r="B812" s="5">
        <v>46014</v>
      </c>
      <c r="C812" t="s">
        <v>27</v>
      </c>
      <c r="D812" t="s">
        <v>42</v>
      </c>
      <c r="E812" t="s">
        <v>43</v>
      </c>
      <c r="F812" t="s">
        <v>44</v>
      </c>
      <c r="G812" s="6">
        <v>2821.17</v>
      </c>
      <c r="H812" s="7">
        <v>0</v>
      </c>
      <c r="I812" s="6">
        <v>0</v>
      </c>
      <c r="J812" s="6">
        <v>2821.17</v>
      </c>
      <c r="K812" t="s">
        <v>1689</v>
      </c>
      <c r="L812" t="s">
        <v>1690</v>
      </c>
    </row>
    <row r="813" spans="1:13" ht="15" customHeight="1" x14ac:dyDescent="0.25">
      <c r="A813">
        <v>812</v>
      </c>
      <c r="B813" s="5">
        <v>45700</v>
      </c>
      <c r="C813" t="s">
        <v>47</v>
      </c>
      <c r="D813" t="s">
        <v>42</v>
      </c>
      <c r="E813" t="s">
        <v>43</v>
      </c>
      <c r="F813" t="s">
        <v>44</v>
      </c>
      <c r="G813" s="6">
        <v>3904.24</v>
      </c>
      <c r="H813" s="7">
        <v>0</v>
      </c>
      <c r="I813" s="6">
        <v>0</v>
      </c>
      <c r="J813" s="6">
        <v>3904.24</v>
      </c>
      <c r="K813" t="s">
        <v>1691</v>
      </c>
      <c r="L813" t="s">
        <v>1692</v>
      </c>
    </row>
    <row r="814" spans="1:13" ht="15" customHeight="1" x14ac:dyDescent="0.25">
      <c r="A814">
        <v>813</v>
      </c>
      <c r="B814" s="5">
        <v>46021</v>
      </c>
      <c r="C814" t="s">
        <v>47</v>
      </c>
      <c r="D814" t="s">
        <v>28</v>
      </c>
      <c r="E814" t="s">
        <v>29</v>
      </c>
      <c r="F814" t="s">
        <v>39</v>
      </c>
      <c r="G814" s="6">
        <v>3366.91</v>
      </c>
      <c r="H814" s="7">
        <v>2.1000000000000001E-2</v>
      </c>
      <c r="I814" s="6">
        <v>70.709999999999994</v>
      </c>
      <c r="J814" s="6">
        <v>3437.62</v>
      </c>
      <c r="K814" t="s">
        <v>1693</v>
      </c>
      <c r="L814" t="s">
        <v>1694</v>
      </c>
    </row>
    <row r="815" spans="1:13" ht="15" customHeight="1" x14ac:dyDescent="0.25">
      <c r="A815">
        <v>814</v>
      </c>
      <c r="B815" s="5">
        <v>45993</v>
      </c>
      <c r="C815" t="s">
        <v>27</v>
      </c>
      <c r="D815" t="s">
        <v>28</v>
      </c>
      <c r="E815" t="s">
        <v>29</v>
      </c>
      <c r="F815" t="s">
        <v>50</v>
      </c>
      <c r="G815" s="6">
        <v>987.95</v>
      </c>
      <c r="H815" s="7">
        <v>2.1000000000000001E-2</v>
      </c>
      <c r="I815" s="6">
        <v>20.75</v>
      </c>
      <c r="J815" s="6">
        <v>1008.7</v>
      </c>
      <c r="K815" t="s">
        <v>1695</v>
      </c>
      <c r="L815" t="s">
        <v>1696</v>
      </c>
    </row>
    <row r="816" spans="1:13" ht="15" customHeight="1" x14ac:dyDescent="0.25">
      <c r="A816">
        <v>815</v>
      </c>
      <c r="B816" s="5">
        <v>45876</v>
      </c>
      <c r="C816" t="s">
        <v>47</v>
      </c>
      <c r="D816" t="s">
        <v>28</v>
      </c>
      <c r="E816" t="s">
        <v>29</v>
      </c>
      <c r="F816" t="s">
        <v>174</v>
      </c>
      <c r="G816" s="6">
        <v>2959.97</v>
      </c>
      <c r="H816" s="7">
        <v>2.1000000000000001E-2</v>
      </c>
      <c r="I816" s="6">
        <v>62.16</v>
      </c>
      <c r="J816" s="6">
        <v>3022.13</v>
      </c>
      <c r="K816" t="s">
        <v>1697</v>
      </c>
      <c r="L816" t="s">
        <v>1698</v>
      </c>
    </row>
    <row r="817" spans="1:13" ht="15" customHeight="1" x14ac:dyDescent="0.25">
      <c r="A817">
        <v>816</v>
      </c>
      <c r="B817" s="5">
        <v>45845</v>
      </c>
      <c r="C817" t="s">
        <v>27</v>
      </c>
      <c r="D817" t="s">
        <v>63</v>
      </c>
      <c r="E817" t="s">
        <v>64</v>
      </c>
      <c r="F817" t="s">
        <v>120</v>
      </c>
      <c r="G817" s="6">
        <v>2784.51</v>
      </c>
      <c r="H817" s="7">
        <v>0.2</v>
      </c>
      <c r="I817" s="6">
        <v>556.9</v>
      </c>
      <c r="J817" s="6">
        <v>3341.41</v>
      </c>
      <c r="K817" t="s">
        <v>1699</v>
      </c>
      <c r="L817" t="s">
        <v>1700</v>
      </c>
    </row>
    <row r="818" spans="1:13" ht="15" customHeight="1" x14ac:dyDescent="0.25">
      <c r="A818">
        <v>817</v>
      </c>
      <c r="B818" s="5">
        <v>45943</v>
      </c>
      <c r="C818" t="s">
        <v>33</v>
      </c>
      <c r="D818" t="s">
        <v>63</v>
      </c>
      <c r="E818" t="s">
        <v>64</v>
      </c>
      <c r="F818" t="s">
        <v>50</v>
      </c>
      <c r="G818" s="6">
        <v>2212.5100000000002</v>
      </c>
      <c r="H818" s="7">
        <v>0.2</v>
      </c>
      <c r="I818" s="6">
        <v>442.5</v>
      </c>
      <c r="J818" s="6">
        <v>2655.01</v>
      </c>
      <c r="K818" t="s">
        <v>1701</v>
      </c>
      <c r="L818" t="s">
        <v>1702</v>
      </c>
    </row>
    <row r="819" spans="1:13" ht="15" customHeight="1" x14ac:dyDescent="0.25">
      <c r="A819">
        <v>818</v>
      </c>
      <c r="B819" s="5">
        <v>45953</v>
      </c>
      <c r="C819" t="s">
        <v>27</v>
      </c>
      <c r="D819" t="s">
        <v>79</v>
      </c>
      <c r="E819" t="s">
        <v>80</v>
      </c>
      <c r="F819" t="s">
        <v>81</v>
      </c>
      <c r="G819" s="6">
        <v>1602.05</v>
      </c>
      <c r="H819" s="7">
        <v>0.2</v>
      </c>
      <c r="I819" s="6">
        <v>320.41000000000003</v>
      </c>
      <c r="J819" s="6">
        <v>1922.46</v>
      </c>
      <c r="K819" t="s">
        <v>1703</v>
      </c>
      <c r="L819" t="s">
        <v>1704</v>
      </c>
    </row>
    <row r="820" spans="1:13" ht="15" customHeight="1" x14ac:dyDescent="0.25">
      <c r="A820">
        <v>819</v>
      </c>
      <c r="B820" s="5">
        <v>45995</v>
      </c>
      <c r="C820" t="s">
        <v>27</v>
      </c>
      <c r="D820" t="s">
        <v>28</v>
      </c>
      <c r="E820" t="s">
        <v>29</v>
      </c>
      <c r="F820" t="s">
        <v>71</v>
      </c>
      <c r="G820" s="6">
        <v>606.36</v>
      </c>
      <c r="H820" s="7">
        <v>2.1000000000000001E-2</v>
      </c>
      <c r="I820" s="6">
        <v>12.73</v>
      </c>
      <c r="J820" s="6">
        <v>619.09</v>
      </c>
      <c r="K820" t="s">
        <v>1705</v>
      </c>
      <c r="L820" t="s">
        <v>1706</v>
      </c>
    </row>
    <row r="821" spans="1:13" ht="15" customHeight="1" x14ac:dyDescent="0.25">
      <c r="A821">
        <v>820</v>
      </c>
      <c r="B821" s="5">
        <v>45709</v>
      </c>
      <c r="C821" t="s">
        <v>27</v>
      </c>
      <c r="D821" t="s">
        <v>100</v>
      </c>
      <c r="E821" t="s">
        <v>101</v>
      </c>
      <c r="F821" t="s">
        <v>44</v>
      </c>
      <c r="G821" s="6">
        <v>2761.35</v>
      </c>
      <c r="H821" s="7">
        <v>0</v>
      </c>
      <c r="I821" s="6">
        <v>0</v>
      </c>
      <c r="J821" s="6">
        <v>2761.35</v>
      </c>
      <c r="K821" t="s">
        <v>1707</v>
      </c>
      <c r="L821" t="s">
        <v>1708</v>
      </c>
    </row>
    <row r="822" spans="1:13" ht="15" customHeight="1" x14ac:dyDescent="0.25">
      <c r="A822">
        <v>821</v>
      </c>
      <c r="B822" s="5">
        <v>46008</v>
      </c>
      <c r="C822" t="s">
        <v>27</v>
      </c>
      <c r="D822" t="s">
        <v>181</v>
      </c>
      <c r="E822" t="s">
        <v>182</v>
      </c>
      <c r="F822" t="s">
        <v>30</v>
      </c>
      <c r="G822" s="6">
        <v>3204.01</v>
      </c>
      <c r="H822" s="7">
        <v>0.2</v>
      </c>
      <c r="I822" s="6">
        <v>640.79999999999995</v>
      </c>
      <c r="J822" s="6">
        <v>3844.81</v>
      </c>
      <c r="K822" t="s">
        <v>1709</v>
      </c>
      <c r="L822" t="s">
        <v>1710</v>
      </c>
    </row>
    <row r="823" spans="1:13" ht="15" customHeight="1" x14ac:dyDescent="0.25">
      <c r="A823">
        <v>822</v>
      </c>
      <c r="B823" s="5">
        <v>45965</v>
      </c>
      <c r="C823" t="s">
        <v>27</v>
      </c>
      <c r="D823" t="s">
        <v>28</v>
      </c>
      <c r="E823" t="s">
        <v>29</v>
      </c>
      <c r="F823" t="s">
        <v>87</v>
      </c>
      <c r="G823" s="6">
        <v>2004.37</v>
      </c>
      <c r="H823" s="7">
        <v>2.1000000000000001E-2</v>
      </c>
      <c r="I823" s="6">
        <v>42.09</v>
      </c>
      <c r="J823" s="6">
        <v>2046.46</v>
      </c>
      <c r="K823" t="s">
        <v>1711</v>
      </c>
      <c r="L823" t="s">
        <v>1712</v>
      </c>
    </row>
    <row r="824" spans="1:13" ht="15" customHeight="1" x14ac:dyDescent="0.25">
      <c r="A824">
        <v>823</v>
      </c>
      <c r="B824" s="5">
        <v>45677</v>
      </c>
      <c r="C824" t="s">
        <v>33</v>
      </c>
      <c r="D824" t="s">
        <v>63</v>
      </c>
      <c r="E824" t="s">
        <v>64</v>
      </c>
      <c r="F824" t="s">
        <v>36</v>
      </c>
      <c r="G824" s="6">
        <v>3282.27</v>
      </c>
      <c r="H824" s="7">
        <v>0.2</v>
      </c>
      <c r="I824" s="6">
        <v>656.45</v>
      </c>
      <c r="J824" s="6">
        <v>3938.72</v>
      </c>
      <c r="K824" t="s">
        <v>1713</v>
      </c>
      <c r="L824" t="s">
        <v>1714</v>
      </c>
      <c r="M824" t="s">
        <v>286</v>
      </c>
    </row>
    <row r="825" spans="1:13" ht="15" customHeight="1" x14ac:dyDescent="0.25">
      <c r="A825">
        <v>824</v>
      </c>
      <c r="B825" s="5">
        <v>46022</v>
      </c>
      <c r="C825" t="s">
        <v>27</v>
      </c>
      <c r="D825" t="s">
        <v>172</v>
      </c>
      <c r="E825" t="s">
        <v>173</v>
      </c>
      <c r="F825" t="s">
        <v>39</v>
      </c>
      <c r="G825" s="6">
        <v>4338.8</v>
      </c>
      <c r="H825" s="7">
        <v>0.2</v>
      </c>
      <c r="I825" s="6">
        <v>867.76</v>
      </c>
      <c r="J825" s="6">
        <v>5206.5600000000004</v>
      </c>
      <c r="K825" t="s">
        <v>1715</v>
      </c>
      <c r="L825" t="s">
        <v>1716</v>
      </c>
    </row>
    <row r="826" spans="1:13" ht="15" customHeight="1" x14ac:dyDescent="0.25">
      <c r="A826">
        <v>825</v>
      </c>
      <c r="B826" s="5">
        <v>45882</v>
      </c>
      <c r="C826" t="s">
        <v>33</v>
      </c>
      <c r="D826" t="s">
        <v>181</v>
      </c>
      <c r="E826" t="s">
        <v>182</v>
      </c>
      <c r="F826" t="s">
        <v>120</v>
      </c>
      <c r="G826" s="6">
        <v>127.34</v>
      </c>
      <c r="H826" s="7">
        <v>0.2</v>
      </c>
      <c r="I826" s="6">
        <v>25.47</v>
      </c>
      <c r="J826" s="6">
        <v>152.81</v>
      </c>
      <c r="K826" t="s">
        <v>1717</v>
      </c>
      <c r="L826" t="s">
        <v>1718</v>
      </c>
    </row>
    <row r="827" spans="1:13" ht="15" customHeight="1" x14ac:dyDescent="0.25">
      <c r="A827">
        <v>826</v>
      </c>
      <c r="B827" s="5">
        <v>45964</v>
      </c>
      <c r="C827" t="s">
        <v>27</v>
      </c>
      <c r="D827" t="s">
        <v>55</v>
      </c>
      <c r="E827" t="s">
        <v>56</v>
      </c>
      <c r="F827" t="s">
        <v>81</v>
      </c>
      <c r="G827" s="6">
        <v>2336.62</v>
      </c>
      <c r="H827" s="7">
        <v>5.5E-2</v>
      </c>
      <c r="I827" s="6">
        <v>128.51</v>
      </c>
      <c r="J827" s="6">
        <v>2465.13</v>
      </c>
      <c r="K827" t="s">
        <v>1719</v>
      </c>
      <c r="L827" t="s">
        <v>1720</v>
      </c>
    </row>
    <row r="828" spans="1:13" ht="15" customHeight="1" x14ac:dyDescent="0.25">
      <c r="A828">
        <v>827</v>
      </c>
      <c r="B828" s="5">
        <v>45842</v>
      </c>
      <c r="C828" t="s">
        <v>27</v>
      </c>
      <c r="D828" t="s">
        <v>28</v>
      </c>
      <c r="E828" t="s">
        <v>29</v>
      </c>
      <c r="F828" t="s">
        <v>39</v>
      </c>
      <c r="G828" s="6">
        <v>1137.51</v>
      </c>
      <c r="H828" s="7">
        <v>2.1000000000000001E-2</v>
      </c>
      <c r="I828" s="6">
        <v>23.89</v>
      </c>
      <c r="J828" s="6">
        <v>1161.4000000000001</v>
      </c>
      <c r="K828" t="s">
        <v>1721</v>
      </c>
      <c r="L828" t="s">
        <v>1722</v>
      </c>
    </row>
    <row r="829" spans="1:13" ht="15" customHeight="1" x14ac:dyDescent="0.25">
      <c r="A829">
        <v>828</v>
      </c>
      <c r="B829" s="5">
        <v>45862</v>
      </c>
      <c r="C829" t="s">
        <v>33</v>
      </c>
      <c r="D829" t="s">
        <v>94</v>
      </c>
      <c r="E829" t="s">
        <v>95</v>
      </c>
      <c r="F829" t="s">
        <v>44</v>
      </c>
      <c r="G829" s="6">
        <v>1487.86</v>
      </c>
      <c r="H829" s="7">
        <v>0</v>
      </c>
      <c r="I829" s="6">
        <v>0</v>
      </c>
      <c r="J829" s="6">
        <v>1487.86</v>
      </c>
      <c r="K829" t="s">
        <v>1723</v>
      </c>
      <c r="L829" t="s">
        <v>1724</v>
      </c>
    </row>
    <row r="830" spans="1:13" ht="15" customHeight="1" x14ac:dyDescent="0.25">
      <c r="A830">
        <v>829</v>
      </c>
      <c r="B830" s="5">
        <v>45693</v>
      </c>
      <c r="C830" t="s">
        <v>33</v>
      </c>
      <c r="D830" t="s">
        <v>172</v>
      </c>
      <c r="E830" t="s">
        <v>173</v>
      </c>
      <c r="F830" t="s">
        <v>106</v>
      </c>
      <c r="G830" s="6">
        <v>4142.76</v>
      </c>
      <c r="H830" s="7">
        <v>0.2</v>
      </c>
      <c r="I830" s="6">
        <v>828.55</v>
      </c>
      <c r="J830" s="6">
        <v>4971.3100000000004</v>
      </c>
      <c r="K830" t="s">
        <v>1725</v>
      </c>
      <c r="L830" t="s">
        <v>1726</v>
      </c>
    </row>
    <row r="831" spans="1:13" ht="15" customHeight="1" x14ac:dyDescent="0.25">
      <c r="A831">
        <v>830</v>
      </c>
      <c r="B831" s="5">
        <v>45835</v>
      </c>
      <c r="C831" t="s">
        <v>27</v>
      </c>
      <c r="D831" t="s">
        <v>42</v>
      </c>
      <c r="E831" t="s">
        <v>43</v>
      </c>
      <c r="F831" t="s">
        <v>44</v>
      </c>
      <c r="G831" s="6">
        <v>2463.62</v>
      </c>
      <c r="H831" s="7">
        <v>0</v>
      </c>
      <c r="I831" s="6">
        <v>0</v>
      </c>
      <c r="J831" s="6">
        <v>2463.62</v>
      </c>
      <c r="K831" t="s">
        <v>1727</v>
      </c>
      <c r="L831" t="s">
        <v>1728</v>
      </c>
    </row>
    <row r="832" spans="1:13" ht="15" customHeight="1" x14ac:dyDescent="0.25">
      <c r="A832">
        <v>831</v>
      </c>
      <c r="B832" s="5">
        <v>45952</v>
      </c>
      <c r="C832" t="s">
        <v>33</v>
      </c>
      <c r="D832" t="s">
        <v>79</v>
      </c>
      <c r="E832" t="s">
        <v>80</v>
      </c>
      <c r="F832" t="s">
        <v>30</v>
      </c>
      <c r="G832" s="6">
        <v>100.56</v>
      </c>
      <c r="H832" s="7">
        <v>0.2</v>
      </c>
      <c r="I832" s="6">
        <v>20.11</v>
      </c>
      <c r="J832" s="6">
        <v>120.67</v>
      </c>
      <c r="K832" t="s">
        <v>1729</v>
      </c>
      <c r="L832" t="s">
        <v>1730</v>
      </c>
    </row>
    <row r="833" spans="1:13" ht="15" customHeight="1" x14ac:dyDescent="0.25">
      <c r="A833">
        <v>832</v>
      </c>
      <c r="B833" s="5">
        <v>45696</v>
      </c>
      <c r="C833" t="s">
        <v>27</v>
      </c>
      <c r="D833" t="s">
        <v>28</v>
      </c>
      <c r="E833" t="s">
        <v>29</v>
      </c>
      <c r="F833" t="s">
        <v>50</v>
      </c>
      <c r="G833" s="6">
        <v>2304.0100000000002</v>
      </c>
      <c r="H833" s="7">
        <v>2.1000000000000001E-2</v>
      </c>
      <c r="I833" s="6">
        <v>48.38</v>
      </c>
      <c r="J833" s="6">
        <v>2352.39</v>
      </c>
      <c r="K833" t="s">
        <v>1731</v>
      </c>
      <c r="L833" t="s">
        <v>1732</v>
      </c>
      <c r="M833" t="s">
        <v>472</v>
      </c>
    </row>
    <row r="834" spans="1:13" ht="15" customHeight="1" x14ac:dyDescent="0.25">
      <c r="A834">
        <v>833</v>
      </c>
      <c r="B834" s="5">
        <v>45933</v>
      </c>
      <c r="C834" t="s">
        <v>27</v>
      </c>
      <c r="D834" t="s">
        <v>100</v>
      </c>
      <c r="E834" t="s">
        <v>101</v>
      </c>
      <c r="F834" t="s">
        <v>44</v>
      </c>
      <c r="G834" s="6">
        <v>3179.75</v>
      </c>
      <c r="H834" s="7">
        <v>0</v>
      </c>
      <c r="I834" s="6">
        <v>0</v>
      </c>
      <c r="J834" s="6">
        <v>3179.75</v>
      </c>
      <c r="K834" t="s">
        <v>1733</v>
      </c>
      <c r="L834" t="s">
        <v>1734</v>
      </c>
    </row>
    <row r="835" spans="1:13" ht="15" customHeight="1" x14ac:dyDescent="0.25">
      <c r="A835">
        <v>834</v>
      </c>
      <c r="B835" s="5">
        <v>45946</v>
      </c>
      <c r="C835" t="s">
        <v>47</v>
      </c>
      <c r="D835" t="s">
        <v>94</v>
      </c>
      <c r="E835" t="s">
        <v>95</v>
      </c>
      <c r="F835" t="s">
        <v>44</v>
      </c>
      <c r="G835" s="6">
        <v>1108.18</v>
      </c>
      <c r="H835" s="7">
        <v>0</v>
      </c>
      <c r="I835" s="6">
        <v>0</v>
      </c>
      <c r="J835" s="6">
        <v>1108.18</v>
      </c>
      <c r="K835" t="s">
        <v>1735</v>
      </c>
      <c r="L835" t="s">
        <v>1736</v>
      </c>
    </row>
    <row r="836" spans="1:13" ht="15" customHeight="1" x14ac:dyDescent="0.25">
      <c r="A836">
        <v>835</v>
      </c>
      <c r="B836" s="5">
        <v>45958</v>
      </c>
      <c r="C836" t="s">
        <v>47</v>
      </c>
      <c r="D836" t="s">
        <v>34</v>
      </c>
      <c r="E836" t="s">
        <v>35</v>
      </c>
      <c r="F836" t="s">
        <v>76</v>
      </c>
      <c r="G836" s="6">
        <v>3890.14</v>
      </c>
      <c r="H836" s="7">
        <v>0.2</v>
      </c>
      <c r="I836" s="6">
        <v>778.03</v>
      </c>
      <c r="J836" s="6">
        <v>4668.17</v>
      </c>
      <c r="K836" t="s">
        <v>1737</v>
      </c>
      <c r="L836" t="s">
        <v>1738</v>
      </c>
    </row>
    <row r="837" spans="1:13" ht="15" customHeight="1" x14ac:dyDescent="0.25">
      <c r="A837">
        <v>836</v>
      </c>
      <c r="B837" s="5">
        <v>45982</v>
      </c>
      <c r="C837" t="s">
        <v>47</v>
      </c>
      <c r="D837" t="s">
        <v>28</v>
      </c>
      <c r="E837" t="s">
        <v>29</v>
      </c>
      <c r="F837" t="s">
        <v>71</v>
      </c>
      <c r="G837" s="6">
        <v>3565.86</v>
      </c>
      <c r="H837" s="7">
        <v>2.1000000000000001E-2</v>
      </c>
      <c r="I837" s="6">
        <v>74.88</v>
      </c>
      <c r="J837" s="6">
        <v>3640.74</v>
      </c>
      <c r="K837" t="s">
        <v>1739</v>
      </c>
      <c r="L837" t="s">
        <v>1740</v>
      </c>
    </row>
    <row r="838" spans="1:13" ht="15" customHeight="1" x14ac:dyDescent="0.25">
      <c r="A838">
        <v>837</v>
      </c>
      <c r="B838" s="5">
        <v>45819</v>
      </c>
      <c r="C838" t="s">
        <v>27</v>
      </c>
      <c r="D838" t="s">
        <v>55</v>
      </c>
      <c r="E838" t="s">
        <v>56</v>
      </c>
      <c r="F838" t="s">
        <v>50</v>
      </c>
      <c r="G838" s="6">
        <v>1902.92</v>
      </c>
      <c r="H838" s="7">
        <v>5.5E-2</v>
      </c>
      <c r="I838" s="6">
        <v>104.66</v>
      </c>
      <c r="J838" s="6">
        <v>2007.58</v>
      </c>
      <c r="K838" t="s">
        <v>1741</v>
      </c>
      <c r="L838" t="s">
        <v>1742</v>
      </c>
    </row>
    <row r="839" spans="1:13" ht="15" customHeight="1" x14ac:dyDescent="0.25">
      <c r="A839">
        <v>838</v>
      </c>
      <c r="B839" s="5">
        <v>45792</v>
      </c>
      <c r="C839" t="s">
        <v>27</v>
      </c>
      <c r="D839" t="s">
        <v>28</v>
      </c>
      <c r="E839" t="s">
        <v>29</v>
      </c>
      <c r="F839" t="s">
        <v>87</v>
      </c>
      <c r="G839" s="6">
        <v>1177.3</v>
      </c>
      <c r="H839" s="7">
        <v>2.1000000000000001E-2</v>
      </c>
      <c r="I839" s="6">
        <v>24.72</v>
      </c>
      <c r="J839" s="6">
        <v>1202.02</v>
      </c>
      <c r="K839" t="s">
        <v>1743</v>
      </c>
      <c r="L839" t="s">
        <v>1744</v>
      </c>
    </row>
    <row r="840" spans="1:13" ht="15" customHeight="1" x14ac:dyDescent="0.25">
      <c r="A840">
        <v>839</v>
      </c>
      <c r="B840" s="5">
        <v>45833</v>
      </c>
      <c r="C840" t="s">
        <v>27</v>
      </c>
      <c r="D840" t="s">
        <v>42</v>
      </c>
      <c r="E840" t="s">
        <v>43</v>
      </c>
      <c r="F840" t="s">
        <v>44</v>
      </c>
      <c r="G840" s="6">
        <v>4035.35</v>
      </c>
      <c r="H840" s="7">
        <v>0</v>
      </c>
      <c r="I840" s="6">
        <v>0</v>
      </c>
      <c r="J840" s="6">
        <v>4035.35</v>
      </c>
      <c r="K840" t="s">
        <v>1745</v>
      </c>
      <c r="L840" t="s">
        <v>1746</v>
      </c>
    </row>
    <row r="841" spans="1:13" ht="15" customHeight="1" x14ac:dyDescent="0.25">
      <c r="A841">
        <v>840</v>
      </c>
      <c r="B841" s="5">
        <v>45951</v>
      </c>
      <c r="C841" t="s">
        <v>47</v>
      </c>
      <c r="D841" t="s">
        <v>55</v>
      </c>
      <c r="E841" t="s">
        <v>56</v>
      </c>
      <c r="F841" t="s">
        <v>81</v>
      </c>
      <c r="G841" s="6">
        <v>1269.31</v>
      </c>
      <c r="H841" s="7">
        <v>5.5E-2</v>
      </c>
      <c r="I841" s="6">
        <v>69.81</v>
      </c>
      <c r="J841" s="6">
        <v>1339.12</v>
      </c>
      <c r="K841" t="s">
        <v>1747</v>
      </c>
      <c r="L841" t="s">
        <v>1748</v>
      </c>
    </row>
    <row r="842" spans="1:13" ht="15" customHeight="1" x14ac:dyDescent="0.25">
      <c r="A842">
        <v>841</v>
      </c>
      <c r="B842" s="5">
        <v>45778</v>
      </c>
      <c r="C842" t="s">
        <v>33</v>
      </c>
      <c r="D842" t="s">
        <v>79</v>
      </c>
      <c r="E842" t="s">
        <v>80</v>
      </c>
      <c r="F842" t="s">
        <v>174</v>
      </c>
      <c r="G842" s="6">
        <v>3330.6</v>
      </c>
      <c r="H842" s="7">
        <v>0.2</v>
      </c>
      <c r="I842" s="6">
        <v>666.12</v>
      </c>
      <c r="J842" s="6">
        <v>3996.72</v>
      </c>
      <c r="K842" t="s">
        <v>1749</v>
      </c>
      <c r="L842" t="s">
        <v>1750</v>
      </c>
    </row>
    <row r="843" spans="1:13" ht="15" customHeight="1" x14ac:dyDescent="0.25">
      <c r="A843">
        <v>842</v>
      </c>
      <c r="B843" s="5">
        <v>45785</v>
      </c>
      <c r="C843" t="s">
        <v>33</v>
      </c>
      <c r="D843" t="s">
        <v>28</v>
      </c>
      <c r="E843" t="s">
        <v>29</v>
      </c>
      <c r="F843" t="s">
        <v>50</v>
      </c>
      <c r="G843" s="6">
        <v>3776.6</v>
      </c>
      <c r="H843" s="7">
        <v>2.1000000000000001E-2</v>
      </c>
      <c r="I843" s="6">
        <v>79.31</v>
      </c>
      <c r="J843" s="6">
        <v>3855.91</v>
      </c>
      <c r="K843" t="s">
        <v>1751</v>
      </c>
      <c r="L843" t="s">
        <v>1752</v>
      </c>
    </row>
    <row r="844" spans="1:13" ht="15" customHeight="1" x14ac:dyDescent="0.25">
      <c r="A844">
        <v>843</v>
      </c>
      <c r="B844" s="5">
        <v>45698</v>
      </c>
      <c r="C844" t="s">
        <v>33</v>
      </c>
      <c r="D844" t="s">
        <v>28</v>
      </c>
      <c r="E844" t="s">
        <v>29</v>
      </c>
      <c r="F844" t="s">
        <v>120</v>
      </c>
      <c r="G844" s="6">
        <v>3067.09</v>
      </c>
      <c r="H844" s="7">
        <v>2.1000000000000001E-2</v>
      </c>
      <c r="I844" s="6">
        <v>64.41</v>
      </c>
      <c r="J844" s="6">
        <v>3131.5</v>
      </c>
      <c r="K844" t="s">
        <v>1753</v>
      </c>
      <c r="L844" t="s">
        <v>1754</v>
      </c>
    </row>
    <row r="845" spans="1:13" ht="15" customHeight="1" x14ac:dyDescent="0.25">
      <c r="A845">
        <v>844</v>
      </c>
      <c r="B845" s="5">
        <v>45679</v>
      </c>
      <c r="C845" t="s">
        <v>27</v>
      </c>
      <c r="D845" t="s">
        <v>28</v>
      </c>
      <c r="E845" t="s">
        <v>29</v>
      </c>
      <c r="F845" t="s">
        <v>50</v>
      </c>
      <c r="G845" s="6">
        <v>3828.21</v>
      </c>
      <c r="H845" s="7">
        <v>2.1000000000000001E-2</v>
      </c>
      <c r="I845" s="6">
        <v>80.39</v>
      </c>
      <c r="J845" s="6">
        <v>3908.6</v>
      </c>
      <c r="K845" t="s">
        <v>1755</v>
      </c>
      <c r="L845" t="s">
        <v>1756</v>
      </c>
    </row>
    <row r="846" spans="1:13" ht="15" customHeight="1" x14ac:dyDescent="0.25">
      <c r="A846">
        <v>845</v>
      </c>
      <c r="B846" s="5">
        <v>45952</v>
      </c>
      <c r="C846" t="s">
        <v>47</v>
      </c>
      <c r="D846" t="s">
        <v>79</v>
      </c>
      <c r="E846" t="s">
        <v>80</v>
      </c>
      <c r="F846" t="s">
        <v>76</v>
      </c>
      <c r="G846" s="6">
        <v>3919.96</v>
      </c>
      <c r="H846" s="7">
        <v>0.2</v>
      </c>
      <c r="I846" s="6">
        <v>783.99</v>
      </c>
      <c r="J846" s="6">
        <v>4703.95</v>
      </c>
      <c r="K846" t="s">
        <v>1757</v>
      </c>
      <c r="L846" t="s">
        <v>1758</v>
      </c>
    </row>
    <row r="847" spans="1:13" ht="15" customHeight="1" x14ac:dyDescent="0.25">
      <c r="A847">
        <v>846</v>
      </c>
      <c r="B847" s="5">
        <v>45771</v>
      </c>
      <c r="C847" t="s">
        <v>27</v>
      </c>
      <c r="D847" t="s">
        <v>55</v>
      </c>
      <c r="E847" t="s">
        <v>56</v>
      </c>
      <c r="F847" t="s">
        <v>30</v>
      </c>
      <c r="G847" s="6">
        <v>3395.75</v>
      </c>
      <c r="H847" s="7">
        <v>5.5E-2</v>
      </c>
      <c r="I847" s="6">
        <v>186.77</v>
      </c>
      <c r="J847" s="6">
        <v>3582.52</v>
      </c>
      <c r="K847" t="s">
        <v>1759</v>
      </c>
      <c r="L847" t="s">
        <v>1760</v>
      </c>
    </row>
    <row r="848" spans="1:13" ht="15" customHeight="1" x14ac:dyDescent="0.25">
      <c r="A848">
        <v>847</v>
      </c>
      <c r="B848" s="5">
        <v>45902</v>
      </c>
      <c r="C848" t="s">
        <v>27</v>
      </c>
      <c r="D848" t="s">
        <v>42</v>
      </c>
      <c r="E848" t="s">
        <v>43</v>
      </c>
      <c r="F848" t="s">
        <v>44</v>
      </c>
      <c r="G848" s="6">
        <v>1878.15</v>
      </c>
      <c r="H848" s="7">
        <v>0</v>
      </c>
      <c r="I848" s="6">
        <v>0</v>
      </c>
      <c r="J848" s="6">
        <v>1878.15</v>
      </c>
      <c r="K848" t="s">
        <v>1761</v>
      </c>
      <c r="L848" t="s">
        <v>1762</v>
      </c>
    </row>
    <row r="849" spans="1:12" ht="15" customHeight="1" x14ac:dyDescent="0.25">
      <c r="A849">
        <v>848</v>
      </c>
      <c r="B849" s="5">
        <v>45747</v>
      </c>
      <c r="C849" t="s">
        <v>47</v>
      </c>
      <c r="D849" t="s">
        <v>42</v>
      </c>
      <c r="E849" t="s">
        <v>43</v>
      </c>
      <c r="F849" t="s">
        <v>44</v>
      </c>
      <c r="G849" s="6">
        <v>2088.88</v>
      </c>
      <c r="H849" s="7">
        <v>0</v>
      </c>
      <c r="I849" s="6">
        <v>0</v>
      </c>
      <c r="J849" s="6">
        <v>2088.88</v>
      </c>
      <c r="K849" t="s">
        <v>1763</v>
      </c>
      <c r="L849" t="s">
        <v>1764</v>
      </c>
    </row>
    <row r="850" spans="1:12" ht="15" customHeight="1" x14ac:dyDescent="0.25">
      <c r="A850">
        <v>849</v>
      </c>
      <c r="B850" s="5">
        <v>45664</v>
      </c>
      <c r="C850" t="s">
        <v>47</v>
      </c>
      <c r="D850" t="s">
        <v>55</v>
      </c>
      <c r="E850" t="s">
        <v>56</v>
      </c>
      <c r="F850" t="s">
        <v>36</v>
      </c>
      <c r="G850" s="6">
        <v>3059.54</v>
      </c>
      <c r="H850" s="7">
        <v>5.5E-2</v>
      </c>
      <c r="I850" s="6">
        <v>168.27</v>
      </c>
      <c r="J850" s="6">
        <v>3227.81</v>
      </c>
      <c r="K850" t="s">
        <v>1765</v>
      </c>
      <c r="L850" t="s">
        <v>1766</v>
      </c>
    </row>
    <row r="851" spans="1:12" ht="15" customHeight="1" x14ac:dyDescent="0.25">
      <c r="A851">
        <v>850</v>
      </c>
      <c r="B851" s="5">
        <v>45971</v>
      </c>
      <c r="C851" t="s">
        <v>33</v>
      </c>
      <c r="D851" t="s">
        <v>55</v>
      </c>
      <c r="E851" t="s">
        <v>56</v>
      </c>
      <c r="F851" t="s">
        <v>30</v>
      </c>
      <c r="G851" s="6">
        <v>3889.34</v>
      </c>
      <c r="H851" s="7">
        <v>5.5E-2</v>
      </c>
      <c r="I851" s="6">
        <v>213.91</v>
      </c>
      <c r="J851" s="6">
        <v>4103.25</v>
      </c>
      <c r="K851" t="s">
        <v>1767</v>
      </c>
      <c r="L851" t="s">
        <v>1768</v>
      </c>
    </row>
    <row r="852" spans="1:12" ht="15" customHeight="1" x14ac:dyDescent="0.25">
      <c r="A852">
        <v>851</v>
      </c>
      <c r="B852" s="5">
        <v>45971</v>
      </c>
      <c r="C852" t="s">
        <v>47</v>
      </c>
      <c r="D852" t="s">
        <v>55</v>
      </c>
      <c r="E852" t="s">
        <v>56</v>
      </c>
      <c r="F852" t="s">
        <v>30</v>
      </c>
      <c r="G852" s="6">
        <v>1596.49</v>
      </c>
      <c r="H852" s="7">
        <v>5.5E-2</v>
      </c>
      <c r="I852" s="6">
        <v>87.81</v>
      </c>
      <c r="J852" s="6">
        <v>1684.3</v>
      </c>
      <c r="K852" t="s">
        <v>1769</v>
      </c>
      <c r="L852" t="s">
        <v>1770</v>
      </c>
    </row>
    <row r="853" spans="1:12" ht="15" customHeight="1" x14ac:dyDescent="0.25">
      <c r="A853">
        <v>852</v>
      </c>
      <c r="B853" s="5">
        <v>46016</v>
      </c>
      <c r="C853" t="s">
        <v>47</v>
      </c>
      <c r="D853" t="s">
        <v>28</v>
      </c>
      <c r="E853" t="s">
        <v>29</v>
      </c>
      <c r="F853" t="s">
        <v>50</v>
      </c>
      <c r="G853" s="6">
        <v>3404.71</v>
      </c>
      <c r="H853" s="7">
        <v>2.1000000000000001E-2</v>
      </c>
      <c r="I853" s="6">
        <v>71.5</v>
      </c>
      <c r="J853" s="6">
        <v>3476.21</v>
      </c>
      <c r="K853" t="s">
        <v>1771</v>
      </c>
      <c r="L853" t="s">
        <v>1772</v>
      </c>
    </row>
    <row r="854" spans="1:12" ht="15" customHeight="1" x14ac:dyDescent="0.25">
      <c r="A854">
        <v>853</v>
      </c>
      <c r="B854" s="5">
        <v>45750</v>
      </c>
      <c r="C854" t="s">
        <v>47</v>
      </c>
      <c r="D854" t="s">
        <v>55</v>
      </c>
      <c r="E854" t="s">
        <v>56</v>
      </c>
      <c r="F854" t="s">
        <v>84</v>
      </c>
      <c r="G854" s="6">
        <v>2605.63</v>
      </c>
      <c r="H854" s="7">
        <v>5.5E-2</v>
      </c>
      <c r="I854" s="6">
        <v>143.31</v>
      </c>
      <c r="J854" s="6">
        <v>2748.94</v>
      </c>
      <c r="K854" t="s">
        <v>1773</v>
      </c>
      <c r="L854" t="s">
        <v>1774</v>
      </c>
    </row>
    <row r="855" spans="1:12" ht="15" customHeight="1" x14ac:dyDescent="0.25">
      <c r="A855">
        <v>854</v>
      </c>
      <c r="B855" s="5">
        <v>45796</v>
      </c>
      <c r="C855" t="s">
        <v>33</v>
      </c>
      <c r="D855" t="s">
        <v>42</v>
      </c>
      <c r="E855" t="s">
        <v>43</v>
      </c>
      <c r="F855" t="s">
        <v>44</v>
      </c>
      <c r="G855" s="6">
        <v>3132.82</v>
      </c>
      <c r="H855" s="7">
        <v>0</v>
      </c>
      <c r="I855" s="6">
        <v>0</v>
      </c>
      <c r="J855" s="6">
        <v>3132.82</v>
      </c>
      <c r="K855" t="s">
        <v>1775</v>
      </c>
      <c r="L855" t="s">
        <v>1776</v>
      </c>
    </row>
    <row r="856" spans="1:12" ht="15" customHeight="1" x14ac:dyDescent="0.25">
      <c r="A856">
        <v>855</v>
      </c>
      <c r="B856" s="5">
        <v>45734</v>
      </c>
      <c r="C856" t="s">
        <v>47</v>
      </c>
      <c r="D856" t="s">
        <v>28</v>
      </c>
      <c r="E856" t="s">
        <v>29</v>
      </c>
      <c r="F856" t="s">
        <v>39</v>
      </c>
      <c r="G856" s="6">
        <v>2170.6</v>
      </c>
      <c r="H856" s="7">
        <v>2.1000000000000001E-2</v>
      </c>
      <c r="I856" s="6">
        <v>45.58</v>
      </c>
      <c r="J856" s="6">
        <v>2216.1799999999998</v>
      </c>
      <c r="K856" t="s">
        <v>1777</v>
      </c>
      <c r="L856" t="s">
        <v>1778</v>
      </c>
    </row>
    <row r="857" spans="1:12" ht="15" customHeight="1" x14ac:dyDescent="0.25">
      <c r="A857">
        <v>856</v>
      </c>
      <c r="B857" s="5">
        <v>45980</v>
      </c>
      <c r="C857" t="s">
        <v>47</v>
      </c>
      <c r="D857" t="s">
        <v>79</v>
      </c>
      <c r="E857" t="s">
        <v>80</v>
      </c>
      <c r="F857" t="s">
        <v>81</v>
      </c>
      <c r="G857" s="6">
        <v>2365.17</v>
      </c>
      <c r="H857" s="7">
        <v>0.2</v>
      </c>
      <c r="I857" s="6">
        <v>473.03</v>
      </c>
      <c r="J857" s="6">
        <v>2838.2</v>
      </c>
      <c r="K857" t="s">
        <v>1779</v>
      </c>
      <c r="L857" t="s">
        <v>1780</v>
      </c>
    </row>
    <row r="858" spans="1:12" ht="15" customHeight="1" x14ac:dyDescent="0.25">
      <c r="A858">
        <v>857</v>
      </c>
      <c r="B858" s="5">
        <v>45945</v>
      </c>
      <c r="C858" t="s">
        <v>47</v>
      </c>
      <c r="D858" t="s">
        <v>55</v>
      </c>
      <c r="E858" t="s">
        <v>56</v>
      </c>
      <c r="F858" t="s">
        <v>39</v>
      </c>
      <c r="G858" s="6">
        <v>3874.58</v>
      </c>
      <c r="H858" s="7">
        <v>5.5E-2</v>
      </c>
      <c r="I858" s="6">
        <v>213.1</v>
      </c>
      <c r="J858" s="6">
        <v>4087.68</v>
      </c>
      <c r="K858" t="s">
        <v>1781</v>
      </c>
      <c r="L858" t="s">
        <v>1782</v>
      </c>
    </row>
    <row r="859" spans="1:12" ht="15" customHeight="1" x14ac:dyDescent="0.25">
      <c r="A859">
        <v>858</v>
      </c>
      <c r="B859" s="5">
        <v>45688</v>
      </c>
      <c r="C859" t="s">
        <v>33</v>
      </c>
      <c r="D859" t="s">
        <v>42</v>
      </c>
      <c r="E859" t="s">
        <v>43</v>
      </c>
      <c r="F859" t="s">
        <v>44</v>
      </c>
      <c r="G859" s="6">
        <v>2410.3000000000002</v>
      </c>
      <c r="H859" s="7">
        <v>0</v>
      </c>
      <c r="I859" s="6">
        <v>0</v>
      </c>
      <c r="J859" s="6">
        <v>2410.3000000000002</v>
      </c>
      <c r="K859" t="s">
        <v>1783</v>
      </c>
      <c r="L859" t="s">
        <v>1784</v>
      </c>
    </row>
    <row r="860" spans="1:12" ht="15" customHeight="1" x14ac:dyDescent="0.25">
      <c r="A860">
        <v>859</v>
      </c>
      <c r="B860" s="5">
        <v>45791</v>
      </c>
      <c r="C860" t="s">
        <v>27</v>
      </c>
      <c r="D860" t="s">
        <v>28</v>
      </c>
      <c r="E860" t="s">
        <v>29</v>
      </c>
      <c r="F860" t="s">
        <v>106</v>
      </c>
      <c r="G860" s="6">
        <v>1675.45</v>
      </c>
      <c r="H860" s="7">
        <v>2.1000000000000001E-2</v>
      </c>
      <c r="I860" s="6">
        <v>35.18</v>
      </c>
      <c r="J860" s="6">
        <v>1710.63</v>
      </c>
      <c r="K860" t="s">
        <v>1785</v>
      </c>
      <c r="L860" t="s">
        <v>1786</v>
      </c>
    </row>
    <row r="861" spans="1:12" ht="15" customHeight="1" x14ac:dyDescent="0.25">
      <c r="A861">
        <v>860</v>
      </c>
      <c r="B861" s="5">
        <v>45868</v>
      </c>
      <c r="C861" t="s">
        <v>47</v>
      </c>
      <c r="D861" t="s">
        <v>55</v>
      </c>
      <c r="E861" t="s">
        <v>56</v>
      </c>
      <c r="F861" t="s">
        <v>120</v>
      </c>
      <c r="G861" s="6">
        <v>615.87</v>
      </c>
      <c r="H861" s="7">
        <v>5.5E-2</v>
      </c>
      <c r="I861" s="6">
        <v>33.869999999999997</v>
      </c>
      <c r="J861" s="6">
        <v>649.74</v>
      </c>
      <c r="K861" t="s">
        <v>1787</v>
      </c>
      <c r="L861" t="s">
        <v>1788</v>
      </c>
    </row>
    <row r="862" spans="1:12" ht="15" customHeight="1" x14ac:dyDescent="0.25">
      <c r="A862">
        <v>861</v>
      </c>
      <c r="B862" s="5">
        <v>45933</v>
      </c>
      <c r="C862" t="s">
        <v>33</v>
      </c>
      <c r="D862" t="s">
        <v>172</v>
      </c>
      <c r="E862" t="s">
        <v>173</v>
      </c>
      <c r="F862" t="s">
        <v>174</v>
      </c>
      <c r="G862" s="6">
        <v>851.46</v>
      </c>
      <c r="H862" s="7">
        <v>0.2</v>
      </c>
      <c r="I862" s="6">
        <v>170.29</v>
      </c>
      <c r="J862" s="6">
        <v>1021.75</v>
      </c>
      <c r="K862" t="s">
        <v>1789</v>
      </c>
      <c r="L862" t="s">
        <v>1790</v>
      </c>
    </row>
    <row r="863" spans="1:12" ht="15" customHeight="1" x14ac:dyDescent="0.25">
      <c r="A863">
        <v>862</v>
      </c>
      <c r="B863" s="5">
        <v>45698</v>
      </c>
      <c r="C863" t="s">
        <v>47</v>
      </c>
      <c r="D863" t="s">
        <v>34</v>
      </c>
      <c r="E863" t="s">
        <v>35</v>
      </c>
      <c r="F863" t="s">
        <v>174</v>
      </c>
      <c r="G863" s="6">
        <v>1764.33</v>
      </c>
      <c r="H863" s="7">
        <v>0.2</v>
      </c>
      <c r="I863" s="6">
        <v>352.87</v>
      </c>
      <c r="J863" s="6">
        <v>2117.1999999999998</v>
      </c>
      <c r="K863" t="s">
        <v>1791</v>
      </c>
      <c r="L863" t="s">
        <v>1792</v>
      </c>
    </row>
    <row r="864" spans="1:12" ht="15" customHeight="1" x14ac:dyDescent="0.25">
      <c r="A864">
        <v>863</v>
      </c>
      <c r="B864" s="5">
        <v>45743</v>
      </c>
      <c r="C864" t="s">
        <v>27</v>
      </c>
      <c r="D864" t="s">
        <v>100</v>
      </c>
      <c r="E864" t="s">
        <v>101</v>
      </c>
      <c r="F864" t="s">
        <v>44</v>
      </c>
      <c r="G864" s="6">
        <v>4028.56</v>
      </c>
      <c r="H864" s="7">
        <v>0</v>
      </c>
      <c r="I864" s="6">
        <v>0</v>
      </c>
      <c r="J864" s="6">
        <v>4028.56</v>
      </c>
      <c r="K864" t="s">
        <v>1793</v>
      </c>
      <c r="L864" t="s">
        <v>1794</v>
      </c>
    </row>
    <row r="865" spans="1:13" ht="15" customHeight="1" x14ac:dyDescent="0.25">
      <c r="A865">
        <v>864</v>
      </c>
      <c r="B865" s="5">
        <v>45694</v>
      </c>
      <c r="C865" t="s">
        <v>27</v>
      </c>
      <c r="D865" t="s">
        <v>181</v>
      </c>
      <c r="E865" t="s">
        <v>182</v>
      </c>
      <c r="F865" t="s">
        <v>50</v>
      </c>
      <c r="G865" s="6">
        <v>429.67</v>
      </c>
      <c r="H865" s="7">
        <v>0.2</v>
      </c>
      <c r="I865" s="6">
        <v>85.93</v>
      </c>
      <c r="J865" s="6">
        <v>515.6</v>
      </c>
      <c r="K865" t="s">
        <v>1795</v>
      </c>
      <c r="L865" t="s">
        <v>1796</v>
      </c>
    </row>
    <row r="866" spans="1:13" ht="15" customHeight="1" x14ac:dyDescent="0.25">
      <c r="A866">
        <v>865</v>
      </c>
      <c r="B866" s="5">
        <v>45807</v>
      </c>
      <c r="C866" t="s">
        <v>47</v>
      </c>
      <c r="D866" t="s">
        <v>55</v>
      </c>
      <c r="E866" t="s">
        <v>56</v>
      </c>
      <c r="F866" t="s">
        <v>84</v>
      </c>
      <c r="G866" s="6">
        <v>3220.12</v>
      </c>
      <c r="H866" s="7">
        <v>5.5E-2</v>
      </c>
      <c r="I866" s="6">
        <v>177.11</v>
      </c>
      <c r="J866" s="6">
        <v>3397.23</v>
      </c>
      <c r="K866" t="s">
        <v>1797</v>
      </c>
      <c r="L866" t="s">
        <v>1798</v>
      </c>
    </row>
    <row r="867" spans="1:13" ht="15" customHeight="1" x14ac:dyDescent="0.25">
      <c r="A867">
        <v>866</v>
      </c>
      <c r="B867" s="5">
        <v>45958</v>
      </c>
      <c r="C867" t="s">
        <v>47</v>
      </c>
      <c r="D867" t="s">
        <v>55</v>
      </c>
      <c r="E867" t="s">
        <v>56</v>
      </c>
      <c r="F867" t="s">
        <v>76</v>
      </c>
      <c r="G867" s="6">
        <v>2382.54</v>
      </c>
      <c r="H867" s="7">
        <v>5.5E-2</v>
      </c>
      <c r="I867" s="6">
        <v>131.04</v>
      </c>
      <c r="J867" s="6">
        <v>2513.58</v>
      </c>
      <c r="K867" t="s">
        <v>1799</v>
      </c>
      <c r="L867" t="s">
        <v>1800</v>
      </c>
    </row>
    <row r="868" spans="1:13" ht="15" customHeight="1" x14ac:dyDescent="0.25">
      <c r="A868">
        <v>867</v>
      </c>
      <c r="B868" s="5">
        <v>45722</v>
      </c>
      <c r="C868" t="s">
        <v>33</v>
      </c>
      <c r="D868" t="s">
        <v>28</v>
      </c>
      <c r="E868" t="s">
        <v>29</v>
      </c>
      <c r="F868" t="s">
        <v>120</v>
      </c>
      <c r="G868" s="6">
        <v>3296.75</v>
      </c>
      <c r="H868" s="7">
        <v>2.1000000000000001E-2</v>
      </c>
      <c r="I868" s="6">
        <v>69.23</v>
      </c>
      <c r="J868" s="6">
        <v>3365.98</v>
      </c>
      <c r="K868" t="s">
        <v>1801</v>
      </c>
      <c r="L868" t="s">
        <v>1802</v>
      </c>
    </row>
    <row r="869" spans="1:13" ht="15" customHeight="1" x14ac:dyDescent="0.25">
      <c r="A869">
        <v>868</v>
      </c>
      <c r="B869" s="5">
        <v>45698</v>
      </c>
      <c r="C869" t="s">
        <v>27</v>
      </c>
      <c r="D869" t="s">
        <v>42</v>
      </c>
      <c r="E869" t="s">
        <v>43</v>
      </c>
      <c r="F869" t="s">
        <v>44</v>
      </c>
      <c r="G869" s="6">
        <v>2752.91</v>
      </c>
      <c r="H869" s="7">
        <v>0</v>
      </c>
      <c r="I869" s="6">
        <v>0</v>
      </c>
      <c r="J869" s="6">
        <v>2752.91</v>
      </c>
      <c r="K869" t="s">
        <v>1803</v>
      </c>
      <c r="L869" t="s">
        <v>1804</v>
      </c>
    </row>
    <row r="870" spans="1:13" ht="15" customHeight="1" x14ac:dyDescent="0.25">
      <c r="A870">
        <v>869</v>
      </c>
      <c r="B870" s="5">
        <v>45938</v>
      </c>
      <c r="C870" t="s">
        <v>33</v>
      </c>
      <c r="D870" t="s">
        <v>100</v>
      </c>
      <c r="E870" t="s">
        <v>101</v>
      </c>
      <c r="F870" t="s">
        <v>44</v>
      </c>
      <c r="G870" s="6">
        <v>3650.24</v>
      </c>
      <c r="H870" s="7">
        <v>0</v>
      </c>
      <c r="I870" s="6">
        <v>0</v>
      </c>
      <c r="J870" s="6">
        <v>3650.24</v>
      </c>
      <c r="K870" t="s">
        <v>1805</v>
      </c>
      <c r="L870" t="s">
        <v>1806</v>
      </c>
    </row>
    <row r="871" spans="1:13" ht="15" customHeight="1" x14ac:dyDescent="0.25">
      <c r="A871">
        <v>870</v>
      </c>
      <c r="B871" s="5">
        <v>45974</v>
      </c>
      <c r="C871" t="s">
        <v>33</v>
      </c>
      <c r="D871" t="s">
        <v>28</v>
      </c>
      <c r="E871" t="s">
        <v>29</v>
      </c>
      <c r="F871" t="s">
        <v>120</v>
      </c>
      <c r="G871" s="6">
        <v>766.31</v>
      </c>
      <c r="H871" s="7">
        <v>2.1000000000000001E-2</v>
      </c>
      <c r="I871" s="6">
        <v>16.09</v>
      </c>
      <c r="J871" s="6">
        <v>782.4</v>
      </c>
      <c r="K871" t="s">
        <v>1807</v>
      </c>
      <c r="L871" t="s">
        <v>1808</v>
      </c>
    </row>
    <row r="872" spans="1:13" ht="15" customHeight="1" x14ac:dyDescent="0.25">
      <c r="A872">
        <v>871</v>
      </c>
      <c r="B872" s="5">
        <v>45803</v>
      </c>
      <c r="C872" t="s">
        <v>47</v>
      </c>
      <c r="D872" t="s">
        <v>55</v>
      </c>
      <c r="E872" t="s">
        <v>56</v>
      </c>
      <c r="F872" t="s">
        <v>30</v>
      </c>
      <c r="G872" s="6">
        <v>2038.77</v>
      </c>
      <c r="H872" s="7">
        <v>5.5E-2</v>
      </c>
      <c r="I872" s="6">
        <v>112.13</v>
      </c>
      <c r="J872" s="6">
        <v>2150.9</v>
      </c>
      <c r="K872" t="s">
        <v>1809</v>
      </c>
      <c r="L872" t="s">
        <v>1810</v>
      </c>
    </row>
    <row r="873" spans="1:13" ht="15" customHeight="1" x14ac:dyDescent="0.25">
      <c r="A873">
        <v>872</v>
      </c>
      <c r="B873" s="5">
        <v>45672</v>
      </c>
      <c r="C873" t="s">
        <v>27</v>
      </c>
      <c r="D873" t="s">
        <v>42</v>
      </c>
      <c r="E873" t="s">
        <v>43</v>
      </c>
      <c r="F873" t="s">
        <v>44</v>
      </c>
      <c r="G873" s="6">
        <v>2656.42</v>
      </c>
      <c r="H873" s="7">
        <v>0</v>
      </c>
      <c r="I873" s="6">
        <v>0</v>
      </c>
      <c r="J873" s="6">
        <v>2656.42</v>
      </c>
      <c r="K873" t="s">
        <v>1811</v>
      </c>
      <c r="L873" t="s">
        <v>1812</v>
      </c>
    </row>
    <row r="874" spans="1:13" ht="15" customHeight="1" x14ac:dyDescent="0.25">
      <c r="A874">
        <v>873</v>
      </c>
      <c r="B874" s="5">
        <v>45797</v>
      </c>
      <c r="C874" t="s">
        <v>47</v>
      </c>
      <c r="D874" t="s">
        <v>79</v>
      </c>
      <c r="E874" t="s">
        <v>80</v>
      </c>
      <c r="F874" t="s">
        <v>30</v>
      </c>
      <c r="G874" s="6">
        <v>2504.5700000000002</v>
      </c>
      <c r="H874" s="7">
        <v>0.2</v>
      </c>
      <c r="I874" s="6">
        <v>500.91</v>
      </c>
      <c r="J874" s="6">
        <v>3005.48</v>
      </c>
      <c r="K874" t="s">
        <v>1813</v>
      </c>
      <c r="L874" t="s">
        <v>1814</v>
      </c>
    </row>
    <row r="875" spans="1:13" ht="15" customHeight="1" x14ac:dyDescent="0.25">
      <c r="A875">
        <v>874</v>
      </c>
      <c r="B875" s="5">
        <v>45891</v>
      </c>
      <c r="C875" t="s">
        <v>27</v>
      </c>
      <c r="D875" t="s">
        <v>28</v>
      </c>
      <c r="E875" t="s">
        <v>29</v>
      </c>
      <c r="F875" t="s">
        <v>120</v>
      </c>
      <c r="G875" s="6">
        <v>2869.23</v>
      </c>
      <c r="H875" s="7">
        <v>2.1000000000000001E-2</v>
      </c>
      <c r="I875" s="6">
        <v>60.25</v>
      </c>
      <c r="J875" s="6">
        <v>2929.48</v>
      </c>
      <c r="K875" t="s">
        <v>1815</v>
      </c>
      <c r="L875" t="s">
        <v>1816</v>
      </c>
    </row>
    <row r="876" spans="1:13" ht="15" customHeight="1" x14ac:dyDescent="0.25">
      <c r="A876">
        <v>875</v>
      </c>
      <c r="B876" s="5">
        <v>45985</v>
      </c>
      <c r="C876" t="s">
        <v>47</v>
      </c>
      <c r="D876" t="s">
        <v>172</v>
      </c>
      <c r="E876" t="s">
        <v>173</v>
      </c>
      <c r="F876" t="s">
        <v>50</v>
      </c>
      <c r="G876" s="6">
        <v>2439.33</v>
      </c>
      <c r="H876" s="7">
        <v>0.2</v>
      </c>
      <c r="I876" s="6">
        <v>487.87</v>
      </c>
      <c r="J876" s="6">
        <v>2927.2</v>
      </c>
      <c r="K876" t="s">
        <v>1817</v>
      </c>
      <c r="L876" t="s">
        <v>1818</v>
      </c>
    </row>
    <row r="877" spans="1:13" ht="15" customHeight="1" x14ac:dyDescent="0.25">
      <c r="A877">
        <v>876</v>
      </c>
      <c r="B877" s="5">
        <v>45884</v>
      </c>
      <c r="C877" t="s">
        <v>27</v>
      </c>
      <c r="D877" t="s">
        <v>55</v>
      </c>
      <c r="E877" t="s">
        <v>56</v>
      </c>
      <c r="F877" t="s">
        <v>36</v>
      </c>
      <c r="G877" s="6">
        <v>1440.78</v>
      </c>
      <c r="H877" s="7">
        <v>5.5E-2</v>
      </c>
      <c r="I877" s="6">
        <v>79.239999999999995</v>
      </c>
      <c r="J877" s="6">
        <v>1520.02</v>
      </c>
      <c r="K877" t="s">
        <v>1819</v>
      </c>
      <c r="M877" t="s">
        <v>186</v>
      </c>
    </row>
    <row r="878" spans="1:13" ht="15" customHeight="1" x14ac:dyDescent="0.25">
      <c r="A878">
        <v>877</v>
      </c>
      <c r="B878" s="5">
        <v>45658</v>
      </c>
      <c r="C878" t="s">
        <v>33</v>
      </c>
      <c r="D878" t="s">
        <v>55</v>
      </c>
      <c r="E878" t="s">
        <v>56</v>
      </c>
      <c r="F878" t="s">
        <v>30</v>
      </c>
      <c r="G878" s="6">
        <v>2393.06</v>
      </c>
      <c r="H878" s="7">
        <v>5.5E-2</v>
      </c>
      <c r="I878" s="6">
        <v>131.62</v>
      </c>
      <c r="J878" s="6">
        <v>2524.6799999999998</v>
      </c>
      <c r="K878" t="s">
        <v>1820</v>
      </c>
      <c r="L878" t="s">
        <v>1821</v>
      </c>
    </row>
    <row r="879" spans="1:13" ht="15" customHeight="1" x14ac:dyDescent="0.25">
      <c r="A879">
        <v>878</v>
      </c>
      <c r="B879" s="5">
        <v>46010</v>
      </c>
      <c r="C879" t="s">
        <v>47</v>
      </c>
      <c r="D879" t="s">
        <v>79</v>
      </c>
      <c r="E879" t="s">
        <v>80</v>
      </c>
      <c r="F879" t="s">
        <v>76</v>
      </c>
      <c r="G879" s="6">
        <v>4155.63</v>
      </c>
      <c r="H879" s="7">
        <v>0.2</v>
      </c>
      <c r="I879" s="6">
        <v>831.13</v>
      </c>
      <c r="J879" s="6">
        <v>4986.76</v>
      </c>
      <c r="K879" t="s">
        <v>1822</v>
      </c>
      <c r="L879" t="s">
        <v>1823</v>
      </c>
    </row>
    <row r="880" spans="1:13" ht="15" customHeight="1" x14ac:dyDescent="0.25">
      <c r="A880">
        <v>879</v>
      </c>
      <c r="B880" s="5">
        <v>45807</v>
      </c>
      <c r="C880" t="s">
        <v>33</v>
      </c>
      <c r="D880" t="s">
        <v>42</v>
      </c>
      <c r="E880" t="s">
        <v>43</v>
      </c>
      <c r="F880" t="s">
        <v>44</v>
      </c>
      <c r="G880" s="6">
        <v>3712.24</v>
      </c>
      <c r="H880" s="7">
        <v>0</v>
      </c>
      <c r="I880" s="6">
        <v>0</v>
      </c>
      <c r="J880" s="6">
        <v>3712.24</v>
      </c>
      <c r="K880" t="s">
        <v>1824</v>
      </c>
      <c r="L880" t="s">
        <v>1825</v>
      </c>
    </row>
    <row r="881" spans="1:12" ht="15" customHeight="1" x14ac:dyDescent="0.25">
      <c r="A881">
        <v>880</v>
      </c>
      <c r="B881" s="5">
        <v>45945</v>
      </c>
      <c r="C881" t="s">
        <v>47</v>
      </c>
      <c r="D881" t="s">
        <v>28</v>
      </c>
      <c r="E881" t="s">
        <v>29</v>
      </c>
      <c r="F881" t="s">
        <v>71</v>
      </c>
      <c r="G881" s="6">
        <v>2012.01</v>
      </c>
      <c r="H881" s="7">
        <v>2.1000000000000001E-2</v>
      </c>
      <c r="I881" s="6">
        <v>42.25</v>
      </c>
      <c r="J881" s="6">
        <v>2054.2600000000002</v>
      </c>
      <c r="K881" t="s">
        <v>1826</v>
      </c>
      <c r="L881" t="s">
        <v>1827</v>
      </c>
    </row>
    <row r="882" spans="1:12" ht="15" customHeight="1" x14ac:dyDescent="0.25">
      <c r="A882">
        <v>881</v>
      </c>
      <c r="B882" s="5">
        <v>45770</v>
      </c>
      <c r="C882" t="s">
        <v>27</v>
      </c>
      <c r="D882" t="s">
        <v>42</v>
      </c>
      <c r="E882" t="s">
        <v>43</v>
      </c>
      <c r="F882" t="s">
        <v>44</v>
      </c>
      <c r="G882" s="6">
        <v>2813.37</v>
      </c>
      <c r="H882" s="7">
        <v>0</v>
      </c>
      <c r="I882" s="6">
        <v>0</v>
      </c>
      <c r="J882" s="6">
        <v>2813.37</v>
      </c>
      <c r="K882" t="s">
        <v>1828</v>
      </c>
      <c r="L882" t="s">
        <v>1829</v>
      </c>
    </row>
    <row r="883" spans="1:12" ht="15" customHeight="1" x14ac:dyDescent="0.25">
      <c r="A883">
        <v>882</v>
      </c>
      <c r="B883" s="5">
        <v>45971</v>
      </c>
      <c r="C883" t="s">
        <v>27</v>
      </c>
      <c r="D883" t="s">
        <v>42</v>
      </c>
      <c r="E883" t="s">
        <v>43</v>
      </c>
      <c r="F883" t="s">
        <v>44</v>
      </c>
      <c r="G883" s="6">
        <v>3443.14</v>
      </c>
      <c r="H883" s="7">
        <v>0</v>
      </c>
      <c r="I883" s="6">
        <v>0</v>
      </c>
      <c r="J883" s="6">
        <v>3443.14</v>
      </c>
      <c r="K883" t="s">
        <v>1830</v>
      </c>
      <c r="L883" t="s">
        <v>1831</v>
      </c>
    </row>
    <row r="884" spans="1:12" ht="15" customHeight="1" x14ac:dyDescent="0.25">
      <c r="A884">
        <v>883</v>
      </c>
      <c r="B884" s="5">
        <v>45869</v>
      </c>
      <c r="C884" t="s">
        <v>27</v>
      </c>
      <c r="D884" t="s">
        <v>42</v>
      </c>
      <c r="E884" t="s">
        <v>43</v>
      </c>
      <c r="F884" t="s">
        <v>44</v>
      </c>
      <c r="G884" s="6">
        <v>1964.31</v>
      </c>
      <c r="H884" s="7">
        <v>0</v>
      </c>
      <c r="I884" s="6">
        <v>0</v>
      </c>
      <c r="J884" s="6">
        <v>1964.31</v>
      </c>
      <c r="K884" t="s">
        <v>1832</v>
      </c>
      <c r="L884" t="s">
        <v>1833</v>
      </c>
    </row>
    <row r="885" spans="1:12" ht="15" customHeight="1" x14ac:dyDescent="0.25">
      <c r="A885">
        <v>884</v>
      </c>
      <c r="B885" s="5">
        <v>45891</v>
      </c>
      <c r="C885" t="s">
        <v>47</v>
      </c>
      <c r="D885" t="s">
        <v>28</v>
      </c>
      <c r="E885" t="s">
        <v>29</v>
      </c>
      <c r="F885" t="s">
        <v>174</v>
      </c>
      <c r="G885" s="6">
        <v>2810.36</v>
      </c>
      <c r="H885" s="7">
        <v>2.1000000000000001E-2</v>
      </c>
      <c r="I885" s="6">
        <v>59.02</v>
      </c>
      <c r="J885" s="6">
        <v>2869.38</v>
      </c>
      <c r="K885" t="s">
        <v>1834</v>
      </c>
      <c r="L885" t="s">
        <v>1835</v>
      </c>
    </row>
    <row r="886" spans="1:12" ht="15" customHeight="1" x14ac:dyDescent="0.25">
      <c r="A886">
        <v>885</v>
      </c>
      <c r="B886" s="5">
        <v>45667</v>
      </c>
      <c r="C886" t="s">
        <v>27</v>
      </c>
      <c r="D886" t="s">
        <v>79</v>
      </c>
      <c r="E886" t="s">
        <v>80</v>
      </c>
      <c r="F886" t="s">
        <v>106</v>
      </c>
      <c r="G886" s="6">
        <v>752.5</v>
      </c>
      <c r="H886" s="7">
        <v>0.2</v>
      </c>
      <c r="I886" s="6">
        <v>150.5</v>
      </c>
      <c r="J886" s="6">
        <v>903</v>
      </c>
      <c r="K886" t="s">
        <v>1836</v>
      </c>
      <c r="L886" t="s">
        <v>1837</v>
      </c>
    </row>
    <row r="887" spans="1:12" ht="15" customHeight="1" x14ac:dyDescent="0.25">
      <c r="A887">
        <v>886</v>
      </c>
      <c r="B887" s="5">
        <v>45722</v>
      </c>
      <c r="C887" t="s">
        <v>33</v>
      </c>
      <c r="D887" t="s">
        <v>94</v>
      </c>
      <c r="E887" t="s">
        <v>95</v>
      </c>
      <c r="F887" t="s">
        <v>44</v>
      </c>
      <c r="G887" s="6">
        <v>2317.77</v>
      </c>
      <c r="H887" s="7">
        <v>0</v>
      </c>
      <c r="I887" s="6">
        <v>0</v>
      </c>
      <c r="J887" s="6">
        <v>2317.77</v>
      </c>
      <c r="K887" t="s">
        <v>1838</v>
      </c>
      <c r="L887" t="s">
        <v>1839</v>
      </c>
    </row>
    <row r="888" spans="1:12" ht="15" customHeight="1" x14ac:dyDescent="0.25">
      <c r="A888">
        <v>887</v>
      </c>
      <c r="B888" s="5">
        <v>45910</v>
      </c>
      <c r="C888" t="s">
        <v>33</v>
      </c>
      <c r="D888" t="s">
        <v>28</v>
      </c>
      <c r="E888" t="s">
        <v>29</v>
      </c>
      <c r="F888" t="s">
        <v>36</v>
      </c>
      <c r="G888" s="6">
        <v>1039.97</v>
      </c>
      <c r="H888" s="7">
        <v>2.1000000000000001E-2</v>
      </c>
      <c r="I888" s="6">
        <v>21.84</v>
      </c>
      <c r="J888" s="6">
        <v>1061.81</v>
      </c>
      <c r="K888" t="s">
        <v>1840</v>
      </c>
      <c r="L888" t="s">
        <v>1841</v>
      </c>
    </row>
    <row r="889" spans="1:12" ht="15" customHeight="1" x14ac:dyDescent="0.25">
      <c r="A889">
        <v>888</v>
      </c>
      <c r="B889" s="5">
        <v>45895</v>
      </c>
      <c r="C889" t="s">
        <v>47</v>
      </c>
      <c r="D889" t="s">
        <v>94</v>
      </c>
      <c r="E889" t="s">
        <v>95</v>
      </c>
      <c r="F889" t="s">
        <v>44</v>
      </c>
      <c r="G889" s="6">
        <v>579.34</v>
      </c>
      <c r="H889" s="7">
        <v>0</v>
      </c>
      <c r="I889" s="6">
        <v>0</v>
      </c>
      <c r="J889" s="6">
        <v>579.34</v>
      </c>
      <c r="K889" t="s">
        <v>1842</v>
      </c>
      <c r="L889" t="s">
        <v>1843</v>
      </c>
    </row>
    <row r="890" spans="1:12" ht="15" customHeight="1" x14ac:dyDescent="0.25">
      <c r="A890">
        <v>889</v>
      </c>
      <c r="B890" s="5">
        <v>45694</v>
      </c>
      <c r="C890" t="s">
        <v>33</v>
      </c>
      <c r="D890" t="s">
        <v>28</v>
      </c>
      <c r="E890" t="s">
        <v>29</v>
      </c>
      <c r="F890" t="s">
        <v>30</v>
      </c>
      <c r="G890" s="6">
        <v>2480.91</v>
      </c>
      <c r="H890" s="7">
        <v>2.1000000000000001E-2</v>
      </c>
      <c r="I890" s="6">
        <v>52.1</v>
      </c>
      <c r="J890" s="6">
        <v>2533.0100000000002</v>
      </c>
      <c r="K890" t="s">
        <v>1844</v>
      </c>
      <c r="L890" t="s">
        <v>1845</v>
      </c>
    </row>
    <row r="891" spans="1:12" ht="15" customHeight="1" x14ac:dyDescent="0.25">
      <c r="A891">
        <v>890</v>
      </c>
      <c r="B891" s="5">
        <v>45664</v>
      </c>
      <c r="C891" t="s">
        <v>47</v>
      </c>
      <c r="D891" t="s">
        <v>42</v>
      </c>
      <c r="E891" t="s">
        <v>43</v>
      </c>
      <c r="F891" t="s">
        <v>44</v>
      </c>
      <c r="G891" s="6">
        <v>3643.55</v>
      </c>
      <c r="H891" s="7">
        <v>0</v>
      </c>
      <c r="I891" s="6">
        <v>0</v>
      </c>
      <c r="J891" s="6">
        <v>3643.55</v>
      </c>
      <c r="K891" t="s">
        <v>1846</v>
      </c>
      <c r="L891" t="s">
        <v>1847</v>
      </c>
    </row>
    <row r="892" spans="1:12" ht="15" customHeight="1" x14ac:dyDescent="0.25">
      <c r="A892">
        <v>891</v>
      </c>
      <c r="B892" s="5">
        <v>45884</v>
      </c>
      <c r="C892" t="s">
        <v>47</v>
      </c>
      <c r="D892" t="s">
        <v>42</v>
      </c>
      <c r="E892" t="s">
        <v>43</v>
      </c>
      <c r="F892" t="s">
        <v>44</v>
      </c>
      <c r="G892" s="6">
        <v>4186.88</v>
      </c>
      <c r="H892" s="7">
        <v>0</v>
      </c>
      <c r="I892" s="6">
        <v>0</v>
      </c>
      <c r="J892" s="6">
        <v>4186.88</v>
      </c>
      <c r="K892" t="s">
        <v>1848</v>
      </c>
      <c r="L892" t="s">
        <v>1849</v>
      </c>
    </row>
    <row r="893" spans="1:12" ht="15" customHeight="1" x14ac:dyDescent="0.25">
      <c r="A893">
        <v>892</v>
      </c>
      <c r="B893" s="5">
        <v>45706</v>
      </c>
      <c r="C893" t="s">
        <v>47</v>
      </c>
      <c r="D893" t="s">
        <v>42</v>
      </c>
      <c r="E893" t="s">
        <v>43</v>
      </c>
      <c r="F893" t="s">
        <v>44</v>
      </c>
      <c r="G893" s="6">
        <v>4157.08</v>
      </c>
      <c r="H893" s="7">
        <v>0</v>
      </c>
      <c r="I893" s="6">
        <v>0</v>
      </c>
      <c r="J893" s="6">
        <v>4157.08</v>
      </c>
      <c r="K893" t="s">
        <v>1850</v>
      </c>
      <c r="L893" t="s">
        <v>1851</v>
      </c>
    </row>
    <row r="894" spans="1:12" ht="15" customHeight="1" x14ac:dyDescent="0.25">
      <c r="A894">
        <v>893</v>
      </c>
      <c r="B894" s="5">
        <v>45817</v>
      </c>
      <c r="C894" t="s">
        <v>47</v>
      </c>
      <c r="D894" t="s">
        <v>34</v>
      </c>
      <c r="E894" t="s">
        <v>35</v>
      </c>
      <c r="F894" t="s">
        <v>30</v>
      </c>
      <c r="G894" s="6">
        <v>4218.07</v>
      </c>
      <c r="H894" s="7">
        <v>0.2</v>
      </c>
      <c r="I894" s="6">
        <v>843.61</v>
      </c>
      <c r="J894" s="6">
        <v>5061.68</v>
      </c>
      <c r="K894" t="s">
        <v>1852</v>
      </c>
      <c r="L894" t="s">
        <v>1853</v>
      </c>
    </row>
    <row r="895" spans="1:12" ht="15" customHeight="1" x14ac:dyDescent="0.25">
      <c r="A895">
        <v>894</v>
      </c>
      <c r="B895" s="5">
        <v>45939</v>
      </c>
      <c r="C895" t="s">
        <v>27</v>
      </c>
      <c r="D895" t="s">
        <v>28</v>
      </c>
      <c r="E895" t="s">
        <v>29</v>
      </c>
      <c r="F895" t="s">
        <v>174</v>
      </c>
      <c r="G895" s="6">
        <v>2382.4899999999998</v>
      </c>
      <c r="H895" s="7">
        <v>2.1000000000000001E-2</v>
      </c>
      <c r="I895" s="6">
        <v>50.03</v>
      </c>
      <c r="J895" s="6">
        <v>2432.52</v>
      </c>
      <c r="K895" t="s">
        <v>1854</v>
      </c>
      <c r="L895" t="s">
        <v>1855</v>
      </c>
    </row>
    <row r="896" spans="1:12" ht="15" customHeight="1" x14ac:dyDescent="0.25">
      <c r="A896">
        <v>895</v>
      </c>
      <c r="B896" s="5">
        <v>45842</v>
      </c>
      <c r="C896" t="s">
        <v>27</v>
      </c>
      <c r="D896" t="s">
        <v>55</v>
      </c>
      <c r="E896" t="s">
        <v>56</v>
      </c>
      <c r="F896" t="s">
        <v>120</v>
      </c>
      <c r="G896" s="6">
        <v>4002.84</v>
      </c>
      <c r="H896" s="7">
        <v>5.5E-2</v>
      </c>
      <c r="I896" s="6">
        <v>220.16</v>
      </c>
      <c r="J896" s="6">
        <v>4223</v>
      </c>
      <c r="K896" t="s">
        <v>1856</v>
      </c>
      <c r="L896" t="s">
        <v>1857</v>
      </c>
    </row>
    <row r="897" spans="1:13" ht="15" customHeight="1" x14ac:dyDescent="0.25">
      <c r="A897">
        <v>896</v>
      </c>
      <c r="B897" s="5">
        <v>45880</v>
      </c>
      <c r="C897" t="s">
        <v>33</v>
      </c>
      <c r="D897" t="s">
        <v>55</v>
      </c>
      <c r="E897" t="s">
        <v>56</v>
      </c>
      <c r="F897" t="s">
        <v>30</v>
      </c>
      <c r="G897" s="6">
        <v>1514.35</v>
      </c>
      <c r="H897" s="7">
        <v>5.5E-2</v>
      </c>
      <c r="I897" s="6">
        <v>83.29</v>
      </c>
      <c r="J897" s="6">
        <v>1597.64</v>
      </c>
      <c r="K897" t="s">
        <v>1858</v>
      </c>
      <c r="L897" t="s">
        <v>1859</v>
      </c>
    </row>
    <row r="898" spans="1:13" ht="15" customHeight="1" x14ac:dyDescent="0.25">
      <c r="A898">
        <v>897</v>
      </c>
      <c r="B898" s="5">
        <v>45860</v>
      </c>
      <c r="C898" t="s">
        <v>47</v>
      </c>
      <c r="D898" t="s">
        <v>172</v>
      </c>
      <c r="E898" t="s">
        <v>173</v>
      </c>
      <c r="F898" t="s">
        <v>39</v>
      </c>
      <c r="G898" s="6">
        <v>3568.02</v>
      </c>
      <c r="H898" s="7">
        <v>0.2</v>
      </c>
      <c r="I898" s="6">
        <v>713.6</v>
      </c>
      <c r="J898" s="6">
        <v>4281.62</v>
      </c>
      <c r="K898" t="s">
        <v>1860</v>
      </c>
      <c r="L898" t="s">
        <v>1861</v>
      </c>
    </row>
    <row r="899" spans="1:13" ht="15" customHeight="1" x14ac:dyDescent="0.25">
      <c r="A899">
        <v>898</v>
      </c>
      <c r="B899" s="5">
        <v>45901</v>
      </c>
      <c r="C899" t="s">
        <v>27</v>
      </c>
      <c r="D899" t="s">
        <v>42</v>
      </c>
      <c r="E899" t="s">
        <v>43</v>
      </c>
      <c r="F899" t="s">
        <v>44</v>
      </c>
      <c r="G899" s="6">
        <v>2171.98</v>
      </c>
      <c r="H899" s="7">
        <v>0</v>
      </c>
      <c r="I899" s="6">
        <v>0</v>
      </c>
      <c r="J899" s="6">
        <v>2171.98</v>
      </c>
      <c r="K899" t="s">
        <v>1862</v>
      </c>
      <c r="L899" t="s">
        <v>1863</v>
      </c>
    </row>
    <row r="900" spans="1:13" ht="15" customHeight="1" x14ac:dyDescent="0.25">
      <c r="A900">
        <v>899</v>
      </c>
      <c r="B900" s="5">
        <v>46009</v>
      </c>
      <c r="C900" t="s">
        <v>33</v>
      </c>
      <c r="D900" t="s">
        <v>55</v>
      </c>
      <c r="E900" t="s">
        <v>56</v>
      </c>
      <c r="F900" t="s">
        <v>120</v>
      </c>
      <c r="G900" s="6">
        <v>2814.41</v>
      </c>
      <c r="H900" s="7">
        <v>5.5E-2</v>
      </c>
      <c r="I900" s="6">
        <v>154.79</v>
      </c>
      <c r="J900" s="6">
        <v>2969.2</v>
      </c>
      <c r="K900" t="s">
        <v>1864</v>
      </c>
      <c r="L900" t="s">
        <v>1865</v>
      </c>
    </row>
    <row r="901" spans="1:13" ht="15" customHeight="1" x14ac:dyDescent="0.25">
      <c r="A901">
        <v>900</v>
      </c>
      <c r="B901" s="5">
        <v>45736</v>
      </c>
      <c r="C901" t="s">
        <v>33</v>
      </c>
      <c r="D901" t="s">
        <v>55</v>
      </c>
      <c r="E901" t="s">
        <v>56</v>
      </c>
      <c r="F901" t="s">
        <v>87</v>
      </c>
      <c r="G901" s="6">
        <v>3179.87</v>
      </c>
      <c r="H901" s="7">
        <v>5.5E-2</v>
      </c>
      <c r="I901" s="6">
        <v>174.89</v>
      </c>
      <c r="J901" s="6">
        <v>3354.76</v>
      </c>
      <c r="K901" t="s">
        <v>1866</v>
      </c>
      <c r="L901" t="s">
        <v>1867</v>
      </c>
    </row>
    <row r="902" spans="1:13" ht="15" customHeight="1" x14ac:dyDescent="0.25">
      <c r="A902">
        <v>901</v>
      </c>
      <c r="B902" s="5">
        <v>45943</v>
      </c>
      <c r="C902" t="s">
        <v>47</v>
      </c>
      <c r="D902" t="s">
        <v>55</v>
      </c>
      <c r="E902" t="s">
        <v>56</v>
      </c>
      <c r="F902" t="s">
        <v>50</v>
      </c>
      <c r="G902" s="6">
        <v>3565.44</v>
      </c>
      <c r="H902" s="7">
        <v>5.5E-2</v>
      </c>
      <c r="I902" s="6">
        <v>196.1</v>
      </c>
      <c r="J902" s="6">
        <v>3761.54</v>
      </c>
      <c r="K902" t="s">
        <v>1868</v>
      </c>
      <c r="L902" t="s">
        <v>1869</v>
      </c>
    </row>
    <row r="903" spans="1:13" ht="15" customHeight="1" x14ac:dyDescent="0.25">
      <c r="A903">
        <v>902</v>
      </c>
      <c r="B903" s="5">
        <v>46010</v>
      </c>
      <c r="C903" t="s">
        <v>47</v>
      </c>
      <c r="D903" t="s">
        <v>42</v>
      </c>
      <c r="E903" t="s">
        <v>43</v>
      </c>
      <c r="F903" t="s">
        <v>44</v>
      </c>
      <c r="G903" s="6">
        <v>3538.56</v>
      </c>
      <c r="H903" s="7">
        <v>0</v>
      </c>
      <c r="I903" s="6">
        <v>0</v>
      </c>
      <c r="J903" s="6">
        <v>3538.56</v>
      </c>
      <c r="K903" t="s">
        <v>1870</v>
      </c>
      <c r="L903" t="s">
        <v>1871</v>
      </c>
    </row>
    <row r="904" spans="1:13" ht="15" customHeight="1" x14ac:dyDescent="0.25">
      <c r="A904">
        <v>903</v>
      </c>
      <c r="B904" s="5">
        <v>45882</v>
      </c>
      <c r="C904" t="s">
        <v>33</v>
      </c>
      <c r="D904" t="s">
        <v>79</v>
      </c>
      <c r="E904" t="s">
        <v>80</v>
      </c>
      <c r="F904" t="s">
        <v>106</v>
      </c>
      <c r="G904" s="6">
        <v>2550.89</v>
      </c>
      <c r="H904" s="7">
        <v>0.2</v>
      </c>
      <c r="I904" s="6">
        <v>510.18</v>
      </c>
      <c r="J904" s="6">
        <v>3061.07</v>
      </c>
      <c r="K904" t="s">
        <v>1872</v>
      </c>
      <c r="L904" t="s">
        <v>1873</v>
      </c>
    </row>
    <row r="905" spans="1:13" ht="15" customHeight="1" x14ac:dyDescent="0.25">
      <c r="A905">
        <v>904</v>
      </c>
      <c r="B905" s="5">
        <v>45936</v>
      </c>
      <c r="C905" t="s">
        <v>47</v>
      </c>
      <c r="D905" t="s">
        <v>28</v>
      </c>
      <c r="E905" t="s">
        <v>29</v>
      </c>
      <c r="F905" t="s">
        <v>81</v>
      </c>
      <c r="G905" s="6">
        <v>1616.68</v>
      </c>
      <c r="H905" s="7">
        <v>2.1000000000000001E-2</v>
      </c>
      <c r="I905" s="6">
        <v>33.950000000000003</v>
      </c>
      <c r="J905" s="6">
        <v>1650.63</v>
      </c>
      <c r="K905" t="s">
        <v>1874</v>
      </c>
      <c r="L905" t="s">
        <v>1875</v>
      </c>
    </row>
    <row r="906" spans="1:13" ht="15" customHeight="1" x14ac:dyDescent="0.25">
      <c r="A906">
        <v>905</v>
      </c>
      <c r="B906" s="5">
        <v>45964</v>
      </c>
      <c r="C906" t="s">
        <v>47</v>
      </c>
      <c r="D906" t="s">
        <v>42</v>
      </c>
      <c r="E906" t="s">
        <v>43</v>
      </c>
      <c r="F906" t="s">
        <v>44</v>
      </c>
      <c r="G906" s="6">
        <v>19620.23</v>
      </c>
      <c r="H906" s="7">
        <v>0</v>
      </c>
      <c r="I906" s="6">
        <v>0</v>
      </c>
      <c r="J906" s="6">
        <v>19620.23</v>
      </c>
      <c r="K906" t="s">
        <v>1876</v>
      </c>
      <c r="L906" t="s">
        <v>1877</v>
      </c>
      <c r="M906" t="s">
        <v>580</v>
      </c>
    </row>
    <row r="907" spans="1:13" ht="15" customHeight="1" x14ac:dyDescent="0.25">
      <c r="A907">
        <v>906</v>
      </c>
      <c r="B907" s="5">
        <v>45792</v>
      </c>
      <c r="C907" t="s">
        <v>27</v>
      </c>
      <c r="D907" t="s">
        <v>28</v>
      </c>
      <c r="E907" t="s">
        <v>29</v>
      </c>
      <c r="F907" t="s">
        <v>76</v>
      </c>
      <c r="G907" s="6">
        <v>2473.9</v>
      </c>
      <c r="H907" s="7">
        <v>2.1000000000000001E-2</v>
      </c>
      <c r="I907" s="6">
        <v>51.95</v>
      </c>
      <c r="J907" s="6">
        <v>2525.85</v>
      </c>
      <c r="K907" t="s">
        <v>1878</v>
      </c>
      <c r="L907" t="s">
        <v>1879</v>
      </c>
    </row>
    <row r="908" spans="1:13" ht="15" customHeight="1" x14ac:dyDescent="0.25">
      <c r="A908">
        <v>907</v>
      </c>
      <c r="B908" s="5">
        <v>45667</v>
      </c>
      <c r="C908" t="s">
        <v>27</v>
      </c>
      <c r="D908" t="s">
        <v>79</v>
      </c>
      <c r="E908" t="s">
        <v>80</v>
      </c>
      <c r="F908" t="s">
        <v>50</v>
      </c>
      <c r="G908" s="6">
        <v>2819.23</v>
      </c>
      <c r="H908" s="7">
        <v>0.2</v>
      </c>
      <c r="I908" s="6">
        <v>563.85</v>
      </c>
      <c r="J908" s="6">
        <v>3383.08</v>
      </c>
      <c r="K908" t="s">
        <v>1880</v>
      </c>
      <c r="L908" t="s">
        <v>1881</v>
      </c>
    </row>
    <row r="909" spans="1:13" ht="15" customHeight="1" x14ac:dyDescent="0.25">
      <c r="A909">
        <v>908</v>
      </c>
      <c r="B909" s="5">
        <v>45995</v>
      </c>
      <c r="C909" t="s">
        <v>27</v>
      </c>
      <c r="D909" t="s">
        <v>55</v>
      </c>
      <c r="E909" t="s">
        <v>56</v>
      </c>
      <c r="F909" t="s">
        <v>36</v>
      </c>
      <c r="G909" s="6">
        <v>4354.8599999999997</v>
      </c>
      <c r="H909" s="7">
        <v>5.5E-2</v>
      </c>
      <c r="I909" s="6">
        <v>239.52</v>
      </c>
      <c r="J909" s="6">
        <v>4594.38</v>
      </c>
      <c r="K909" t="s">
        <v>1882</v>
      </c>
      <c r="L909" t="s">
        <v>1883</v>
      </c>
    </row>
    <row r="910" spans="1:13" ht="15" customHeight="1" x14ac:dyDescent="0.25">
      <c r="A910">
        <v>909</v>
      </c>
      <c r="B910" s="5">
        <v>45940</v>
      </c>
      <c r="C910" t="s">
        <v>27</v>
      </c>
      <c r="D910" t="s">
        <v>34</v>
      </c>
      <c r="E910" t="s">
        <v>35</v>
      </c>
      <c r="F910" t="s">
        <v>174</v>
      </c>
      <c r="G910" s="6">
        <v>761.26</v>
      </c>
      <c r="H910" s="7">
        <v>0.2</v>
      </c>
      <c r="I910" s="6">
        <v>152.25</v>
      </c>
      <c r="J910" s="6">
        <v>913.51</v>
      </c>
      <c r="K910" t="s">
        <v>1884</v>
      </c>
      <c r="L910" t="s">
        <v>1885</v>
      </c>
    </row>
    <row r="911" spans="1:13" ht="15" customHeight="1" x14ac:dyDescent="0.25">
      <c r="A911">
        <v>910</v>
      </c>
      <c r="B911" s="5">
        <v>45714</v>
      </c>
      <c r="C911" t="s">
        <v>47</v>
      </c>
      <c r="D911" t="s">
        <v>181</v>
      </c>
      <c r="E911" t="s">
        <v>182</v>
      </c>
      <c r="F911" t="s">
        <v>120</v>
      </c>
      <c r="G911" s="6">
        <v>505.45</v>
      </c>
      <c r="H911" s="7">
        <v>0.2</v>
      </c>
      <c r="I911" s="6">
        <v>101.09</v>
      </c>
      <c r="J911" s="6">
        <v>606.54</v>
      </c>
      <c r="K911" t="s">
        <v>1886</v>
      </c>
      <c r="L911" t="s">
        <v>1887</v>
      </c>
    </row>
    <row r="912" spans="1:13" ht="15" customHeight="1" x14ac:dyDescent="0.25">
      <c r="A912">
        <v>911</v>
      </c>
      <c r="B912" s="5">
        <v>45749</v>
      </c>
      <c r="C912" t="s">
        <v>33</v>
      </c>
      <c r="D912" t="s">
        <v>42</v>
      </c>
      <c r="E912" t="s">
        <v>43</v>
      </c>
      <c r="F912" t="s">
        <v>44</v>
      </c>
      <c r="G912" s="6">
        <v>2284.9899999999998</v>
      </c>
      <c r="H912" s="7">
        <v>0</v>
      </c>
      <c r="I912" s="6">
        <v>0</v>
      </c>
      <c r="J912" s="6">
        <v>2284.9899999999998</v>
      </c>
      <c r="K912" t="s">
        <v>1888</v>
      </c>
      <c r="L912" t="s">
        <v>1889</v>
      </c>
    </row>
    <row r="913" spans="1:12" ht="15" customHeight="1" x14ac:dyDescent="0.25">
      <c r="A913">
        <v>912</v>
      </c>
      <c r="B913" s="5">
        <v>45950</v>
      </c>
      <c r="C913" t="s">
        <v>33</v>
      </c>
      <c r="D913" t="s">
        <v>28</v>
      </c>
      <c r="E913" t="s">
        <v>29</v>
      </c>
      <c r="F913" t="s">
        <v>36</v>
      </c>
      <c r="G913" s="6">
        <v>2916.54</v>
      </c>
      <c r="H913" s="7">
        <v>2.1000000000000001E-2</v>
      </c>
      <c r="I913" s="6">
        <v>61.25</v>
      </c>
      <c r="J913" s="6">
        <v>2977.79</v>
      </c>
      <c r="K913" t="s">
        <v>1890</v>
      </c>
      <c r="L913" t="s">
        <v>1891</v>
      </c>
    </row>
    <row r="914" spans="1:12" ht="15" customHeight="1" x14ac:dyDescent="0.25">
      <c r="A914">
        <v>913</v>
      </c>
      <c r="B914" s="5">
        <v>46017</v>
      </c>
      <c r="C914" t="s">
        <v>47</v>
      </c>
      <c r="D914" t="s">
        <v>172</v>
      </c>
      <c r="E914" t="s">
        <v>173</v>
      </c>
      <c r="F914" t="s">
        <v>39</v>
      </c>
      <c r="G914" s="6">
        <v>2689.13</v>
      </c>
      <c r="H914" s="7">
        <v>0.2</v>
      </c>
      <c r="I914" s="6">
        <v>537.83000000000004</v>
      </c>
      <c r="J914" s="6">
        <v>3226.96</v>
      </c>
      <c r="K914" t="s">
        <v>1892</v>
      </c>
      <c r="L914" t="s">
        <v>1893</v>
      </c>
    </row>
    <row r="915" spans="1:12" ht="15" customHeight="1" x14ac:dyDescent="0.25">
      <c r="A915">
        <v>914</v>
      </c>
      <c r="B915" s="5">
        <v>45694</v>
      </c>
      <c r="C915" t="s">
        <v>33</v>
      </c>
      <c r="D915" t="s">
        <v>172</v>
      </c>
      <c r="E915" t="s">
        <v>173</v>
      </c>
      <c r="F915" t="s">
        <v>71</v>
      </c>
      <c r="G915" s="6">
        <v>137.84</v>
      </c>
      <c r="H915" s="7">
        <v>0.2</v>
      </c>
      <c r="I915" s="6">
        <v>27.57</v>
      </c>
      <c r="J915" s="6">
        <v>165.41</v>
      </c>
      <c r="K915" t="s">
        <v>1894</v>
      </c>
      <c r="L915" t="s">
        <v>1895</v>
      </c>
    </row>
    <row r="916" spans="1:12" ht="15" customHeight="1" x14ac:dyDescent="0.25">
      <c r="A916">
        <v>915</v>
      </c>
      <c r="B916" s="5">
        <v>45698</v>
      </c>
      <c r="C916" t="s">
        <v>47</v>
      </c>
      <c r="D916" t="s">
        <v>100</v>
      </c>
      <c r="E916" t="s">
        <v>101</v>
      </c>
      <c r="F916" t="s">
        <v>44</v>
      </c>
      <c r="G916" s="6">
        <v>3333.4</v>
      </c>
      <c r="H916" s="7">
        <v>0</v>
      </c>
      <c r="I916" s="6">
        <v>0</v>
      </c>
      <c r="J916" s="6">
        <v>3333.4</v>
      </c>
      <c r="K916" t="s">
        <v>1896</v>
      </c>
      <c r="L916" t="s">
        <v>1897</v>
      </c>
    </row>
    <row r="917" spans="1:12" ht="15" customHeight="1" x14ac:dyDescent="0.25">
      <c r="A917">
        <v>916</v>
      </c>
      <c r="B917" s="5">
        <v>45870</v>
      </c>
      <c r="C917" t="s">
        <v>27</v>
      </c>
      <c r="D917" t="s">
        <v>42</v>
      </c>
      <c r="E917" t="s">
        <v>43</v>
      </c>
      <c r="F917" t="s">
        <v>44</v>
      </c>
      <c r="G917" s="6">
        <v>3706.2</v>
      </c>
      <c r="H917" s="7">
        <v>0</v>
      </c>
      <c r="I917" s="6">
        <v>0</v>
      </c>
      <c r="J917" s="6">
        <v>3706.2</v>
      </c>
      <c r="K917" t="s">
        <v>1898</v>
      </c>
      <c r="L917" t="s">
        <v>1899</v>
      </c>
    </row>
    <row r="918" spans="1:12" ht="15" customHeight="1" x14ac:dyDescent="0.25">
      <c r="A918">
        <v>917</v>
      </c>
      <c r="B918" s="5">
        <v>45678</v>
      </c>
      <c r="C918" t="s">
        <v>27</v>
      </c>
      <c r="D918" t="s">
        <v>55</v>
      </c>
      <c r="E918" t="s">
        <v>56</v>
      </c>
      <c r="F918" t="s">
        <v>174</v>
      </c>
      <c r="G918" s="6">
        <v>3325.61</v>
      </c>
      <c r="H918" s="7">
        <v>5.5E-2</v>
      </c>
      <c r="I918" s="6">
        <v>182.91</v>
      </c>
      <c r="J918" s="6">
        <v>3508.52</v>
      </c>
      <c r="K918" t="s">
        <v>1900</v>
      </c>
      <c r="L918" t="s">
        <v>1901</v>
      </c>
    </row>
    <row r="919" spans="1:12" ht="15" customHeight="1" x14ac:dyDescent="0.25">
      <c r="A919">
        <v>918</v>
      </c>
      <c r="B919" s="5">
        <v>45707</v>
      </c>
      <c r="C919" t="s">
        <v>33</v>
      </c>
      <c r="D919" t="s">
        <v>94</v>
      </c>
      <c r="E919" t="s">
        <v>95</v>
      </c>
      <c r="F919" t="s">
        <v>44</v>
      </c>
      <c r="G919" s="6">
        <v>1077.55</v>
      </c>
      <c r="H919" s="7">
        <v>0</v>
      </c>
      <c r="I919" s="6">
        <v>0</v>
      </c>
      <c r="J919" s="6">
        <v>1077.55</v>
      </c>
      <c r="K919" t="s">
        <v>1902</v>
      </c>
      <c r="L919" t="s">
        <v>1903</v>
      </c>
    </row>
    <row r="920" spans="1:12" ht="15" customHeight="1" x14ac:dyDescent="0.25">
      <c r="A920">
        <v>919</v>
      </c>
      <c r="B920" s="5">
        <v>45994</v>
      </c>
      <c r="C920" t="s">
        <v>33</v>
      </c>
      <c r="D920" t="s">
        <v>28</v>
      </c>
      <c r="E920" t="s">
        <v>29</v>
      </c>
      <c r="F920" t="s">
        <v>120</v>
      </c>
      <c r="G920" s="6">
        <v>1179.53</v>
      </c>
      <c r="H920" s="7">
        <v>2.1000000000000001E-2</v>
      </c>
      <c r="I920" s="6">
        <v>24.77</v>
      </c>
      <c r="J920" s="6">
        <v>1204.3</v>
      </c>
      <c r="K920" t="s">
        <v>1904</v>
      </c>
      <c r="L920" t="s">
        <v>1905</v>
      </c>
    </row>
    <row r="921" spans="1:12" ht="15" customHeight="1" x14ac:dyDescent="0.25">
      <c r="A921">
        <v>920</v>
      </c>
      <c r="B921" s="5">
        <v>45870</v>
      </c>
      <c r="C921" t="s">
        <v>27</v>
      </c>
      <c r="D921" t="s">
        <v>42</v>
      </c>
      <c r="E921" t="s">
        <v>43</v>
      </c>
      <c r="F921" t="s">
        <v>44</v>
      </c>
      <c r="G921" s="6">
        <v>3639.08</v>
      </c>
      <c r="H921" s="7">
        <v>0</v>
      </c>
      <c r="I921" s="6">
        <v>0</v>
      </c>
      <c r="J921" s="6">
        <v>3639.08</v>
      </c>
      <c r="K921" t="s">
        <v>1906</v>
      </c>
      <c r="L921" t="s">
        <v>1907</v>
      </c>
    </row>
    <row r="922" spans="1:12" ht="15" customHeight="1" x14ac:dyDescent="0.25">
      <c r="A922">
        <v>921</v>
      </c>
      <c r="B922" s="5">
        <v>46017</v>
      </c>
      <c r="C922" t="s">
        <v>47</v>
      </c>
      <c r="D922" t="s">
        <v>34</v>
      </c>
      <c r="E922" t="s">
        <v>35</v>
      </c>
      <c r="F922" t="s">
        <v>87</v>
      </c>
      <c r="G922" s="6">
        <v>3020.37</v>
      </c>
      <c r="H922" s="7">
        <v>0.2</v>
      </c>
      <c r="I922" s="6">
        <v>604.07000000000005</v>
      </c>
      <c r="J922" s="6">
        <v>3624.44</v>
      </c>
      <c r="K922" t="s">
        <v>1908</v>
      </c>
      <c r="L922" t="s">
        <v>1909</v>
      </c>
    </row>
    <row r="923" spans="1:12" ht="15" customHeight="1" x14ac:dyDescent="0.25">
      <c r="A923">
        <v>922</v>
      </c>
      <c r="B923" s="5">
        <v>45916</v>
      </c>
      <c r="C923" t="s">
        <v>33</v>
      </c>
      <c r="D923" t="s">
        <v>172</v>
      </c>
      <c r="E923" t="s">
        <v>173</v>
      </c>
      <c r="F923" t="s">
        <v>30</v>
      </c>
      <c r="G923" s="6">
        <v>1571.81</v>
      </c>
      <c r="H923" s="7">
        <v>0.2</v>
      </c>
      <c r="I923" s="6">
        <v>314.36</v>
      </c>
      <c r="J923" s="6">
        <v>1886.17</v>
      </c>
      <c r="K923" t="s">
        <v>1910</v>
      </c>
      <c r="L923" t="s">
        <v>1911</v>
      </c>
    </row>
    <row r="924" spans="1:12" ht="15" customHeight="1" x14ac:dyDescent="0.25">
      <c r="A924">
        <v>923</v>
      </c>
      <c r="B924" s="5">
        <v>45838</v>
      </c>
      <c r="C924" t="s">
        <v>27</v>
      </c>
      <c r="D924" t="s">
        <v>79</v>
      </c>
      <c r="E924" t="s">
        <v>80</v>
      </c>
      <c r="F924" t="s">
        <v>106</v>
      </c>
      <c r="G924" s="6">
        <v>4068.98</v>
      </c>
      <c r="H924" s="7">
        <v>0.2</v>
      </c>
      <c r="I924" s="6">
        <v>813.8</v>
      </c>
      <c r="J924" s="6">
        <v>4882.78</v>
      </c>
      <c r="K924" t="s">
        <v>1912</v>
      </c>
      <c r="L924" t="s">
        <v>1913</v>
      </c>
    </row>
    <row r="925" spans="1:12" ht="15" customHeight="1" x14ac:dyDescent="0.25">
      <c r="A925">
        <v>924</v>
      </c>
      <c r="B925" s="5">
        <v>45982</v>
      </c>
      <c r="C925" t="s">
        <v>47</v>
      </c>
      <c r="D925" t="s">
        <v>63</v>
      </c>
      <c r="E925" t="s">
        <v>64</v>
      </c>
      <c r="F925" t="s">
        <v>81</v>
      </c>
      <c r="G925" s="6">
        <v>1983.2</v>
      </c>
      <c r="H925" s="7">
        <v>0.2</v>
      </c>
      <c r="I925" s="6">
        <v>396.64</v>
      </c>
      <c r="J925" s="6">
        <v>2379.84</v>
      </c>
      <c r="K925" t="s">
        <v>1914</v>
      </c>
      <c r="L925" t="s">
        <v>1915</v>
      </c>
    </row>
    <row r="926" spans="1:12" ht="15" customHeight="1" x14ac:dyDescent="0.25">
      <c r="A926">
        <v>925</v>
      </c>
      <c r="B926" s="5">
        <v>45937</v>
      </c>
      <c r="C926" t="s">
        <v>27</v>
      </c>
      <c r="D926" t="s">
        <v>55</v>
      </c>
      <c r="E926" t="s">
        <v>56</v>
      </c>
      <c r="F926" t="s">
        <v>106</v>
      </c>
      <c r="G926" s="6">
        <v>1025.56</v>
      </c>
      <c r="H926" s="7">
        <v>5.5E-2</v>
      </c>
      <c r="I926" s="6">
        <v>56.41</v>
      </c>
      <c r="J926" s="6">
        <v>1081.97</v>
      </c>
      <c r="K926" t="s">
        <v>1916</v>
      </c>
      <c r="L926" t="s">
        <v>1917</v>
      </c>
    </row>
    <row r="927" spans="1:12" ht="15" customHeight="1" x14ac:dyDescent="0.25">
      <c r="A927">
        <v>926</v>
      </c>
      <c r="B927" s="5">
        <v>45889</v>
      </c>
      <c r="C927" t="s">
        <v>47</v>
      </c>
      <c r="D927" t="s">
        <v>55</v>
      </c>
      <c r="E927" t="s">
        <v>56</v>
      </c>
      <c r="F927" t="s">
        <v>36</v>
      </c>
      <c r="G927" s="6">
        <v>2057.9499999999998</v>
      </c>
      <c r="H927" s="7">
        <v>5.5E-2</v>
      </c>
      <c r="I927" s="6">
        <v>113.19</v>
      </c>
      <c r="J927" s="6">
        <v>2171.14</v>
      </c>
      <c r="K927" t="s">
        <v>1918</v>
      </c>
      <c r="L927" t="s">
        <v>1919</v>
      </c>
    </row>
    <row r="928" spans="1:12" ht="15" customHeight="1" x14ac:dyDescent="0.25">
      <c r="A928">
        <v>927</v>
      </c>
      <c r="B928" s="5">
        <v>45803</v>
      </c>
      <c r="C928" t="s">
        <v>27</v>
      </c>
      <c r="D928" t="s">
        <v>28</v>
      </c>
      <c r="E928" t="s">
        <v>29</v>
      </c>
      <c r="F928" t="s">
        <v>106</v>
      </c>
      <c r="G928" s="6">
        <v>2713.27</v>
      </c>
      <c r="H928" s="7">
        <v>2.1000000000000001E-2</v>
      </c>
      <c r="I928" s="6">
        <v>56.98</v>
      </c>
      <c r="J928" s="6">
        <v>2770.25</v>
      </c>
      <c r="K928" t="s">
        <v>1920</v>
      </c>
      <c r="L928" t="s">
        <v>1921</v>
      </c>
    </row>
    <row r="929" spans="1:12" ht="15" customHeight="1" x14ac:dyDescent="0.25">
      <c r="A929">
        <v>928</v>
      </c>
      <c r="B929" s="5">
        <v>45771</v>
      </c>
      <c r="C929" t="s">
        <v>47</v>
      </c>
      <c r="D929" t="s">
        <v>28</v>
      </c>
      <c r="E929" t="s">
        <v>29</v>
      </c>
      <c r="F929" t="s">
        <v>50</v>
      </c>
      <c r="G929" s="6">
        <v>1029.52</v>
      </c>
      <c r="H929" s="7">
        <v>2.1000000000000001E-2</v>
      </c>
      <c r="I929" s="6">
        <v>21.62</v>
      </c>
      <c r="J929" s="6">
        <v>1051.1400000000001</v>
      </c>
      <c r="K929" t="s">
        <v>1922</v>
      </c>
      <c r="L929" t="s">
        <v>1923</v>
      </c>
    </row>
    <row r="930" spans="1:12" ht="15" customHeight="1" x14ac:dyDescent="0.25">
      <c r="A930">
        <v>929</v>
      </c>
      <c r="B930" s="5">
        <v>45919</v>
      </c>
      <c r="C930" t="s">
        <v>27</v>
      </c>
      <c r="D930" t="s">
        <v>42</v>
      </c>
      <c r="E930" t="s">
        <v>43</v>
      </c>
      <c r="F930" t="s">
        <v>44</v>
      </c>
      <c r="G930" s="6">
        <v>4022.21</v>
      </c>
      <c r="H930" s="7">
        <v>0</v>
      </c>
      <c r="I930" s="6">
        <v>0</v>
      </c>
      <c r="J930" s="6">
        <v>4022.21</v>
      </c>
      <c r="K930" t="s">
        <v>1924</v>
      </c>
      <c r="L930" t="s">
        <v>1925</v>
      </c>
    </row>
    <row r="931" spans="1:12" ht="15" customHeight="1" x14ac:dyDescent="0.25">
      <c r="A931">
        <v>930</v>
      </c>
      <c r="B931" s="5">
        <v>45840</v>
      </c>
      <c r="C931" t="s">
        <v>33</v>
      </c>
      <c r="D931" t="s">
        <v>28</v>
      </c>
      <c r="E931" t="s">
        <v>29</v>
      </c>
      <c r="F931" t="s">
        <v>174</v>
      </c>
      <c r="G931" s="6">
        <v>769.99</v>
      </c>
      <c r="H931" s="7">
        <v>2.1000000000000001E-2</v>
      </c>
      <c r="I931" s="6">
        <v>16.170000000000002</v>
      </c>
      <c r="J931" s="6">
        <v>786.16</v>
      </c>
      <c r="K931" t="s">
        <v>1926</v>
      </c>
      <c r="L931" t="s">
        <v>1927</v>
      </c>
    </row>
    <row r="932" spans="1:12" ht="15" customHeight="1" x14ac:dyDescent="0.25">
      <c r="A932">
        <v>931</v>
      </c>
      <c r="B932" s="5">
        <v>45789</v>
      </c>
      <c r="C932" t="s">
        <v>27</v>
      </c>
      <c r="D932" t="s">
        <v>55</v>
      </c>
      <c r="E932" t="s">
        <v>56</v>
      </c>
      <c r="F932" t="s">
        <v>87</v>
      </c>
      <c r="G932" s="6">
        <v>3664.95</v>
      </c>
      <c r="H932" s="7">
        <v>5.5E-2</v>
      </c>
      <c r="I932" s="6">
        <v>201.57</v>
      </c>
      <c r="J932" s="6">
        <v>3866.52</v>
      </c>
      <c r="K932" t="s">
        <v>1928</v>
      </c>
      <c r="L932" t="s">
        <v>1929</v>
      </c>
    </row>
    <row r="933" spans="1:12" ht="15" customHeight="1" x14ac:dyDescent="0.25">
      <c r="A933">
        <v>932</v>
      </c>
      <c r="B933" s="5">
        <v>45769</v>
      </c>
      <c r="C933" t="s">
        <v>47</v>
      </c>
      <c r="D933" t="s">
        <v>172</v>
      </c>
      <c r="E933" t="s">
        <v>173</v>
      </c>
      <c r="F933" t="s">
        <v>81</v>
      </c>
      <c r="G933" s="6">
        <v>3325.46</v>
      </c>
      <c r="H933" s="7">
        <v>0.2</v>
      </c>
      <c r="I933" s="6">
        <v>665.09</v>
      </c>
      <c r="J933" s="6">
        <v>3990.55</v>
      </c>
      <c r="K933" t="s">
        <v>1930</v>
      </c>
      <c r="L933" t="s">
        <v>1931</v>
      </c>
    </row>
    <row r="934" spans="1:12" ht="15" customHeight="1" x14ac:dyDescent="0.25">
      <c r="A934">
        <v>933</v>
      </c>
      <c r="B934" s="5">
        <v>46017</v>
      </c>
      <c r="C934" t="s">
        <v>47</v>
      </c>
      <c r="D934" t="s">
        <v>28</v>
      </c>
      <c r="E934" t="s">
        <v>29</v>
      </c>
      <c r="F934" t="s">
        <v>87</v>
      </c>
      <c r="G934" s="6">
        <v>2626.95</v>
      </c>
      <c r="H934" s="7">
        <v>2.1000000000000001E-2</v>
      </c>
      <c r="I934" s="6">
        <v>55.17</v>
      </c>
      <c r="J934" s="6">
        <v>2682.12</v>
      </c>
      <c r="K934" t="s">
        <v>1932</v>
      </c>
      <c r="L934" t="s">
        <v>1933</v>
      </c>
    </row>
    <row r="935" spans="1:12" ht="15" customHeight="1" x14ac:dyDescent="0.25">
      <c r="A935">
        <v>934</v>
      </c>
      <c r="B935" s="5">
        <v>45953</v>
      </c>
      <c r="C935" t="s">
        <v>27</v>
      </c>
      <c r="D935" t="s">
        <v>55</v>
      </c>
      <c r="E935" t="s">
        <v>56</v>
      </c>
      <c r="F935" t="s">
        <v>39</v>
      </c>
      <c r="G935" s="6">
        <v>1766.43</v>
      </c>
      <c r="H935" s="7">
        <v>5.5E-2</v>
      </c>
      <c r="I935" s="6">
        <v>97.15</v>
      </c>
      <c r="J935" s="6">
        <v>1863.58</v>
      </c>
      <c r="K935" t="s">
        <v>1934</v>
      </c>
      <c r="L935" t="s">
        <v>1935</v>
      </c>
    </row>
    <row r="936" spans="1:12" ht="15" customHeight="1" x14ac:dyDescent="0.25">
      <c r="A936">
        <v>935</v>
      </c>
      <c r="B936" s="5">
        <v>45880</v>
      </c>
      <c r="C936" t="s">
        <v>47</v>
      </c>
      <c r="D936" t="s">
        <v>55</v>
      </c>
      <c r="E936" t="s">
        <v>56</v>
      </c>
      <c r="F936" t="s">
        <v>87</v>
      </c>
      <c r="G936" s="6">
        <v>1921.03</v>
      </c>
      <c r="H936" s="7">
        <v>5.5E-2</v>
      </c>
      <c r="I936" s="6">
        <v>105.66</v>
      </c>
      <c r="J936" s="6">
        <v>2026.69</v>
      </c>
      <c r="K936" t="s">
        <v>1936</v>
      </c>
      <c r="L936" t="s">
        <v>1937</v>
      </c>
    </row>
    <row r="937" spans="1:12" ht="15" customHeight="1" x14ac:dyDescent="0.25">
      <c r="A937">
        <v>936</v>
      </c>
      <c r="B937" s="5">
        <v>45966</v>
      </c>
      <c r="C937" t="s">
        <v>33</v>
      </c>
      <c r="D937" t="s">
        <v>42</v>
      </c>
      <c r="E937" t="s">
        <v>43</v>
      </c>
      <c r="F937" t="s">
        <v>44</v>
      </c>
      <c r="G937" s="6">
        <v>3321.33</v>
      </c>
      <c r="H937" s="7">
        <v>0</v>
      </c>
      <c r="I937" s="6">
        <v>0</v>
      </c>
      <c r="J937" s="6">
        <v>3321.33</v>
      </c>
      <c r="K937" t="s">
        <v>1938</v>
      </c>
      <c r="L937" t="s">
        <v>1939</v>
      </c>
    </row>
    <row r="938" spans="1:12" ht="15" customHeight="1" x14ac:dyDescent="0.25">
      <c r="A938">
        <v>937</v>
      </c>
      <c r="B938" s="5">
        <v>45926</v>
      </c>
      <c r="C938" t="s">
        <v>47</v>
      </c>
      <c r="D938" t="s">
        <v>28</v>
      </c>
      <c r="E938" t="s">
        <v>29</v>
      </c>
      <c r="F938" t="s">
        <v>106</v>
      </c>
      <c r="G938" s="6">
        <v>262.02999999999997</v>
      </c>
      <c r="H938" s="7">
        <v>2.1000000000000001E-2</v>
      </c>
      <c r="I938" s="6">
        <v>5.5</v>
      </c>
      <c r="J938" s="6">
        <v>267.52999999999997</v>
      </c>
      <c r="K938" t="s">
        <v>1940</v>
      </c>
      <c r="L938" t="s">
        <v>1941</v>
      </c>
    </row>
    <row r="939" spans="1:12" ht="15" customHeight="1" x14ac:dyDescent="0.25">
      <c r="A939">
        <v>938</v>
      </c>
      <c r="B939" s="5">
        <v>46015</v>
      </c>
      <c r="C939" t="s">
        <v>33</v>
      </c>
      <c r="D939" t="s">
        <v>55</v>
      </c>
      <c r="E939" t="s">
        <v>56</v>
      </c>
      <c r="F939" t="s">
        <v>39</v>
      </c>
      <c r="G939" s="6">
        <v>1055.92</v>
      </c>
      <c r="H939" s="7">
        <v>5.5E-2</v>
      </c>
      <c r="I939" s="6">
        <v>58.08</v>
      </c>
      <c r="J939" s="6">
        <v>1114</v>
      </c>
      <c r="K939" t="s">
        <v>1942</v>
      </c>
      <c r="L939" t="s">
        <v>1943</v>
      </c>
    </row>
    <row r="940" spans="1:12" ht="15" customHeight="1" x14ac:dyDescent="0.25">
      <c r="A940">
        <v>939</v>
      </c>
      <c r="B940" s="5">
        <v>45952</v>
      </c>
      <c r="C940" t="s">
        <v>27</v>
      </c>
      <c r="D940" t="s">
        <v>94</v>
      </c>
      <c r="E940" t="s">
        <v>95</v>
      </c>
      <c r="F940" t="s">
        <v>44</v>
      </c>
      <c r="G940" s="6">
        <v>1055.21</v>
      </c>
      <c r="H940" s="7">
        <v>0</v>
      </c>
      <c r="I940" s="6">
        <v>0</v>
      </c>
      <c r="J940" s="6">
        <v>1055.21</v>
      </c>
      <c r="K940" t="s">
        <v>1944</v>
      </c>
      <c r="L940" t="s">
        <v>1945</v>
      </c>
    </row>
    <row r="941" spans="1:12" ht="15" customHeight="1" x14ac:dyDescent="0.25">
      <c r="A941">
        <v>940</v>
      </c>
      <c r="B941" s="5">
        <v>45700</v>
      </c>
      <c r="C941" t="s">
        <v>47</v>
      </c>
      <c r="D941" t="s">
        <v>28</v>
      </c>
      <c r="E941" t="s">
        <v>29</v>
      </c>
      <c r="F941" t="s">
        <v>81</v>
      </c>
      <c r="G941" s="6">
        <v>2183.2800000000002</v>
      </c>
      <c r="H941" s="7">
        <v>2.1000000000000001E-2</v>
      </c>
      <c r="I941" s="6">
        <v>45.85</v>
      </c>
      <c r="J941" s="6">
        <v>2229.13</v>
      </c>
      <c r="K941" t="s">
        <v>1946</v>
      </c>
      <c r="L941" t="s">
        <v>1947</v>
      </c>
    </row>
    <row r="942" spans="1:12" ht="15" customHeight="1" x14ac:dyDescent="0.25">
      <c r="A942">
        <v>941</v>
      </c>
      <c r="B942" s="5">
        <v>45701</v>
      </c>
      <c r="C942" t="s">
        <v>27</v>
      </c>
      <c r="D942" t="s">
        <v>63</v>
      </c>
      <c r="E942" t="s">
        <v>64</v>
      </c>
      <c r="F942" t="s">
        <v>36</v>
      </c>
      <c r="G942" s="6">
        <v>1841.49</v>
      </c>
      <c r="H942" s="7">
        <v>0.2</v>
      </c>
      <c r="I942" s="6">
        <v>368.3</v>
      </c>
      <c r="J942" s="6">
        <v>2209.79</v>
      </c>
      <c r="K942" t="s">
        <v>1948</v>
      </c>
      <c r="L942" t="s">
        <v>1949</v>
      </c>
    </row>
    <row r="943" spans="1:12" ht="15" customHeight="1" x14ac:dyDescent="0.25">
      <c r="A943">
        <v>942</v>
      </c>
      <c r="B943" s="5">
        <v>45727</v>
      </c>
      <c r="C943" t="s">
        <v>27</v>
      </c>
      <c r="D943" t="s">
        <v>28</v>
      </c>
      <c r="E943" t="s">
        <v>29</v>
      </c>
      <c r="F943" t="s">
        <v>71</v>
      </c>
      <c r="G943" s="6">
        <v>2205.6799999999998</v>
      </c>
      <c r="H943" s="7">
        <v>2.1000000000000001E-2</v>
      </c>
      <c r="I943" s="6">
        <v>46.32</v>
      </c>
      <c r="J943" s="6">
        <v>2252</v>
      </c>
      <c r="K943" t="s">
        <v>1950</v>
      </c>
      <c r="L943" t="s">
        <v>1951</v>
      </c>
    </row>
    <row r="944" spans="1:12" ht="15" customHeight="1" x14ac:dyDescent="0.25">
      <c r="A944">
        <v>943</v>
      </c>
      <c r="B944" s="5">
        <v>45758</v>
      </c>
      <c r="C944" t="s">
        <v>47</v>
      </c>
      <c r="D944" t="s">
        <v>34</v>
      </c>
      <c r="E944" t="s">
        <v>35</v>
      </c>
      <c r="F944" t="s">
        <v>81</v>
      </c>
      <c r="G944" s="6">
        <v>2560.36</v>
      </c>
      <c r="H944" s="7">
        <v>0.2</v>
      </c>
      <c r="I944" s="6">
        <v>512.07000000000005</v>
      </c>
      <c r="J944" s="6">
        <v>3072.43</v>
      </c>
      <c r="K944" t="s">
        <v>1952</v>
      </c>
      <c r="L944" t="s">
        <v>1953</v>
      </c>
    </row>
    <row r="945" spans="1:13" ht="15" customHeight="1" x14ac:dyDescent="0.25">
      <c r="A945">
        <v>944</v>
      </c>
      <c r="B945" s="5">
        <v>46008</v>
      </c>
      <c r="C945" t="s">
        <v>33</v>
      </c>
      <c r="D945" t="s">
        <v>55</v>
      </c>
      <c r="E945" t="s">
        <v>56</v>
      </c>
      <c r="F945" t="s">
        <v>87</v>
      </c>
      <c r="G945" s="6">
        <v>4164.6899999999996</v>
      </c>
      <c r="H945" s="7">
        <v>5.5E-2</v>
      </c>
      <c r="I945" s="6">
        <v>229.06</v>
      </c>
      <c r="J945" s="6">
        <v>4393.75</v>
      </c>
      <c r="K945" t="s">
        <v>1954</v>
      </c>
      <c r="L945" t="s">
        <v>1955</v>
      </c>
    </row>
    <row r="946" spans="1:13" ht="15" customHeight="1" x14ac:dyDescent="0.25">
      <c r="A946">
        <v>945</v>
      </c>
      <c r="B946" s="5">
        <v>45845</v>
      </c>
      <c r="C946" t="s">
        <v>27</v>
      </c>
      <c r="D946" t="s">
        <v>63</v>
      </c>
      <c r="E946" t="s">
        <v>64</v>
      </c>
      <c r="F946" t="s">
        <v>50</v>
      </c>
      <c r="G946" s="6">
        <v>1619.52</v>
      </c>
      <c r="H946" s="7">
        <v>0.2</v>
      </c>
      <c r="I946" s="6">
        <v>323.89999999999998</v>
      </c>
      <c r="J946" s="6">
        <v>1943.42</v>
      </c>
      <c r="K946" t="s">
        <v>1956</v>
      </c>
      <c r="L946" t="s">
        <v>1957</v>
      </c>
    </row>
    <row r="947" spans="1:13" ht="15" customHeight="1" x14ac:dyDescent="0.25">
      <c r="A947">
        <v>946</v>
      </c>
      <c r="B947" s="5">
        <v>45814</v>
      </c>
      <c r="C947" t="s">
        <v>27</v>
      </c>
      <c r="D947" t="s">
        <v>34</v>
      </c>
      <c r="E947" t="s">
        <v>35</v>
      </c>
      <c r="F947" t="s">
        <v>50</v>
      </c>
      <c r="G947" s="6">
        <v>828.11</v>
      </c>
      <c r="H947" s="7">
        <v>0.2</v>
      </c>
      <c r="I947" s="6">
        <v>165.62</v>
      </c>
      <c r="J947" s="6">
        <v>993.73</v>
      </c>
      <c r="K947" t="s">
        <v>1958</v>
      </c>
      <c r="L947" t="s">
        <v>1959</v>
      </c>
    </row>
    <row r="948" spans="1:13" ht="15" customHeight="1" x14ac:dyDescent="0.25">
      <c r="A948">
        <v>947</v>
      </c>
      <c r="B948" s="5">
        <v>45883</v>
      </c>
      <c r="C948" t="s">
        <v>47</v>
      </c>
      <c r="D948" t="s">
        <v>181</v>
      </c>
      <c r="E948" t="s">
        <v>182</v>
      </c>
      <c r="F948" t="s">
        <v>71</v>
      </c>
      <c r="G948" s="6">
        <v>278.36</v>
      </c>
      <c r="H948" s="7">
        <v>0.2</v>
      </c>
      <c r="I948" s="6">
        <v>55.67</v>
      </c>
      <c r="J948" s="6">
        <v>334.03</v>
      </c>
      <c r="K948" t="s">
        <v>1960</v>
      </c>
      <c r="L948" t="s">
        <v>1961</v>
      </c>
    </row>
    <row r="949" spans="1:13" ht="15" customHeight="1" x14ac:dyDescent="0.25">
      <c r="A949">
        <v>948</v>
      </c>
      <c r="B949" s="5">
        <v>45701</v>
      </c>
      <c r="C949" t="s">
        <v>27</v>
      </c>
      <c r="D949" t="s">
        <v>63</v>
      </c>
      <c r="E949" t="s">
        <v>64</v>
      </c>
      <c r="F949" t="s">
        <v>39</v>
      </c>
      <c r="G949" s="6">
        <v>576.67999999999995</v>
      </c>
      <c r="H949" s="7">
        <v>0.2</v>
      </c>
      <c r="I949" s="6">
        <v>115.34</v>
      </c>
      <c r="J949" s="6">
        <v>692.02</v>
      </c>
      <c r="K949" t="s">
        <v>1962</v>
      </c>
      <c r="L949" t="s">
        <v>1963</v>
      </c>
    </row>
    <row r="950" spans="1:13" ht="15" customHeight="1" x14ac:dyDescent="0.25">
      <c r="A950">
        <v>949</v>
      </c>
      <c r="B950" s="5">
        <v>45805</v>
      </c>
      <c r="C950" t="s">
        <v>27</v>
      </c>
      <c r="D950" t="s">
        <v>100</v>
      </c>
      <c r="E950" t="s">
        <v>101</v>
      </c>
      <c r="F950" t="s">
        <v>44</v>
      </c>
      <c r="G950" s="6">
        <v>3465.11</v>
      </c>
      <c r="H950" s="7">
        <v>0</v>
      </c>
      <c r="I950" s="6">
        <v>0</v>
      </c>
      <c r="J950" s="6">
        <v>3465.11</v>
      </c>
      <c r="K950" t="s">
        <v>1964</v>
      </c>
      <c r="L950" t="s">
        <v>1965</v>
      </c>
    </row>
    <row r="951" spans="1:13" ht="15" customHeight="1" x14ac:dyDescent="0.25">
      <c r="A951">
        <v>950</v>
      </c>
      <c r="B951" s="5">
        <v>45827</v>
      </c>
      <c r="C951" t="s">
        <v>47</v>
      </c>
      <c r="D951" t="s">
        <v>79</v>
      </c>
      <c r="E951" t="s">
        <v>80</v>
      </c>
      <c r="F951" t="s">
        <v>106</v>
      </c>
      <c r="G951" s="6">
        <v>1003.82</v>
      </c>
      <c r="H951" s="7">
        <v>0.2</v>
      </c>
      <c r="I951" s="6">
        <v>200.76</v>
      </c>
      <c r="J951" s="6">
        <v>1204.58</v>
      </c>
      <c r="K951" t="s">
        <v>1966</v>
      </c>
      <c r="L951" t="s">
        <v>1967</v>
      </c>
    </row>
    <row r="952" spans="1:13" ht="15" customHeight="1" x14ac:dyDescent="0.25">
      <c r="A952">
        <v>951</v>
      </c>
      <c r="B952" s="5">
        <v>45790</v>
      </c>
      <c r="C952" t="s">
        <v>33</v>
      </c>
      <c r="D952" t="s">
        <v>172</v>
      </c>
      <c r="E952" t="s">
        <v>173</v>
      </c>
      <c r="F952" t="s">
        <v>84</v>
      </c>
      <c r="G952" s="6">
        <v>2505.6999999999998</v>
      </c>
      <c r="H952" s="7">
        <v>0.2</v>
      </c>
      <c r="I952" s="6">
        <v>501.14</v>
      </c>
      <c r="J952" s="6">
        <v>3006.84</v>
      </c>
      <c r="K952" t="s">
        <v>1968</v>
      </c>
      <c r="L952" t="s">
        <v>1969</v>
      </c>
    </row>
    <row r="953" spans="1:13" ht="15" customHeight="1" x14ac:dyDescent="0.25">
      <c r="A953">
        <v>952</v>
      </c>
      <c r="B953" s="5">
        <v>46000</v>
      </c>
      <c r="C953" t="s">
        <v>33</v>
      </c>
      <c r="D953" t="s">
        <v>42</v>
      </c>
      <c r="E953" t="s">
        <v>43</v>
      </c>
      <c r="F953" t="s">
        <v>44</v>
      </c>
      <c r="G953" s="6">
        <v>2000</v>
      </c>
      <c r="H953" s="7">
        <v>0</v>
      </c>
      <c r="I953" s="6">
        <v>0</v>
      </c>
      <c r="J953" s="6">
        <v>2000</v>
      </c>
      <c r="K953" t="s">
        <v>1970</v>
      </c>
      <c r="L953" t="s">
        <v>1971</v>
      </c>
      <c r="M953" t="s">
        <v>143</v>
      </c>
    </row>
    <row r="954" spans="1:13" ht="15" customHeight="1" x14ac:dyDescent="0.25">
      <c r="A954">
        <v>953</v>
      </c>
      <c r="B954" s="5">
        <v>45688</v>
      </c>
      <c r="C954" t="s">
        <v>27</v>
      </c>
      <c r="D954" t="s">
        <v>28</v>
      </c>
      <c r="E954" t="s">
        <v>29</v>
      </c>
      <c r="F954" t="s">
        <v>81</v>
      </c>
      <c r="G954" s="6">
        <v>1335.34</v>
      </c>
      <c r="H954" s="7">
        <v>2.1000000000000001E-2</v>
      </c>
      <c r="I954" s="6">
        <v>28.04</v>
      </c>
      <c r="J954" s="6">
        <v>1363.38</v>
      </c>
      <c r="K954" t="s">
        <v>1972</v>
      </c>
      <c r="L954" t="s">
        <v>1973</v>
      </c>
    </row>
    <row r="955" spans="1:13" ht="15" customHeight="1" x14ac:dyDescent="0.25">
      <c r="A955">
        <v>954</v>
      </c>
      <c r="B955" s="5">
        <v>45993</v>
      </c>
      <c r="C955" t="s">
        <v>47</v>
      </c>
      <c r="D955" t="s">
        <v>28</v>
      </c>
      <c r="E955" t="s">
        <v>29</v>
      </c>
      <c r="F955" t="s">
        <v>87</v>
      </c>
      <c r="G955" s="6">
        <v>4257.68</v>
      </c>
      <c r="H955" s="7">
        <v>2.1000000000000001E-2</v>
      </c>
      <c r="I955" s="6">
        <v>89.41</v>
      </c>
      <c r="J955" s="6">
        <v>4347.09</v>
      </c>
      <c r="K955" t="s">
        <v>1974</v>
      </c>
      <c r="L955" t="s">
        <v>1975</v>
      </c>
    </row>
    <row r="956" spans="1:13" ht="15" customHeight="1" x14ac:dyDescent="0.25">
      <c r="A956">
        <v>955</v>
      </c>
      <c r="B956" s="5">
        <v>45995</v>
      </c>
      <c r="C956" t="s">
        <v>27</v>
      </c>
      <c r="D956" t="s">
        <v>55</v>
      </c>
      <c r="E956" t="s">
        <v>56</v>
      </c>
      <c r="F956" t="s">
        <v>87</v>
      </c>
      <c r="G956" s="6">
        <v>1672.17</v>
      </c>
      <c r="H956" s="7">
        <v>5.5E-2</v>
      </c>
      <c r="I956" s="6">
        <v>91.97</v>
      </c>
      <c r="J956" s="6">
        <v>1764.14</v>
      </c>
      <c r="K956" t="s">
        <v>1976</v>
      </c>
      <c r="L956" t="s">
        <v>1977</v>
      </c>
    </row>
    <row r="957" spans="1:13" ht="15" customHeight="1" x14ac:dyDescent="0.25">
      <c r="A957">
        <v>956</v>
      </c>
      <c r="B957" s="5">
        <v>45855</v>
      </c>
      <c r="C957" t="s">
        <v>47</v>
      </c>
      <c r="D957" t="s">
        <v>42</v>
      </c>
      <c r="E957" t="s">
        <v>43</v>
      </c>
      <c r="F957" t="s">
        <v>44</v>
      </c>
      <c r="G957" s="6">
        <v>2713.68</v>
      </c>
      <c r="H957" s="7">
        <v>0</v>
      </c>
      <c r="I957" s="6">
        <v>0</v>
      </c>
      <c r="J957" s="6">
        <v>2713.68</v>
      </c>
      <c r="K957" t="s">
        <v>1978</v>
      </c>
      <c r="L957" t="s">
        <v>1979</v>
      </c>
    </row>
    <row r="958" spans="1:13" ht="15" customHeight="1" x14ac:dyDescent="0.25">
      <c r="A958">
        <v>957</v>
      </c>
      <c r="B958" s="5">
        <v>45930</v>
      </c>
      <c r="C958" t="s">
        <v>33</v>
      </c>
      <c r="D958" t="s">
        <v>100</v>
      </c>
      <c r="E958" t="s">
        <v>101</v>
      </c>
      <c r="F958" t="s">
        <v>44</v>
      </c>
      <c r="G958" s="6">
        <v>2277.3000000000002</v>
      </c>
      <c r="H958" s="7">
        <v>0</v>
      </c>
      <c r="I958" s="6">
        <v>0</v>
      </c>
      <c r="J958" s="6">
        <v>2277.3000000000002</v>
      </c>
      <c r="K958" t="s">
        <v>1980</v>
      </c>
      <c r="L958" t="s">
        <v>1981</v>
      </c>
    </row>
    <row r="959" spans="1:13" ht="15" customHeight="1" x14ac:dyDescent="0.25">
      <c r="A959">
        <v>958</v>
      </c>
      <c r="B959" s="5">
        <v>45678</v>
      </c>
      <c r="C959" t="s">
        <v>27</v>
      </c>
      <c r="D959" t="s">
        <v>100</v>
      </c>
      <c r="E959" t="s">
        <v>101</v>
      </c>
      <c r="F959" t="s">
        <v>44</v>
      </c>
      <c r="G959" s="6">
        <v>3070.6</v>
      </c>
      <c r="H959" s="7">
        <v>0</v>
      </c>
      <c r="I959" s="6">
        <v>0</v>
      </c>
      <c r="J959" s="6">
        <v>3070.6</v>
      </c>
      <c r="K959" t="s">
        <v>1982</v>
      </c>
      <c r="L959" t="s">
        <v>1983</v>
      </c>
    </row>
    <row r="960" spans="1:13" ht="15" customHeight="1" x14ac:dyDescent="0.25">
      <c r="A960">
        <v>959</v>
      </c>
      <c r="B960" s="5">
        <v>45667</v>
      </c>
      <c r="C960" t="s">
        <v>47</v>
      </c>
      <c r="D960" t="s">
        <v>63</v>
      </c>
      <c r="E960" t="s">
        <v>64</v>
      </c>
      <c r="F960" t="s">
        <v>50</v>
      </c>
      <c r="G960" s="6">
        <v>1612.77</v>
      </c>
      <c r="H960" s="7">
        <v>0.2</v>
      </c>
      <c r="I960" s="6">
        <v>322.55</v>
      </c>
      <c r="J960" s="6">
        <v>1935.32</v>
      </c>
      <c r="K960" t="s">
        <v>1984</v>
      </c>
      <c r="L960" t="s">
        <v>1985</v>
      </c>
    </row>
    <row r="961" spans="1:12" ht="15" customHeight="1" x14ac:dyDescent="0.25">
      <c r="A961">
        <v>960</v>
      </c>
      <c r="B961" s="5">
        <v>45799</v>
      </c>
      <c r="C961" t="s">
        <v>27</v>
      </c>
      <c r="D961" t="s">
        <v>55</v>
      </c>
      <c r="E961" t="s">
        <v>56</v>
      </c>
      <c r="F961" t="s">
        <v>120</v>
      </c>
      <c r="G961" s="6">
        <v>3668.57</v>
      </c>
      <c r="H961" s="7">
        <v>5.5E-2</v>
      </c>
      <c r="I961" s="6">
        <v>201.77</v>
      </c>
      <c r="J961" s="6">
        <v>3870.34</v>
      </c>
      <c r="K961" t="s">
        <v>1986</v>
      </c>
      <c r="L961" t="s">
        <v>1987</v>
      </c>
    </row>
    <row r="962" spans="1:12" ht="15" customHeight="1" x14ac:dyDescent="0.25">
      <c r="A962">
        <v>961</v>
      </c>
      <c r="B962" s="5">
        <v>45673</v>
      </c>
      <c r="C962" t="s">
        <v>47</v>
      </c>
      <c r="D962" t="s">
        <v>100</v>
      </c>
      <c r="E962" t="s">
        <v>101</v>
      </c>
      <c r="F962" t="s">
        <v>44</v>
      </c>
      <c r="G962" s="6">
        <v>4077.88</v>
      </c>
      <c r="H962" s="7">
        <v>0</v>
      </c>
      <c r="I962" s="6">
        <v>0</v>
      </c>
      <c r="J962" s="6">
        <v>4077.88</v>
      </c>
      <c r="K962" t="s">
        <v>1988</v>
      </c>
      <c r="L962" t="s">
        <v>1989</v>
      </c>
    </row>
    <row r="963" spans="1:12" ht="15" customHeight="1" x14ac:dyDescent="0.25">
      <c r="A963">
        <v>962</v>
      </c>
      <c r="B963" s="5">
        <v>45859</v>
      </c>
      <c r="C963" t="s">
        <v>33</v>
      </c>
      <c r="D963" t="s">
        <v>55</v>
      </c>
      <c r="E963" t="s">
        <v>56</v>
      </c>
      <c r="F963" t="s">
        <v>87</v>
      </c>
      <c r="G963" s="6">
        <v>2983.64</v>
      </c>
      <c r="H963" s="7">
        <v>5.5E-2</v>
      </c>
      <c r="I963" s="6">
        <v>164.1</v>
      </c>
      <c r="J963" s="6">
        <v>3147.74</v>
      </c>
      <c r="K963" t="s">
        <v>1990</v>
      </c>
      <c r="L963" t="s">
        <v>1991</v>
      </c>
    </row>
    <row r="964" spans="1:12" ht="15" customHeight="1" x14ac:dyDescent="0.25">
      <c r="A964">
        <v>963</v>
      </c>
      <c r="B964" s="5">
        <v>45971</v>
      </c>
      <c r="C964" t="s">
        <v>47</v>
      </c>
      <c r="D964" t="s">
        <v>172</v>
      </c>
      <c r="E964" t="s">
        <v>173</v>
      </c>
      <c r="F964" t="s">
        <v>120</v>
      </c>
      <c r="G964" s="6">
        <v>3937.34</v>
      </c>
      <c r="H964" s="7">
        <v>0.2</v>
      </c>
      <c r="I964" s="6">
        <v>787.47</v>
      </c>
      <c r="J964" s="6">
        <v>4724.8100000000004</v>
      </c>
      <c r="K964" t="s">
        <v>1992</v>
      </c>
      <c r="L964" t="s">
        <v>1993</v>
      </c>
    </row>
    <row r="965" spans="1:12" ht="15" customHeight="1" x14ac:dyDescent="0.25">
      <c r="A965">
        <v>964</v>
      </c>
      <c r="B965" s="5">
        <v>45736</v>
      </c>
      <c r="C965" t="s">
        <v>47</v>
      </c>
      <c r="D965" t="s">
        <v>55</v>
      </c>
      <c r="E965" t="s">
        <v>56</v>
      </c>
      <c r="F965" t="s">
        <v>174</v>
      </c>
      <c r="G965" s="6">
        <v>1964.98</v>
      </c>
      <c r="H965" s="7">
        <v>5.5E-2</v>
      </c>
      <c r="I965" s="6">
        <v>108.07</v>
      </c>
      <c r="J965" s="6">
        <v>2073.0500000000002</v>
      </c>
      <c r="K965" t="s">
        <v>1994</v>
      </c>
      <c r="L965" t="s">
        <v>1995</v>
      </c>
    </row>
    <row r="966" spans="1:12" ht="15" customHeight="1" x14ac:dyDescent="0.25">
      <c r="A966">
        <v>965</v>
      </c>
      <c r="B966" s="5">
        <v>45763</v>
      </c>
      <c r="C966" t="s">
        <v>47</v>
      </c>
      <c r="D966" t="s">
        <v>79</v>
      </c>
      <c r="E966" t="s">
        <v>80</v>
      </c>
      <c r="F966" t="s">
        <v>84</v>
      </c>
      <c r="G966" s="6">
        <v>2963.93</v>
      </c>
      <c r="H966" s="7">
        <v>0.2</v>
      </c>
      <c r="I966" s="6">
        <v>592.79</v>
      </c>
      <c r="J966" s="6">
        <v>3556.72</v>
      </c>
      <c r="K966" t="s">
        <v>1996</v>
      </c>
      <c r="L966" t="s">
        <v>1997</v>
      </c>
    </row>
    <row r="967" spans="1:12" ht="15" customHeight="1" x14ac:dyDescent="0.25">
      <c r="A967">
        <v>966</v>
      </c>
      <c r="B967" s="5">
        <v>45728</v>
      </c>
      <c r="C967" t="s">
        <v>27</v>
      </c>
      <c r="D967" t="s">
        <v>42</v>
      </c>
      <c r="E967" t="s">
        <v>43</v>
      </c>
      <c r="F967" t="s">
        <v>44</v>
      </c>
      <c r="G967" s="6">
        <v>3492.33</v>
      </c>
      <c r="H967" s="7">
        <v>0</v>
      </c>
      <c r="I967" s="6">
        <v>0</v>
      </c>
      <c r="J967" s="6">
        <v>3492.33</v>
      </c>
      <c r="K967" t="s">
        <v>1998</v>
      </c>
      <c r="L967" t="s">
        <v>1999</v>
      </c>
    </row>
    <row r="968" spans="1:12" ht="15" customHeight="1" x14ac:dyDescent="0.25">
      <c r="A968">
        <v>967</v>
      </c>
      <c r="B968" s="5">
        <v>45993</v>
      </c>
      <c r="C968" t="s">
        <v>33</v>
      </c>
      <c r="D968" t="s">
        <v>79</v>
      </c>
      <c r="E968" t="s">
        <v>80</v>
      </c>
      <c r="F968" t="s">
        <v>30</v>
      </c>
      <c r="G968" s="6">
        <v>4203.99</v>
      </c>
      <c r="H968" s="7">
        <v>0.2</v>
      </c>
      <c r="I968" s="6">
        <v>840.8</v>
      </c>
      <c r="J968" s="6">
        <v>5044.79</v>
      </c>
      <c r="K968" t="s">
        <v>2000</v>
      </c>
      <c r="L968" t="s">
        <v>2001</v>
      </c>
    </row>
    <row r="969" spans="1:12" ht="15" customHeight="1" x14ac:dyDescent="0.25">
      <c r="A969">
        <v>968</v>
      </c>
      <c r="B969" s="5">
        <v>45820</v>
      </c>
      <c r="C969" t="s">
        <v>33</v>
      </c>
      <c r="D969" t="s">
        <v>172</v>
      </c>
      <c r="E969" t="s">
        <v>173</v>
      </c>
      <c r="F969" t="s">
        <v>30</v>
      </c>
      <c r="G969" s="6">
        <v>3790.69</v>
      </c>
      <c r="H969" s="7">
        <v>0.2</v>
      </c>
      <c r="I969" s="6">
        <v>758.14</v>
      </c>
      <c r="J969" s="6">
        <v>4548.83</v>
      </c>
      <c r="K969" t="s">
        <v>2002</v>
      </c>
      <c r="L969" t="s">
        <v>2003</v>
      </c>
    </row>
    <row r="970" spans="1:12" ht="15" customHeight="1" x14ac:dyDescent="0.25">
      <c r="A970">
        <v>969</v>
      </c>
      <c r="B970" s="5">
        <v>45869</v>
      </c>
      <c r="C970" t="s">
        <v>33</v>
      </c>
      <c r="D970" t="s">
        <v>42</v>
      </c>
      <c r="E970" t="s">
        <v>43</v>
      </c>
      <c r="F970" t="s">
        <v>44</v>
      </c>
      <c r="G970" s="6">
        <v>2528.04</v>
      </c>
      <c r="H970" s="7">
        <v>0</v>
      </c>
      <c r="I970" s="6">
        <v>0</v>
      </c>
      <c r="J970" s="6">
        <v>2528.04</v>
      </c>
      <c r="K970" t="s">
        <v>2004</v>
      </c>
      <c r="L970" t="s">
        <v>2005</v>
      </c>
    </row>
    <row r="971" spans="1:12" ht="15" customHeight="1" x14ac:dyDescent="0.25">
      <c r="A971">
        <v>970</v>
      </c>
      <c r="B971" s="5">
        <v>45798</v>
      </c>
      <c r="C971" t="s">
        <v>27</v>
      </c>
      <c r="D971" t="s">
        <v>100</v>
      </c>
      <c r="E971" t="s">
        <v>101</v>
      </c>
      <c r="F971" t="s">
        <v>44</v>
      </c>
      <c r="G971" s="6">
        <v>2251.04</v>
      </c>
      <c r="H971" s="7">
        <v>0</v>
      </c>
      <c r="I971" s="6">
        <v>0</v>
      </c>
      <c r="J971" s="6">
        <v>2251.04</v>
      </c>
      <c r="K971" t="s">
        <v>2006</v>
      </c>
      <c r="L971" t="s">
        <v>2007</v>
      </c>
    </row>
    <row r="972" spans="1:12" ht="15" customHeight="1" x14ac:dyDescent="0.25">
      <c r="A972">
        <v>971</v>
      </c>
      <c r="B972" s="5">
        <v>45971</v>
      </c>
      <c r="C972" t="s">
        <v>33</v>
      </c>
      <c r="D972" t="s">
        <v>28</v>
      </c>
      <c r="E972" t="s">
        <v>29</v>
      </c>
      <c r="F972" t="s">
        <v>84</v>
      </c>
      <c r="G972" s="6">
        <v>2806.9</v>
      </c>
      <c r="H972" s="7">
        <v>2.1000000000000001E-2</v>
      </c>
      <c r="I972" s="6">
        <v>58.94</v>
      </c>
      <c r="J972" s="6">
        <v>2865.84</v>
      </c>
      <c r="K972" t="s">
        <v>2008</v>
      </c>
      <c r="L972" t="s">
        <v>2009</v>
      </c>
    </row>
    <row r="973" spans="1:12" ht="15" customHeight="1" x14ac:dyDescent="0.25">
      <c r="A973">
        <v>972</v>
      </c>
      <c r="B973" s="5">
        <v>45776</v>
      </c>
      <c r="C973" t="s">
        <v>27</v>
      </c>
      <c r="D973" t="s">
        <v>55</v>
      </c>
      <c r="E973" t="s">
        <v>56</v>
      </c>
      <c r="F973" t="s">
        <v>39</v>
      </c>
      <c r="G973" s="6">
        <v>1100.6300000000001</v>
      </c>
      <c r="H973" s="7">
        <v>5.5E-2</v>
      </c>
      <c r="I973" s="6">
        <v>60.53</v>
      </c>
      <c r="J973" s="6">
        <v>1161.1600000000001</v>
      </c>
      <c r="K973" t="s">
        <v>2010</v>
      </c>
      <c r="L973" t="s">
        <v>2011</v>
      </c>
    </row>
    <row r="974" spans="1:12" ht="15" customHeight="1" x14ac:dyDescent="0.25">
      <c r="A974">
        <v>973</v>
      </c>
      <c r="B974" s="5">
        <v>45902</v>
      </c>
      <c r="C974" t="s">
        <v>33</v>
      </c>
      <c r="D974" t="s">
        <v>34</v>
      </c>
      <c r="E974" t="s">
        <v>35</v>
      </c>
      <c r="F974" t="s">
        <v>84</v>
      </c>
      <c r="G974" s="6">
        <v>672.66</v>
      </c>
      <c r="H974" s="7">
        <v>0.2</v>
      </c>
      <c r="I974" s="6">
        <v>134.53</v>
      </c>
      <c r="J974" s="6">
        <v>807.19</v>
      </c>
      <c r="K974" t="s">
        <v>2012</v>
      </c>
      <c r="L974" t="s">
        <v>2013</v>
      </c>
    </row>
    <row r="975" spans="1:12" ht="15" customHeight="1" x14ac:dyDescent="0.25">
      <c r="A975">
        <v>974</v>
      </c>
      <c r="B975" s="5">
        <v>45856</v>
      </c>
      <c r="C975" t="s">
        <v>27</v>
      </c>
      <c r="D975" t="s">
        <v>181</v>
      </c>
      <c r="E975" t="s">
        <v>182</v>
      </c>
      <c r="F975" t="s">
        <v>30</v>
      </c>
      <c r="G975" s="6">
        <v>2252.19</v>
      </c>
      <c r="H975" s="7">
        <v>0.2</v>
      </c>
      <c r="I975" s="6">
        <v>450.44</v>
      </c>
      <c r="J975" s="6">
        <v>2702.63</v>
      </c>
      <c r="K975" t="s">
        <v>2014</v>
      </c>
      <c r="L975" t="s">
        <v>2015</v>
      </c>
    </row>
    <row r="976" spans="1:12" ht="15" customHeight="1" x14ac:dyDescent="0.25">
      <c r="A976">
        <v>975</v>
      </c>
      <c r="B976" s="5">
        <v>45867</v>
      </c>
      <c r="C976" t="s">
        <v>33</v>
      </c>
      <c r="D976" t="s">
        <v>55</v>
      </c>
      <c r="E976" t="s">
        <v>56</v>
      </c>
      <c r="F976" t="s">
        <v>39</v>
      </c>
      <c r="G976" s="6">
        <v>3459.26</v>
      </c>
      <c r="H976" s="7">
        <v>5.5E-2</v>
      </c>
      <c r="I976" s="6">
        <v>190.26</v>
      </c>
      <c r="J976" s="6">
        <v>3649.52</v>
      </c>
      <c r="K976" t="s">
        <v>2016</v>
      </c>
      <c r="L976" t="s">
        <v>2017</v>
      </c>
    </row>
    <row r="977" spans="1:13" ht="15" customHeight="1" x14ac:dyDescent="0.25">
      <c r="A977">
        <v>976</v>
      </c>
      <c r="B977" s="5">
        <v>46001</v>
      </c>
      <c r="C977" t="s">
        <v>47</v>
      </c>
      <c r="D977" t="s">
        <v>55</v>
      </c>
      <c r="E977" t="s">
        <v>56</v>
      </c>
      <c r="F977" t="s">
        <v>71</v>
      </c>
      <c r="G977" s="6">
        <v>4448.04</v>
      </c>
      <c r="H977" s="7">
        <v>5.5E-2</v>
      </c>
      <c r="I977" s="6">
        <v>244.64</v>
      </c>
      <c r="J977" s="6">
        <v>4692.68</v>
      </c>
      <c r="K977" t="s">
        <v>2018</v>
      </c>
      <c r="L977" t="s">
        <v>2019</v>
      </c>
    </row>
    <row r="978" spans="1:13" ht="15" customHeight="1" x14ac:dyDescent="0.25">
      <c r="A978">
        <v>977</v>
      </c>
      <c r="B978" s="5">
        <v>45882</v>
      </c>
      <c r="C978" t="s">
        <v>33</v>
      </c>
      <c r="D978" t="s">
        <v>100</v>
      </c>
      <c r="E978" t="s">
        <v>101</v>
      </c>
      <c r="F978" t="s">
        <v>44</v>
      </c>
      <c r="G978" s="6">
        <v>2975.86</v>
      </c>
      <c r="H978" s="7">
        <v>0</v>
      </c>
      <c r="I978" s="6">
        <v>0</v>
      </c>
      <c r="J978" s="6">
        <v>2975.86</v>
      </c>
      <c r="K978" t="s">
        <v>2020</v>
      </c>
      <c r="L978" t="s">
        <v>2021</v>
      </c>
    </row>
    <row r="979" spans="1:13" ht="15" customHeight="1" x14ac:dyDescent="0.25">
      <c r="A979">
        <v>978</v>
      </c>
      <c r="B979" s="5">
        <v>45876</v>
      </c>
      <c r="C979" t="s">
        <v>47</v>
      </c>
      <c r="D979" t="s">
        <v>100</v>
      </c>
      <c r="E979" t="s">
        <v>101</v>
      </c>
      <c r="F979" t="s">
        <v>44</v>
      </c>
      <c r="G979" s="6">
        <v>1900.38</v>
      </c>
      <c r="H979" s="7">
        <v>0</v>
      </c>
      <c r="I979" s="6">
        <v>0</v>
      </c>
      <c r="J979" s="6">
        <v>1900.38</v>
      </c>
      <c r="K979" t="s">
        <v>2022</v>
      </c>
      <c r="L979" t="s">
        <v>2023</v>
      </c>
    </row>
    <row r="980" spans="1:13" ht="15" customHeight="1" x14ac:dyDescent="0.25">
      <c r="A980">
        <v>979</v>
      </c>
      <c r="B980" s="5">
        <v>45859</v>
      </c>
      <c r="C980" t="s">
        <v>47</v>
      </c>
      <c r="D980" t="s">
        <v>42</v>
      </c>
      <c r="E980" t="s">
        <v>43</v>
      </c>
      <c r="F980" t="s">
        <v>44</v>
      </c>
      <c r="G980" s="6">
        <v>3581.92</v>
      </c>
      <c r="H980" s="7">
        <v>0</v>
      </c>
      <c r="I980" s="6">
        <v>0</v>
      </c>
      <c r="J980" s="6">
        <v>3581.92</v>
      </c>
      <c r="K980" t="s">
        <v>2024</v>
      </c>
      <c r="L980" t="s">
        <v>2025</v>
      </c>
    </row>
    <row r="981" spans="1:13" ht="15" customHeight="1" x14ac:dyDescent="0.25">
      <c r="A981">
        <v>980</v>
      </c>
      <c r="B981" s="5">
        <v>45677</v>
      </c>
      <c r="C981" t="s">
        <v>27</v>
      </c>
      <c r="D981" t="s">
        <v>172</v>
      </c>
      <c r="E981" t="s">
        <v>173</v>
      </c>
      <c r="F981" t="s">
        <v>76</v>
      </c>
      <c r="G981" s="6">
        <v>2381.27</v>
      </c>
      <c r="H981" s="7">
        <v>0.2</v>
      </c>
      <c r="I981" s="6">
        <v>476.25</v>
      </c>
      <c r="J981" s="6">
        <v>2857.52</v>
      </c>
      <c r="K981" t="s">
        <v>2026</v>
      </c>
      <c r="L981" t="s">
        <v>2027</v>
      </c>
    </row>
    <row r="982" spans="1:13" ht="15" customHeight="1" x14ac:dyDescent="0.25">
      <c r="A982">
        <v>981</v>
      </c>
      <c r="B982" s="5">
        <v>45783</v>
      </c>
      <c r="C982" t="s">
        <v>33</v>
      </c>
      <c r="D982" t="s">
        <v>100</v>
      </c>
      <c r="E982" t="s">
        <v>101</v>
      </c>
      <c r="F982" t="s">
        <v>44</v>
      </c>
      <c r="G982" s="6">
        <v>2749.47</v>
      </c>
      <c r="H982" s="7">
        <v>0</v>
      </c>
      <c r="I982" s="6">
        <v>0</v>
      </c>
      <c r="J982" s="6">
        <v>2749.47</v>
      </c>
      <c r="K982" t="s">
        <v>2028</v>
      </c>
      <c r="L982" t="s">
        <v>2029</v>
      </c>
    </row>
    <row r="983" spans="1:13" ht="15" customHeight="1" x14ac:dyDescent="0.25">
      <c r="A983">
        <v>982</v>
      </c>
      <c r="B983" s="5">
        <v>45922</v>
      </c>
      <c r="C983" t="s">
        <v>33</v>
      </c>
      <c r="D983" t="s">
        <v>172</v>
      </c>
      <c r="E983" t="s">
        <v>173</v>
      </c>
      <c r="F983" t="s">
        <v>39</v>
      </c>
      <c r="G983" s="6">
        <v>3462.01</v>
      </c>
      <c r="H983" s="7">
        <v>0.2</v>
      </c>
      <c r="I983" s="6">
        <v>692.4</v>
      </c>
      <c r="J983" s="6">
        <v>4154.41</v>
      </c>
      <c r="K983" t="s">
        <v>2030</v>
      </c>
      <c r="L983" t="s">
        <v>2031</v>
      </c>
    </row>
    <row r="984" spans="1:13" ht="15" customHeight="1" x14ac:dyDescent="0.25">
      <c r="A984">
        <v>983</v>
      </c>
      <c r="B984" s="5">
        <v>45813</v>
      </c>
      <c r="C984" t="s">
        <v>47</v>
      </c>
      <c r="D984" t="s">
        <v>79</v>
      </c>
      <c r="E984" t="s">
        <v>80</v>
      </c>
      <c r="F984" t="s">
        <v>174</v>
      </c>
      <c r="G984" s="6">
        <v>3499.65</v>
      </c>
      <c r="H984" s="7">
        <v>0.2</v>
      </c>
      <c r="I984" s="6">
        <v>699.93</v>
      </c>
      <c r="J984" s="6">
        <v>4199.58</v>
      </c>
      <c r="K984" t="s">
        <v>2032</v>
      </c>
      <c r="L984" t="s">
        <v>2033</v>
      </c>
    </row>
    <row r="985" spans="1:13" ht="15" customHeight="1" x14ac:dyDescent="0.25">
      <c r="A985">
        <v>984</v>
      </c>
      <c r="B985" s="5">
        <v>45971</v>
      </c>
      <c r="C985" t="s">
        <v>33</v>
      </c>
      <c r="D985" t="s">
        <v>63</v>
      </c>
      <c r="E985" t="s">
        <v>64</v>
      </c>
      <c r="F985" t="s">
        <v>81</v>
      </c>
      <c r="G985" s="6">
        <v>4142.13</v>
      </c>
      <c r="H985" s="7">
        <v>0.2</v>
      </c>
      <c r="I985" s="6">
        <v>828.43</v>
      </c>
      <c r="J985" s="6">
        <v>4970.5600000000004</v>
      </c>
      <c r="K985" t="s">
        <v>2034</v>
      </c>
      <c r="L985" t="s">
        <v>2035</v>
      </c>
    </row>
    <row r="986" spans="1:13" ht="15" customHeight="1" x14ac:dyDescent="0.25">
      <c r="A986">
        <v>985</v>
      </c>
      <c r="B986" s="5">
        <v>45988</v>
      </c>
      <c r="C986" t="s">
        <v>33</v>
      </c>
      <c r="D986" t="s">
        <v>79</v>
      </c>
      <c r="E986" t="s">
        <v>80</v>
      </c>
      <c r="F986" t="s">
        <v>81</v>
      </c>
      <c r="G986" s="6">
        <v>2076.5100000000002</v>
      </c>
      <c r="H986" s="7">
        <v>0.2</v>
      </c>
      <c r="I986" s="6">
        <v>415.3</v>
      </c>
      <c r="J986" s="6">
        <v>2491.81</v>
      </c>
      <c r="K986" t="s">
        <v>2036</v>
      </c>
      <c r="L986" t="s">
        <v>2037</v>
      </c>
    </row>
    <row r="987" spans="1:13" ht="15" customHeight="1" x14ac:dyDescent="0.25">
      <c r="A987">
        <v>986</v>
      </c>
      <c r="B987" s="5">
        <v>45957</v>
      </c>
      <c r="C987" t="s">
        <v>33</v>
      </c>
      <c r="D987" t="s">
        <v>28</v>
      </c>
      <c r="E987" t="s">
        <v>29</v>
      </c>
      <c r="F987" t="s">
        <v>81</v>
      </c>
      <c r="G987" s="6">
        <v>4225.26</v>
      </c>
      <c r="H987" s="7">
        <v>2.1000000000000001E-2</v>
      </c>
      <c r="I987" s="6">
        <v>88.73</v>
      </c>
      <c r="J987" s="6">
        <v>4313.99</v>
      </c>
      <c r="K987" t="s">
        <v>2038</v>
      </c>
      <c r="L987" t="s">
        <v>2039</v>
      </c>
    </row>
    <row r="988" spans="1:13" ht="15" customHeight="1" x14ac:dyDescent="0.25">
      <c r="A988">
        <v>987</v>
      </c>
      <c r="B988" s="5">
        <v>45888</v>
      </c>
      <c r="C988" t="s">
        <v>33</v>
      </c>
      <c r="D988" t="s">
        <v>63</v>
      </c>
      <c r="E988" t="s">
        <v>64</v>
      </c>
      <c r="F988" t="s">
        <v>76</v>
      </c>
      <c r="G988" s="6">
        <v>190.11</v>
      </c>
      <c r="H988" s="7">
        <v>0.2</v>
      </c>
      <c r="I988" s="6">
        <v>38.020000000000003</v>
      </c>
      <c r="J988" s="6">
        <v>228.13</v>
      </c>
      <c r="K988" t="s">
        <v>2040</v>
      </c>
      <c r="L988" t="s">
        <v>2041</v>
      </c>
    </row>
    <row r="989" spans="1:13" ht="15" customHeight="1" x14ac:dyDescent="0.25">
      <c r="A989">
        <v>988</v>
      </c>
      <c r="B989" s="5">
        <v>45890</v>
      </c>
      <c r="C989" t="s">
        <v>27</v>
      </c>
      <c r="D989" t="s">
        <v>100</v>
      </c>
      <c r="E989" t="s">
        <v>101</v>
      </c>
      <c r="F989" t="s">
        <v>44</v>
      </c>
      <c r="G989" s="6">
        <v>2577.7800000000002</v>
      </c>
      <c r="H989" s="7">
        <v>0</v>
      </c>
      <c r="I989" s="6">
        <v>0</v>
      </c>
      <c r="J989" s="6">
        <v>2577.7800000000002</v>
      </c>
      <c r="K989" t="s">
        <v>2042</v>
      </c>
      <c r="L989" t="s">
        <v>2043</v>
      </c>
    </row>
    <row r="990" spans="1:13" ht="15" customHeight="1" x14ac:dyDescent="0.25">
      <c r="A990">
        <v>989</v>
      </c>
      <c r="B990" s="5">
        <v>45721</v>
      </c>
      <c r="C990" t="s">
        <v>27</v>
      </c>
      <c r="D990" t="s">
        <v>42</v>
      </c>
      <c r="E990" t="s">
        <v>43</v>
      </c>
      <c r="F990" t="s">
        <v>44</v>
      </c>
      <c r="G990" s="6">
        <v>3494.94</v>
      </c>
      <c r="H990" s="7">
        <v>0</v>
      </c>
      <c r="I990" s="6">
        <v>0</v>
      </c>
      <c r="J990" s="6">
        <v>3494.94</v>
      </c>
      <c r="K990" t="s">
        <v>2044</v>
      </c>
      <c r="L990" t="s">
        <v>2045</v>
      </c>
    </row>
    <row r="991" spans="1:13" ht="15" customHeight="1" x14ac:dyDescent="0.25">
      <c r="A991">
        <v>990</v>
      </c>
      <c r="B991" s="5">
        <v>46020</v>
      </c>
      <c r="C991" t="s">
        <v>47</v>
      </c>
      <c r="D991" t="s">
        <v>28</v>
      </c>
      <c r="E991" t="s">
        <v>29</v>
      </c>
      <c r="F991" t="s">
        <v>106</v>
      </c>
      <c r="G991" s="6">
        <v>1777.67</v>
      </c>
      <c r="H991" s="7">
        <v>0.33</v>
      </c>
      <c r="I991" s="6">
        <v>586.63</v>
      </c>
      <c r="J991" s="6">
        <v>2364.3000000000002</v>
      </c>
      <c r="K991" t="s">
        <v>2046</v>
      </c>
      <c r="L991" t="s">
        <v>2047</v>
      </c>
      <c r="M991" t="s">
        <v>447</v>
      </c>
    </row>
    <row r="992" spans="1:13" ht="15" customHeight="1" x14ac:dyDescent="0.25">
      <c r="A992">
        <v>991</v>
      </c>
      <c r="B992" s="5">
        <v>45852</v>
      </c>
      <c r="C992" t="s">
        <v>33</v>
      </c>
      <c r="D992" t="s">
        <v>63</v>
      </c>
      <c r="E992" t="s">
        <v>64</v>
      </c>
      <c r="F992" t="s">
        <v>30</v>
      </c>
      <c r="G992" s="6">
        <v>274.06</v>
      </c>
      <c r="H992" s="7">
        <v>0.2</v>
      </c>
      <c r="I992" s="6">
        <v>54.81</v>
      </c>
      <c r="J992" s="6">
        <v>328.87</v>
      </c>
      <c r="K992" t="s">
        <v>2048</v>
      </c>
      <c r="L992" t="s">
        <v>2049</v>
      </c>
    </row>
    <row r="993" spans="1:12" ht="15" customHeight="1" x14ac:dyDescent="0.25">
      <c r="A993">
        <v>992</v>
      </c>
      <c r="B993" s="5">
        <v>45734</v>
      </c>
      <c r="C993" t="s">
        <v>27</v>
      </c>
      <c r="D993" t="s">
        <v>100</v>
      </c>
      <c r="E993" t="s">
        <v>101</v>
      </c>
      <c r="F993" t="s">
        <v>44</v>
      </c>
      <c r="G993" s="6">
        <v>2147.06</v>
      </c>
      <c r="H993" s="7">
        <v>0</v>
      </c>
      <c r="I993" s="6">
        <v>0</v>
      </c>
      <c r="J993" s="6">
        <v>2147.06</v>
      </c>
      <c r="K993" t="s">
        <v>2050</v>
      </c>
      <c r="L993" t="s">
        <v>2051</v>
      </c>
    </row>
    <row r="994" spans="1:12" ht="15" customHeight="1" x14ac:dyDescent="0.25">
      <c r="A994">
        <v>993</v>
      </c>
      <c r="B994" s="5">
        <v>45805</v>
      </c>
      <c r="C994" t="s">
        <v>27</v>
      </c>
      <c r="D994" t="s">
        <v>28</v>
      </c>
      <c r="E994" t="s">
        <v>29</v>
      </c>
      <c r="F994" t="s">
        <v>87</v>
      </c>
      <c r="G994" s="6">
        <v>2848.92</v>
      </c>
      <c r="H994" s="7">
        <v>2.1000000000000001E-2</v>
      </c>
      <c r="I994" s="6">
        <v>59.83</v>
      </c>
      <c r="J994" s="6">
        <v>2908.75</v>
      </c>
      <c r="K994" t="s">
        <v>2052</v>
      </c>
      <c r="L994" t="s">
        <v>2053</v>
      </c>
    </row>
    <row r="995" spans="1:12" ht="15" customHeight="1" x14ac:dyDescent="0.25">
      <c r="A995">
        <v>994</v>
      </c>
      <c r="B995" s="5">
        <v>45664</v>
      </c>
      <c r="C995" t="s">
        <v>33</v>
      </c>
      <c r="D995" t="s">
        <v>28</v>
      </c>
      <c r="E995" t="s">
        <v>29</v>
      </c>
      <c r="F995" t="s">
        <v>76</v>
      </c>
      <c r="G995" s="6">
        <v>2107.1999999999998</v>
      </c>
      <c r="H995" s="7">
        <v>2.1000000000000001E-2</v>
      </c>
      <c r="I995" s="6">
        <v>44.25</v>
      </c>
      <c r="J995" s="6">
        <v>2151.4499999999998</v>
      </c>
      <c r="K995" t="s">
        <v>2054</v>
      </c>
      <c r="L995" t="s">
        <v>2055</v>
      </c>
    </row>
    <row r="996" spans="1:12" ht="15" customHeight="1" x14ac:dyDescent="0.25">
      <c r="A996">
        <v>995</v>
      </c>
      <c r="B996" s="5">
        <v>45910</v>
      </c>
      <c r="C996" t="s">
        <v>33</v>
      </c>
      <c r="D996" t="s">
        <v>172</v>
      </c>
      <c r="E996" t="s">
        <v>173</v>
      </c>
      <c r="F996" t="s">
        <v>84</v>
      </c>
      <c r="G996" s="6">
        <v>1131.42</v>
      </c>
      <c r="H996" s="7">
        <v>0.2</v>
      </c>
      <c r="I996" s="6">
        <v>226.28</v>
      </c>
      <c r="J996" s="6">
        <v>1357.7</v>
      </c>
      <c r="K996" t="s">
        <v>2056</v>
      </c>
      <c r="L996" t="s">
        <v>2057</v>
      </c>
    </row>
    <row r="997" spans="1:12" ht="15" customHeight="1" x14ac:dyDescent="0.25">
      <c r="A997">
        <v>996</v>
      </c>
      <c r="B997" s="5">
        <v>45884</v>
      </c>
      <c r="C997" t="s">
        <v>47</v>
      </c>
      <c r="D997" t="s">
        <v>79</v>
      </c>
      <c r="E997" t="s">
        <v>80</v>
      </c>
      <c r="F997" t="s">
        <v>84</v>
      </c>
      <c r="G997" s="6">
        <v>430.97</v>
      </c>
      <c r="H997" s="7">
        <v>0.2</v>
      </c>
      <c r="I997" s="6">
        <v>86.19</v>
      </c>
      <c r="J997" s="6">
        <v>517.16</v>
      </c>
      <c r="K997" t="s">
        <v>2058</v>
      </c>
      <c r="L997" t="s">
        <v>2059</v>
      </c>
    </row>
    <row r="998" spans="1:12" ht="15" customHeight="1" x14ac:dyDescent="0.25">
      <c r="A998">
        <v>997</v>
      </c>
      <c r="B998" s="5">
        <v>45800</v>
      </c>
      <c r="C998" t="s">
        <v>33</v>
      </c>
      <c r="D998" t="s">
        <v>100</v>
      </c>
      <c r="E998" t="s">
        <v>101</v>
      </c>
      <c r="F998" t="s">
        <v>44</v>
      </c>
      <c r="G998" s="6">
        <v>3138.12</v>
      </c>
      <c r="H998" s="7">
        <v>0</v>
      </c>
      <c r="I998" s="6">
        <v>0</v>
      </c>
      <c r="J998" s="6">
        <v>3138.12</v>
      </c>
      <c r="K998" t="s">
        <v>2060</v>
      </c>
      <c r="L998" t="s">
        <v>2061</v>
      </c>
    </row>
    <row r="999" spans="1:12" ht="15" customHeight="1" x14ac:dyDescent="0.25">
      <c r="A999">
        <v>998</v>
      </c>
      <c r="B999" s="5">
        <v>45733</v>
      </c>
      <c r="C999" t="s">
        <v>33</v>
      </c>
      <c r="D999" t="s">
        <v>28</v>
      </c>
      <c r="E999" t="s">
        <v>29</v>
      </c>
      <c r="F999" t="s">
        <v>50</v>
      </c>
      <c r="G999" s="6">
        <v>323.38</v>
      </c>
      <c r="H999" s="7">
        <v>2.1000000000000001E-2</v>
      </c>
      <c r="I999" s="6">
        <v>6.79</v>
      </c>
      <c r="J999" s="6">
        <v>330.17</v>
      </c>
      <c r="K999" t="s">
        <v>2062</v>
      </c>
      <c r="L999" t="s">
        <v>2063</v>
      </c>
    </row>
    <row r="1000" spans="1:12" ht="15" customHeight="1" x14ac:dyDescent="0.25">
      <c r="A1000">
        <v>999</v>
      </c>
      <c r="B1000" s="5">
        <v>45999</v>
      </c>
      <c r="C1000" t="s">
        <v>33</v>
      </c>
      <c r="D1000" t="s">
        <v>42</v>
      </c>
      <c r="E1000" t="s">
        <v>43</v>
      </c>
      <c r="F1000" t="s">
        <v>44</v>
      </c>
      <c r="G1000" s="6">
        <v>3247.89</v>
      </c>
      <c r="H1000" s="7">
        <v>0</v>
      </c>
      <c r="I1000" s="6">
        <v>0</v>
      </c>
      <c r="J1000" s="6">
        <v>3247.89</v>
      </c>
      <c r="K1000" t="s">
        <v>2064</v>
      </c>
      <c r="L1000" t="s">
        <v>2065</v>
      </c>
    </row>
    <row r="1001" spans="1:12" ht="15" customHeight="1" x14ac:dyDescent="0.25">
      <c r="A1001">
        <v>1000</v>
      </c>
      <c r="B1001" s="5">
        <v>45749</v>
      </c>
      <c r="C1001" t="s">
        <v>33</v>
      </c>
      <c r="D1001" t="s">
        <v>28</v>
      </c>
      <c r="E1001" t="s">
        <v>29</v>
      </c>
      <c r="F1001" t="s">
        <v>174</v>
      </c>
      <c r="G1001" s="6">
        <v>793.1</v>
      </c>
      <c r="H1001" s="7">
        <v>2.1000000000000001E-2</v>
      </c>
      <c r="I1001" s="6">
        <v>16.66</v>
      </c>
      <c r="J1001" s="6">
        <v>809.76</v>
      </c>
      <c r="K1001" t="s">
        <v>2066</v>
      </c>
      <c r="L1001" t="s">
        <v>2067</v>
      </c>
    </row>
    <row r="1002" spans="1:12" ht="15" customHeight="1" x14ac:dyDescent="0.25">
      <c r="A1002">
        <v>1001</v>
      </c>
      <c r="B1002" s="5">
        <v>45951</v>
      </c>
      <c r="C1002" t="s">
        <v>27</v>
      </c>
      <c r="D1002" t="s">
        <v>42</v>
      </c>
      <c r="E1002" t="s">
        <v>43</v>
      </c>
      <c r="F1002" t="s">
        <v>44</v>
      </c>
      <c r="G1002" s="6">
        <v>2225.81</v>
      </c>
      <c r="H1002" s="7">
        <v>0</v>
      </c>
      <c r="I1002" s="6">
        <v>0</v>
      </c>
      <c r="J1002" s="6">
        <v>2225.81</v>
      </c>
      <c r="K1002" t="s">
        <v>2068</v>
      </c>
      <c r="L1002" t="s">
        <v>2069</v>
      </c>
    </row>
    <row r="1003" spans="1:12" ht="15" customHeight="1" x14ac:dyDescent="0.25">
      <c r="A1003">
        <v>1002</v>
      </c>
      <c r="B1003" s="5">
        <v>45705</v>
      </c>
      <c r="C1003" t="s">
        <v>27</v>
      </c>
      <c r="D1003" t="s">
        <v>172</v>
      </c>
      <c r="E1003" t="s">
        <v>173</v>
      </c>
      <c r="F1003" t="s">
        <v>50</v>
      </c>
      <c r="G1003" s="6">
        <v>3476.82</v>
      </c>
      <c r="H1003" s="7">
        <v>0.2</v>
      </c>
      <c r="I1003" s="6">
        <v>695.36</v>
      </c>
      <c r="J1003" s="6">
        <v>4172.18</v>
      </c>
      <c r="K1003" t="s">
        <v>2070</v>
      </c>
      <c r="L1003" t="s">
        <v>2071</v>
      </c>
    </row>
    <row r="1004" spans="1:12" ht="15" customHeight="1" x14ac:dyDescent="0.25">
      <c r="A1004">
        <v>1003</v>
      </c>
      <c r="B1004" s="5">
        <v>45876</v>
      </c>
      <c r="C1004" t="s">
        <v>47</v>
      </c>
      <c r="D1004" t="s">
        <v>42</v>
      </c>
      <c r="E1004" t="s">
        <v>43</v>
      </c>
      <c r="F1004" t="s">
        <v>44</v>
      </c>
      <c r="G1004" s="6">
        <v>1955.82</v>
      </c>
      <c r="H1004" s="7">
        <v>0</v>
      </c>
      <c r="I1004" s="6">
        <v>0</v>
      </c>
      <c r="J1004" s="6">
        <v>1955.82</v>
      </c>
      <c r="K1004" t="s">
        <v>2072</v>
      </c>
      <c r="L1004" t="s">
        <v>2073</v>
      </c>
    </row>
    <row r="1005" spans="1:12" ht="15" customHeight="1" x14ac:dyDescent="0.25">
      <c r="A1005">
        <v>1004</v>
      </c>
      <c r="B1005" s="5">
        <v>45798</v>
      </c>
      <c r="C1005" t="s">
        <v>33</v>
      </c>
      <c r="D1005" t="s">
        <v>28</v>
      </c>
      <c r="E1005" t="s">
        <v>29</v>
      </c>
      <c r="F1005" t="s">
        <v>36</v>
      </c>
      <c r="G1005" s="6">
        <v>1535.1</v>
      </c>
      <c r="H1005" s="7">
        <v>2.1000000000000001E-2</v>
      </c>
      <c r="I1005" s="6">
        <v>32.24</v>
      </c>
      <c r="J1005" s="6">
        <v>1567.34</v>
      </c>
      <c r="K1005" t="s">
        <v>2074</v>
      </c>
      <c r="L1005" t="s">
        <v>2075</v>
      </c>
    </row>
    <row r="1006" spans="1:12" ht="15" customHeight="1" x14ac:dyDescent="0.25">
      <c r="A1006">
        <v>1005</v>
      </c>
      <c r="B1006" s="5">
        <v>45971</v>
      </c>
      <c r="C1006" t="s">
        <v>33</v>
      </c>
      <c r="D1006" t="s">
        <v>42</v>
      </c>
      <c r="E1006" t="s">
        <v>43</v>
      </c>
      <c r="F1006" t="s">
        <v>44</v>
      </c>
      <c r="G1006" s="6">
        <v>3171.28</v>
      </c>
      <c r="H1006" s="7">
        <v>0</v>
      </c>
      <c r="I1006" s="6">
        <v>0</v>
      </c>
      <c r="J1006" s="6">
        <v>3171.28</v>
      </c>
      <c r="K1006" t="s">
        <v>2076</v>
      </c>
      <c r="L1006" t="s">
        <v>2077</v>
      </c>
    </row>
    <row r="1007" spans="1:12" ht="15" customHeight="1" x14ac:dyDescent="0.25">
      <c r="A1007">
        <v>1006</v>
      </c>
      <c r="B1007" s="5">
        <v>45905</v>
      </c>
      <c r="C1007" t="s">
        <v>27</v>
      </c>
      <c r="D1007" t="s">
        <v>94</v>
      </c>
      <c r="E1007" t="s">
        <v>95</v>
      </c>
      <c r="F1007" t="s">
        <v>44</v>
      </c>
      <c r="G1007" s="6">
        <v>2011.95</v>
      </c>
      <c r="H1007" s="7">
        <v>0</v>
      </c>
      <c r="I1007" s="6">
        <v>0</v>
      </c>
      <c r="J1007" s="6">
        <v>2011.95</v>
      </c>
      <c r="K1007" t="s">
        <v>2078</v>
      </c>
      <c r="L1007" t="s">
        <v>2079</v>
      </c>
    </row>
    <row r="1008" spans="1:12" ht="15" customHeight="1" x14ac:dyDescent="0.25">
      <c r="A1008">
        <v>1007</v>
      </c>
      <c r="B1008" s="5">
        <v>45820</v>
      </c>
      <c r="C1008" t="s">
        <v>27</v>
      </c>
      <c r="D1008" t="s">
        <v>55</v>
      </c>
      <c r="E1008" t="s">
        <v>56</v>
      </c>
      <c r="F1008" t="s">
        <v>84</v>
      </c>
      <c r="G1008" s="6">
        <v>1227.7</v>
      </c>
      <c r="H1008" s="7">
        <v>5.5E-2</v>
      </c>
      <c r="I1008" s="6">
        <v>67.52</v>
      </c>
      <c r="J1008" s="6">
        <v>1295.22</v>
      </c>
      <c r="K1008" t="s">
        <v>2080</v>
      </c>
      <c r="L1008" t="s">
        <v>2081</v>
      </c>
    </row>
    <row r="1009" spans="1:13" ht="15" customHeight="1" x14ac:dyDescent="0.25">
      <c r="A1009">
        <v>1008</v>
      </c>
      <c r="B1009" s="5">
        <v>45972</v>
      </c>
      <c r="C1009" t="s">
        <v>47</v>
      </c>
      <c r="D1009" t="s">
        <v>100</v>
      </c>
      <c r="E1009" t="s">
        <v>101</v>
      </c>
      <c r="F1009" t="s">
        <v>44</v>
      </c>
      <c r="G1009" s="6">
        <v>3047.29</v>
      </c>
      <c r="H1009" s="7">
        <v>0</v>
      </c>
      <c r="I1009" s="6">
        <v>0</v>
      </c>
      <c r="J1009" s="6">
        <v>3047.29</v>
      </c>
      <c r="K1009" t="s">
        <v>2082</v>
      </c>
      <c r="L1009" t="s">
        <v>2083</v>
      </c>
    </row>
    <row r="1010" spans="1:13" ht="15" customHeight="1" x14ac:dyDescent="0.25">
      <c r="A1010">
        <v>1009</v>
      </c>
      <c r="B1010" s="5">
        <v>45750</v>
      </c>
      <c r="C1010" t="s">
        <v>47</v>
      </c>
      <c r="D1010" t="s">
        <v>79</v>
      </c>
      <c r="E1010" t="s">
        <v>80</v>
      </c>
      <c r="F1010" t="s">
        <v>71</v>
      </c>
      <c r="G1010" s="6">
        <v>3985.79</v>
      </c>
      <c r="H1010" s="7">
        <v>0.2</v>
      </c>
      <c r="I1010" s="6">
        <v>797.16</v>
      </c>
      <c r="J1010" s="6">
        <v>4782.95</v>
      </c>
      <c r="K1010" t="s">
        <v>2084</v>
      </c>
      <c r="L1010" t="s">
        <v>2085</v>
      </c>
    </row>
    <row r="1011" spans="1:13" ht="15" customHeight="1" x14ac:dyDescent="0.25">
      <c r="A1011">
        <v>1010</v>
      </c>
      <c r="B1011" s="5">
        <v>45658</v>
      </c>
      <c r="C1011" t="s">
        <v>47</v>
      </c>
      <c r="D1011" t="s">
        <v>94</v>
      </c>
      <c r="E1011" t="s">
        <v>95</v>
      </c>
      <c r="F1011" t="s">
        <v>44</v>
      </c>
      <c r="G1011" s="6">
        <v>1662.21</v>
      </c>
      <c r="H1011" s="7">
        <v>0</v>
      </c>
      <c r="I1011" s="6">
        <v>0</v>
      </c>
      <c r="J1011" s="6">
        <v>1662.21</v>
      </c>
      <c r="K1011" t="s">
        <v>2086</v>
      </c>
      <c r="L1011" t="s">
        <v>2087</v>
      </c>
    </row>
    <row r="1012" spans="1:13" ht="15" customHeight="1" x14ac:dyDescent="0.25">
      <c r="A1012">
        <v>1011</v>
      </c>
      <c r="B1012" s="5">
        <v>45764</v>
      </c>
      <c r="C1012" t="s">
        <v>33</v>
      </c>
      <c r="D1012" t="s">
        <v>42</v>
      </c>
      <c r="E1012" t="s">
        <v>43</v>
      </c>
      <c r="F1012" t="s">
        <v>44</v>
      </c>
      <c r="G1012" s="6">
        <v>4197.57</v>
      </c>
      <c r="H1012" s="7">
        <v>0</v>
      </c>
      <c r="I1012" s="6">
        <v>0</v>
      </c>
      <c r="J1012" s="6">
        <v>4197.57</v>
      </c>
      <c r="K1012" t="s">
        <v>2088</v>
      </c>
      <c r="L1012" t="s">
        <v>2089</v>
      </c>
    </row>
    <row r="1013" spans="1:13" ht="15" customHeight="1" x14ac:dyDescent="0.25">
      <c r="A1013">
        <v>1012</v>
      </c>
      <c r="B1013" s="5">
        <v>45944</v>
      </c>
      <c r="C1013" t="s">
        <v>33</v>
      </c>
      <c r="D1013" t="s">
        <v>55</v>
      </c>
      <c r="E1013" t="s">
        <v>56</v>
      </c>
      <c r="F1013" t="s">
        <v>71</v>
      </c>
      <c r="G1013" s="6">
        <v>23638.7</v>
      </c>
      <c r="H1013" s="7">
        <v>5.5E-2</v>
      </c>
      <c r="I1013" s="6">
        <v>1300.1300000000001</v>
      </c>
      <c r="J1013" s="6">
        <v>24938.83</v>
      </c>
      <c r="K1013" t="s">
        <v>2090</v>
      </c>
      <c r="L1013" t="s">
        <v>2091</v>
      </c>
      <c r="M1013" t="s">
        <v>580</v>
      </c>
    </row>
    <row r="1014" spans="1:13" ht="15" customHeight="1" x14ac:dyDescent="0.25">
      <c r="A1014">
        <v>1013</v>
      </c>
      <c r="B1014" s="5">
        <v>45692</v>
      </c>
      <c r="C1014" t="s">
        <v>27</v>
      </c>
      <c r="D1014" t="s">
        <v>28</v>
      </c>
      <c r="E1014" t="s">
        <v>29</v>
      </c>
      <c r="F1014" t="s">
        <v>106</v>
      </c>
      <c r="G1014" s="6">
        <v>1440.35</v>
      </c>
      <c r="H1014" s="7">
        <v>2.1000000000000001E-2</v>
      </c>
      <c r="I1014" s="6">
        <v>30.25</v>
      </c>
      <c r="J1014" s="6">
        <v>1470.6</v>
      </c>
      <c r="K1014" t="s">
        <v>2092</v>
      </c>
      <c r="L1014" t="s">
        <v>2093</v>
      </c>
    </row>
    <row r="1015" spans="1:13" ht="15" customHeight="1" x14ac:dyDescent="0.25">
      <c r="A1015">
        <v>1014</v>
      </c>
      <c r="B1015" s="5">
        <v>45716</v>
      </c>
      <c r="C1015" t="s">
        <v>47</v>
      </c>
      <c r="D1015" t="s">
        <v>42</v>
      </c>
      <c r="E1015" t="s">
        <v>43</v>
      </c>
      <c r="F1015" t="s">
        <v>44</v>
      </c>
      <c r="G1015" s="6">
        <v>2619.27</v>
      </c>
      <c r="H1015" s="7">
        <v>0</v>
      </c>
      <c r="I1015" s="6">
        <v>0</v>
      </c>
      <c r="J1015" s="6">
        <v>2619.27</v>
      </c>
      <c r="K1015" t="s">
        <v>2094</v>
      </c>
      <c r="L1015" t="s">
        <v>2095</v>
      </c>
    </row>
    <row r="1016" spans="1:13" ht="15" customHeight="1" x14ac:dyDescent="0.25">
      <c r="A1016">
        <v>1015</v>
      </c>
      <c r="B1016" s="5">
        <v>45672</v>
      </c>
      <c r="C1016" t="s">
        <v>27</v>
      </c>
      <c r="D1016" t="s">
        <v>181</v>
      </c>
      <c r="E1016" t="s">
        <v>182</v>
      </c>
      <c r="F1016" t="s">
        <v>71</v>
      </c>
      <c r="G1016" s="6">
        <v>3757.63</v>
      </c>
      <c r="H1016" s="7">
        <v>0.2</v>
      </c>
      <c r="I1016" s="6">
        <v>751.53</v>
      </c>
      <c r="J1016" s="6">
        <v>4509.16</v>
      </c>
      <c r="K1016" t="s">
        <v>2096</v>
      </c>
      <c r="L1016" t="s">
        <v>2097</v>
      </c>
    </row>
    <row r="1017" spans="1:13" ht="15" customHeight="1" x14ac:dyDescent="0.25">
      <c r="A1017">
        <v>1016</v>
      </c>
      <c r="B1017" s="5">
        <v>45903</v>
      </c>
      <c r="C1017" t="s">
        <v>47</v>
      </c>
      <c r="D1017" t="s">
        <v>100</v>
      </c>
      <c r="E1017" t="s">
        <v>101</v>
      </c>
      <c r="F1017" t="s">
        <v>44</v>
      </c>
      <c r="G1017" s="6">
        <v>3713.41</v>
      </c>
      <c r="H1017" s="7">
        <v>0</v>
      </c>
      <c r="I1017" s="6">
        <v>0</v>
      </c>
      <c r="J1017" s="6">
        <v>3713.41</v>
      </c>
      <c r="K1017" t="s">
        <v>2098</v>
      </c>
      <c r="L1017" t="s">
        <v>2099</v>
      </c>
    </row>
    <row r="1018" spans="1:13" ht="15" customHeight="1" x14ac:dyDescent="0.25">
      <c r="A1018">
        <v>1017</v>
      </c>
      <c r="B1018" s="5">
        <v>45979</v>
      </c>
      <c r="C1018" t="s">
        <v>33</v>
      </c>
      <c r="D1018" t="s">
        <v>79</v>
      </c>
      <c r="E1018" t="s">
        <v>80</v>
      </c>
      <c r="F1018" t="s">
        <v>106</v>
      </c>
      <c r="G1018" s="6">
        <v>2115.9299999999998</v>
      </c>
      <c r="H1018" s="7">
        <v>0.2</v>
      </c>
      <c r="I1018" s="6">
        <v>423.19</v>
      </c>
      <c r="J1018" s="6">
        <v>2539.12</v>
      </c>
      <c r="K1018" t="s">
        <v>2100</v>
      </c>
      <c r="L1018" t="s">
        <v>2101</v>
      </c>
    </row>
    <row r="1019" spans="1:13" ht="15" customHeight="1" x14ac:dyDescent="0.25">
      <c r="A1019">
        <v>1018</v>
      </c>
      <c r="B1019" s="5">
        <v>45869</v>
      </c>
      <c r="C1019" t="s">
        <v>47</v>
      </c>
      <c r="D1019" t="s">
        <v>42</v>
      </c>
      <c r="E1019" t="s">
        <v>43</v>
      </c>
      <c r="F1019" t="s">
        <v>44</v>
      </c>
      <c r="G1019" s="6">
        <v>1934.45</v>
      </c>
      <c r="H1019" s="7">
        <v>0</v>
      </c>
      <c r="I1019" s="6">
        <v>0</v>
      </c>
      <c r="J1019" s="6">
        <v>1934.45</v>
      </c>
      <c r="K1019" t="s">
        <v>2102</v>
      </c>
      <c r="L1019" t="s">
        <v>2103</v>
      </c>
    </row>
    <row r="1020" spans="1:13" ht="15" customHeight="1" x14ac:dyDescent="0.25">
      <c r="A1020">
        <v>1019</v>
      </c>
      <c r="B1020" s="5">
        <v>45819</v>
      </c>
      <c r="C1020" t="s">
        <v>47</v>
      </c>
      <c r="D1020" t="s">
        <v>172</v>
      </c>
      <c r="E1020" t="s">
        <v>173</v>
      </c>
      <c r="F1020" t="s">
        <v>39</v>
      </c>
      <c r="G1020" s="6">
        <v>2533.88</v>
      </c>
      <c r="H1020" s="7">
        <v>0.2</v>
      </c>
      <c r="I1020" s="6">
        <v>506.78</v>
      </c>
      <c r="J1020" s="6">
        <v>3040.66</v>
      </c>
      <c r="K1020" t="s">
        <v>2104</v>
      </c>
      <c r="L1020" t="s">
        <v>2105</v>
      </c>
    </row>
    <row r="1021" spans="1:13" ht="15" customHeight="1" x14ac:dyDescent="0.25">
      <c r="A1021">
        <v>1020</v>
      </c>
      <c r="B1021" s="5">
        <v>46035</v>
      </c>
      <c r="C1021" t="s">
        <v>27</v>
      </c>
      <c r="D1021" t="s">
        <v>34</v>
      </c>
      <c r="E1021" t="s">
        <v>35</v>
      </c>
      <c r="F1021" t="s">
        <v>30</v>
      </c>
      <c r="G1021" s="6">
        <v>372.66</v>
      </c>
      <c r="H1021" s="7">
        <v>0.2</v>
      </c>
      <c r="I1021" s="6">
        <v>74.53</v>
      </c>
      <c r="J1021" s="6">
        <v>447.19</v>
      </c>
      <c r="K1021" t="s">
        <v>2106</v>
      </c>
      <c r="L1021" t="s">
        <v>2107</v>
      </c>
      <c r="M1021" t="s">
        <v>1282</v>
      </c>
    </row>
    <row r="1022" spans="1:13" ht="15" customHeight="1" x14ac:dyDescent="0.25">
      <c r="A1022">
        <v>1021</v>
      </c>
      <c r="B1022" s="5">
        <v>45978</v>
      </c>
      <c r="C1022" t="s">
        <v>33</v>
      </c>
      <c r="D1022" t="s">
        <v>55</v>
      </c>
      <c r="E1022" t="s">
        <v>56</v>
      </c>
      <c r="F1022" t="s">
        <v>30</v>
      </c>
      <c r="G1022" s="6">
        <v>2441.4899999999998</v>
      </c>
      <c r="H1022" s="7">
        <v>5.5E-2</v>
      </c>
      <c r="I1022" s="6">
        <v>134.28</v>
      </c>
      <c r="J1022" s="6">
        <v>2575.77</v>
      </c>
      <c r="K1022" t="s">
        <v>2108</v>
      </c>
      <c r="L1022" t="s">
        <v>2109</v>
      </c>
    </row>
    <row r="1023" spans="1:13" ht="15" customHeight="1" x14ac:dyDescent="0.25">
      <c r="A1023">
        <v>1022</v>
      </c>
      <c r="B1023" s="5">
        <v>45819</v>
      </c>
      <c r="C1023" t="s">
        <v>27</v>
      </c>
      <c r="D1023" t="s">
        <v>63</v>
      </c>
      <c r="E1023" t="s">
        <v>64</v>
      </c>
      <c r="F1023" t="s">
        <v>174</v>
      </c>
      <c r="G1023" s="6">
        <v>3217.49</v>
      </c>
      <c r="H1023" s="7">
        <v>0.2</v>
      </c>
      <c r="I1023" s="6">
        <v>643.5</v>
      </c>
      <c r="J1023" s="6">
        <v>3860.99</v>
      </c>
      <c r="K1023" t="s">
        <v>2110</v>
      </c>
      <c r="L1023" t="s">
        <v>2111</v>
      </c>
    </row>
    <row r="1024" spans="1:13" ht="15" customHeight="1" x14ac:dyDescent="0.25">
      <c r="A1024">
        <v>1023</v>
      </c>
      <c r="B1024" s="5">
        <v>45779</v>
      </c>
      <c r="C1024" t="s">
        <v>33</v>
      </c>
      <c r="D1024" t="s">
        <v>79</v>
      </c>
      <c r="E1024" t="s">
        <v>80</v>
      </c>
      <c r="F1024" t="s">
        <v>174</v>
      </c>
      <c r="G1024" s="6">
        <v>1722.4</v>
      </c>
      <c r="H1024" s="7">
        <v>0.2</v>
      </c>
      <c r="I1024" s="6">
        <v>344.48</v>
      </c>
      <c r="J1024" s="6">
        <v>2066.88</v>
      </c>
      <c r="K1024" t="s">
        <v>2112</v>
      </c>
      <c r="L1024" t="s">
        <v>2113</v>
      </c>
    </row>
    <row r="1025" spans="1:12" ht="15" customHeight="1" x14ac:dyDescent="0.25">
      <c r="A1025">
        <v>1024</v>
      </c>
      <c r="B1025" s="5">
        <v>45715</v>
      </c>
      <c r="C1025" t="s">
        <v>27</v>
      </c>
      <c r="D1025" t="s">
        <v>55</v>
      </c>
      <c r="E1025" t="s">
        <v>56</v>
      </c>
      <c r="F1025" t="s">
        <v>39</v>
      </c>
      <c r="G1025" s="6">
        <v>1734.03</v>
      </c>
      <c r="H1025" s="7">
        <v>5.5E-2</v>
      </c>
      <c r="I1025" s="6">
        <v>95.37</v>
      </c>
      <c r="J1025" s="6">
        <v>1829.4</v>
      </c>
      <c r="K1025" t="s">
        <v>2114</v>
      </c>
      <c r="L1025" t="s">
        <v>2115</v>
      </c>
    </row>
    <row r="1026" spans="1:12" ht="15" customHeight="1" x14ac:dyDescent="0.25">
      <c r="A1026">
        <v>1025</v>
      </c>
      <c r="B1026" s="5">
        <v>45917</v>
      </c>
      <c r="C1026" t="s">
        <v>33</v>
      </c>
      <c r="D1026" t="s">
        <v>100</v>
      </c>
      <c r="E1026" t="s">
        <v>101</v>
      </c>
      <c r="F1026" t="s">
        <v>44</v>
      </c>
      <c r="G1026" s="6">
        <v>2958.39</v>
      </c>
      <c r="H1026" s="7">
        <v>0</v>
      </c>
      <c r="I1026" s="6">
        <v>0</v>
      </c>
      <c r="J1026" s="6">
        <v>2958.39</v>
      </c>
      <c r="K1026" t="s">
        <v>2116</v>
      </c>
      <c r="L1026" t="s">
        <v>2117</v>
      </c>
    </row>
    <row r="1027" spans="1:12" ht="15" customHeight="1" x14ac:dyDescent="0.25">
      <c r="A1027">
        <v>1026</v>
      </c>
      <c r="B1027" s="5">
        <v>45905</v>
      </c>
      <c r="C1027" t="s">
        <v>33</v>
      </c>
      <c r="D1027" t="s">
        <v>28</v>
      </c>
      <c r="E1027" t="s">
        <v>29</v>
      </c>
      <c r="F1027" t="s">
        <v>106</v>
      </c>
      <c r="G1027" s="6">
        <v>3317.39</v>
      </c>
      <c r="H1027" s="7">
        <v>2.1000000000000001E-2</v>
      </c>
      <c r="I1027" s="6">
        <v>69.67</v>
      </c>
      <c r="J1027" s="6">
        <v>3387.06</v>
      </c>
      <c r="K1027" t="s">
        <v>2118</v>
      </c>
      <c r="L1027" t="s">
        <v>2119</v>
      </c>
    </row>
    <row r="1028" spans="1:12" ht="15" customHeight="1" x14ac:dyDescent="0.25">
      <c r="A1028">
        <v>1027</v>
      </c>
      <c r="B1028" s="5">
        <v>45708</v>
      </c>
      <c r="C1028" t="s">
        <v>47</v>
      </c>
      <c r="D1028" t="s">
        <v>28</v>
      </c>
      <c r="E1028" t="s">
        <v>29</v>
      </c>
      <c r="F1028" t="s">
        <v>106</v>
      </c>
      <c r="G1028" s="6">
        <v>3713.85</v>
      </c>
      <c r="H1028" s="7">
        <v>2.1000000000000001E-2</v>
      </c>
      <c r="I1028" s="6">
        <v>77.989999999999995</v>
      </c>
      <c r="J1028" s="6">
        <v>3791.84</v>
      </c>
      <c r="K1028" t="s">
        <v>2120</v>
      </c>
      <c r="L1028" t="s">
        <v>2121</v>
      </c>
    </row>
    <row r="1029" spans="1:12" ht="15" customHeight="1" x14ac:dyDescent="0.25">
      <c r="A1029">
        <v>1028</v>
      </c>
      <c r="B1029" s="5">
        <v>45856</v>
      </c>
      <c r="C1029" t="s">
        <v>33</v>
      </c>
      <c r="D1029" t="s">
        <v>28</v>
      </c>
      <c r="E1029" t="s">
        <v>29</v>
      </c>
      <c r="F1029" t="s">
        <v>106</v>
      </c>
      <c r="G1029" s="6">
        <v>3234.45</v>
      </c>
      <c r="H1029" s="7">
        <v>2.1000000000000001E-2</v>
      </c>
      <c r="I1029" s="6">
        <v>67.92</v>
      </c>
      <c r="J1029" s="6">
        <v>3302.37</v>
      </c>
      <c r="K1029" t="s">
        <v>2122</v>
      </c>
      <c r="L1029" t="s">
        <v>2123</v>
      </c>
    </row>
    <row r="1030" spans="1:12" ht="15" customHeight="1" x14ac:dyDescent="0.25">
      <c r="A1030">
        <v>1029</v>
      </c>
      <c r="B1030" s="5">
        <v>45680</v>
      </c>
      <c r="C1030" t="s">
        <v>33</v>
      </c>
      <c r="D1030" t="s">
        <v>55</v>
      </c>
      <c r="E1030" t="s">
        <v>56</v>
      </c>
      <c r="F1030" t="s">
        <v>84</v>
      </c>
      <c r="G1030" s="6">
        <v>3116.77</v>
      </c>
      <c r="H1030" s="7">
        <v>5.5E-2</v>
      </c>
      <c r="I1030" s="6">
        <v>171.42</v>
      </c>
      <c r="J1030" s="6">
        <v>3288.19</v>
      </c>
      <c r="K1030" t="s">
        <v>2124</v>
      </c>
      <c r="L1030" t="s">
        <v>2125</v>
      </c>
    </row>
    <row r="1031" spans="1:12" ht="15" customHeight="1" x14ac:dyDescent="0.25">
      <c r="A1031">
        <v>1030</v>
      </c>
      <c r="B1031" s="5">
        <v>45681</v>
      </c>
      <c r="C1031" t="s">
        <v>47</v>
      </c>
      <c r="D1031" t="s">
        <v>79</v>
      </c>
      <c r="E1031" t="s">
        <v>80</v>
      </c>
      <c r="F1031" t="s">
        <v>120</v>
      </c>
      <c r="G1031" s="6">
        <v>535.71</v>
      </c>
      <c r="H1031" s="7">
        <v>0.2</v>
      </c>
      <c r="I1031" s="6">
        <v>107.14</v>
      </c>
      <c r="J1031" s="6">
        <v>642.85</v>
      </c>
      <c r="K1031" t="s">
        <v>2126</v>
      </c>
      <c r="L1031" t="s">
        <v>2127</v>
      </c>
    </row>
    <row r="1032" spans="1:12" ht="15" customHeight="1" x14ac:dyDescent="0.25">
      <c r="A1032">
        <v>1031</v>
      </c>
      <c r="B1032" s="5">
        <v>45817</v>
      </c>
      <c r="C1032" t="s">
        <v>47</v>
      </c>
      <c r="D1032" t="s">
        <v>28</v>
      </c>
      <c r="E1032" t="s">
        <v>29</v>
      </c>
      <c r="F1032" t="s">
        <v>71</v>
      </c>
      <c r="G1032" s="6">
        <v>2903.72</v>
      </c>
      <c r="H1032" s="7">
        <v>2.1000000000000001E-2</v>
      </c>
      <c r="I1032" s="6">
        <v>60.98</v>
      </c>
      <c r="J1032" s="6">
        <v>2964.7</v>
      </c>
      <c r="K1032" t="s">
        <v>2128</v>
      </c>
      <c r="L1032" t="s">
        <v>2129</v>
      </c>
    </row>
    <row r="1033" spans="1:12" ht="15" customHeight="1" x14ac:dyDescent="0.25">
      <c r="A1033">
        <v>1032</v>
      </c>
      <c r="B1033" s="5">
        <v>45799</v>
      </c>
      <c r="C1033" t="s">
        <v>33</v>
      </c>
      <c r="D1033" t="s">
        <v>28</v>
      </c>
      <c r="E1033" t="s">
        <v>29</v>
      </c>
      <c r="F1033" t="s">
        <v>76</v>
      </c>
      <c r="G1033" s="6">
        <v>2432.66</v>
      </c>
      <c r="H1033" s="7">
        <v>2.1000000000000001E-2</v>
      </c>
      <c r="I1033" s="6">
        <v>51.09</v>
      </c>
      <c r="J1033" s="6">
        <v>2483.75</v>
      </c>
      <c r="K1033" t="s">
        <v>2130</v>
      </c>
      <c r="L1033" t="s">
        <v>2131</v>
      </c>
    </row>
    <row r="1034" spans="1:12" ht="15" customHeight="1" x14ac:dyDescent="0.25">
      <c r="A1034">
        <v>1033</v>
      </c>
      <c r="B1034" s="5">
        <v>45798</v>
      </c>
      <c r="C1034" t="s">
        <v>33</v>
      </c>
      <c r="D1034" t="s">
        <v>55</v>
      </c>
      <c r="E1034" t="s">
        <v>56</v>
      </c>
      <c r="F1034" t="s">
        <v>84</v>
      </c>
      <c r="G1034" s="6">
        <v>585.91</v>
      </c>
      <c r="H1034" s="7">
        <v>5.5E-2</v>
      </c>
      <c r="I1034" s="6">
        <v>32.229999999999997</v>
      </c>
      <c r="J1034" s="6">
        <v>618.14</v>
      </c>
      <c r="K1034" t="s">
        <v>2132</v>
      </c>
      <c r="L1034" t="s">
        <v>2133</v>
      </c>
    </row>
    <row r="1035" spans="1:12" ht="15" customHeight="1" x14ac:dyDescent="0.25">
      <c r="A1035">
        <v>1034</v>
      </c>
      <c r="B1035" s="5">
        <v>45939</v>
      </c>
      <c r="C1035" t="s">
        <v>27</v>
      </c>
      <c r="D1035" t="s">
        <v>28</v>
      </c>
      <c r="E1035" t="s">
        <v>29</v>
      </c>
      <c r="F1035" t="s">
        <v>30</v>
      </c>
      <c r="G1035" s="6">
        <v>1487.7</v>
      </c>
      <c r="H1035" s="7">
        <v>2.1000000000000001E-2</v>
      </c>
      <c r="I1035" s="6">
        <v>31.24</v>
      </c>
      <c r="J1035" s="6">
        <v>1518.94</v>
      </c>
      <c r="K1035" t="s">
        <v>2134</v>
      </c>
      <c r="L1035" t="s">
        <v>2135</v>
      </c>
    </row>
    <row r="1036" spans="1:12" ht="15" customHeight="1" x14ac:dyDescent="0.25">
      <c r="A1036">
        <v>1035</v>
      </c>
      <c r="B1036" s="5">
        <v>45694</v>
      </c>
      <c r="C1036" t="s">
        <v>47</v>
      </c>
      <c r="D1036" t="s">
        <v>172</v>
      </c>
      <c r="E1036" t="s">
        <v>173</v>
      </c>
      <c r="F1036" t="s">
        <v>50</v>
      </c>
      <c r="G1036" s="6">
        <v>1456.29</v>
      </c>
      <c r="H1036" s="7">
        <v>0.2</v>
      </c>
      <c r="I1036" s="6">
        <v>291.26</v>
      </c>
      <c r="J1036" s="6">
        <v>1747.55</v>
      </c>
      <c r="K1036" t="s">
        <v>2136</v>
      </c>
      <c r="L1036" t="s">
        <v>2137</v>
      </c>
    </row>
    <row r="1037" spans="1:12" ht="15" customHeight="1" x14ac:dyDescent="0.25">
      <c r="A1037">
        <v>1036</v>
      </c>
      <c r="B1037" s="5">
        <v>45672</v>
      </c>
      <c r="C1037" t="s">
        <v>47</v>
      </c>
      <c r="D1037" t="s">
        <v>28</v>
      </c>
      <c r="E1037" t="s">
        <v>29</v>
      </c>
      <c r="F1037" t="s">
        <v>120</v>
      </c>
      <c r="G1037" s="6">
        <v>2160.65</v>
      </c>
      <c r="H1037" s="7">
        <v>2.1000000000000001E-2</v>
      </c>
      <c r="I1037" s="6">
        <v>45.37</v>
      </c>
      <c r="J1037" s="6">
        <v>2206.02</v>
      </c>
      <c r="K1037" t="s">
        <v>2138</v>
      </c>
      <c r="L1037" t="s">
        <v>2139</v>
      </c>
    </row>
    <row r="1038" spans="1:12" ht="15" customHeight="1" x14ac:dyDescent="0.25">
      <c r="A1038">
        <v>1037</v>
      </c>
      <c r="B1038" s="5">
        <v>45702</v>
      </c>
      <c r="C1038" t="s">
        <v>33</v>
      </c>
      <c r="D1038" t="s">
        <v>63</v>
      </c>
      <c r="E1038" t="s">
        <v>64</v>
      </c>
      <c r="F1038" t="s">
        <v>30</v>
      </c>
      <c r="G1038" s="6">
        <v>1964.98</v>
      </c>
      <c r="H1038" s="7">
        <v>0.2</v>
      </c>
      <c r="I1038" s="6">
        <v>393</v>
      </c>
      <c r="J1038" s="6">
        <v>2357.98</v>
      </c>
      <c r="K1038" t="s">
        <v>2140</v>
      </c>
      <c r="L1038" t="s">
        <v>2141</v>
      </c>
    </row>
    <row r="1039" spans="1:12" ht="15" customHeight="1" x14ac:dyDescent="0.25">
      <c r="A1039">
        <v>1038</v>
      </c>
      <c r="B1039" s="5">
        <v>45980</v>
      </c>
      <c r="C1039" t="s">
        <v>27</v>
      </c>
      <c r="D1039" t="s">
        <v>100</v>
      </c>
      <c r="E1039" t="s">
        <v>101</v>
      </c>
      <c r="F1039" t="s">
        <v>44</v>
      </c>
      <c r="G1039" s="6">
        <v>3478.48</v>
      </c>
      <c r="H1039" s="7">
        <v>0</v>
      </c>
      <c r="I1039" s="6">
        <v>0</v>
      </c>
      <c r="J1039" s="6">
        <v>3478.48</v>
      </c>
      <c r="K1039" t="s">
        <v>2142</v>
      </c>
      <c r="L1039" t="s">
        <v>2143</v>
      </c>
    </row>
    <row r="1040" spans="1:12" ht="15" customHeight="1" x14ac:dyDescent="0.25">
      <c r="A1040">
        <v>1039</v>
      </c>
      <c r="B1040" s="5">
        <v>46001</v>
      </c>
      <c r="C1040" t="s">
        <v>47</v>
      </c>
      <c r="D1040" t="s">
        <v>55</v>
      </c>
      <c r="E1040" t="s">
        <v>56</v>
      </c>
      <c r="F1040" t="s">
        <v>87</v>
      </c>
      <c r="G1040" s="6">
        <v>3657.11</v>
      </c>
      <c r="H1040" s="7">
        <v>5.5E-2</v>
      </c>
      <c r="I1040" s="6">
        <v>201.14</v>
      </c>
      <c r="J1040" s="6">
        <v>3858.25</v>
      </c>
      <c r="K1040" t="s">
        <v>2144</v>
      </c>
      <c r="L1040" t="s">
        <v>2145</v>
      </c>
    </row>
    <row r="1041" spans="1:13" ht="15" customHeight="1" x14ac:dyDescent="0.25">
      <c r="A1041">
        <v>1040</v>
      </c>
      <c r="B1041" s="5">
        <v>45705</v>
      </c>
      <c r="C1041" t="s">
        <v>47</v>
      </c>
      <c r="D1041" t="s">
        <v>172</v>
      </c>
      <c r="E1041" t="s">
        <v>173</v>
      </c>
      <c r="F1041" t="s">
        <v>81</v>
      </c>
      <c r="G1041" s="6">
        <v>3672.8</v>
      </c>
      <c r="H1041" s="7">
        <v>0.2</v>
      </c>
      <c r="I1041" s="6">
        <v>734.56</v>
      </c>
      <c r="J1041" s="6">
        <v>4407.3599999999997</v>
      </c>
      <c r="K1041" t="s">
        <v>2146</v>
      </c>
      <c r="L1041" t="s">
        <v>2147</v>
      </c>
    </row>
    <row r="1042" spans="1:13" ht="15" customHeight="1" x14ac:dyDescent="0.25">
      <c r="A1042">
        <v>1041</v>
      </c>
      <c r="B1042" s="5">
        <v>46008</v>
      </c>
      <c r="C1042" t="s">
        <v>33</v>
      </c>
      <c r="D1042" t="s">
        <v>79</v>
      </c>
      <c r="E1042" t="s">
        <v>80</v>
      </c>
      <c r="F1042" t="s">
        <v>76</v>
      </c>
      <c r="G1042" s="6">
        <v>2928.33</v>
      </c>
      <c r="H1042" s="7">
        <v>0.2</v>
      </c>
      <c r="I1042" s="6">
        <v>585.66999999999996</v>
      </c>
      <c r="J1042" s="6">
        <v>3514</v>
      </c>
      <c r="K1042" t="s">
        <v>2148</v>
      </c>
      <c r="L1042" t="s">
        <v>2149</v>
      </c>
    </row>
    <row r="1043" spans="1:13" ht="15" customHeight="1" x14ac:dyDescent="0.25">
      <c r="A1043">
        <v>1042</v>
      </c>
      <c r="B1043" s="5">
        <v>45973</v>
      </c>
      <c r="C1043" t="s">
        <v>33</v>
      </c>
      <c r="D1043" t="s">
        <v>100</v>
      </c>
      <c r="E1043" t="s">
        <v>101</v>
      </c>
      <c r="F1043" t="s">
        <v>44</v>
      </c>
      <c r="G1043" s="6">
        <v>2672.28</v>
      </c>
      <c r="H1043" s="7">
        <v>0</v>
      </c>
      <c r="I1043" s="6">
        <v>0</v>
      </c>
      <c r="J1043" s="6">
        <v>2672.28</v>
      </c>
      <c r="K1043" t="s">
        <v>2150</v>
      </c>
      <c r="L1043" t="s">
        <v>2151</v>
      </c>
    </row>
    <row r="1044" spans="1:13" ht="15" customHeight="1" x14ac:dyDescent="0.25">
      <c r="A1044">
        <v>1043</v>
      </c>
      <c r="B1044" s="5">
        <v>45827</v>
      </c>
      <c r="C1044" t="s">
        <v>27</v>
      </c>
      <c r="D1044" t="s">
        <v>100</v>
      </c>
      <c r="E1044" t="s">
        <v>101</v>
      </c>
      <c r="F1044" t="s">
        <v>44</v>
      </c>
      <c r="G1044" s="6">
        <v>3917.77</v>
      </c>
      <c r="H1044" s="7">
        <v>0</v>
      </c>
      <c r="I1044" s="6">
        <v>0</v>
      </c>
      <c r="J1044" s="6">
        <v>3917.77</v>
      </c>
      <c r="K1044" t="s">
        <v>2152</v>
      </c>
      <c r="L1044" t="s">
        <v>2153</v>
      </c>
    </row>
    <row r="1045" spans="1:13" ht="15" customHeight="1" x14ac:dyDescent="0.25">
      <c r="A1045">
        <v>1044</v>
      </c>
      <c r="B1045" s="5">
        <v>45901</v>
      </c>
      <c r="C1045" t="s">
        <v>47</v>
      </c>
      <c r="D1045" t="s">
        <v>28</v>
      </c>
      <c r="E1045" t="s">
        <v>29</v>
      </c>
      <c r="F1045" t="s">
        <v>76</v>
      </c>
      <c r="G1045" s="6">
        <v>578.96</v>
      </c>
      <c r="H1045" s="7">
        <v>2.1000000000000001E-2</v>
      </c>
      <c r="I1045" s="6">
        <v>12.16</v>
      </c>
      <c r="J1045" s="6">
        <v>591.12</v>
      </c>
      <c r="K1045" t="s">
        <v>2154</v>
      </c>
      <c r="L1045" t="s">
        <v>2155</v>
      </c>
    </row>
    <row r="1046" spans="1:13" ht="15" customHeight="1" x14ac:dyDescent="0.25">
      <c r="A1046">
        <v>1045</v>
      </c>
      <c r="B1046" s="5">
        <v>45967</v>
      </c>
      <c r="C1046" t="s">
        <v>33</v>
      </c>
      <c r="D1046" t="s">
        <v>55</v>
      </c>
      <c r="E1046" t="s">
        <v>56</v>
      </c>
      <c r="F1046" t="s">
        <v>106</v>
      </c>
      <c r="G1046" s="6">
        <v>2620.08</v>
      </c>
      <c r="H1046" s="7">
        <v>5.5E-2</v>
      </c>
      <c r="I1046" s="6">
        <v>144.1</v>
      </c>
      <c r="J1046" s="6">
        <v>2764.18</v>
      </c>
      <c r="K1046" t="s">
        <v>2156</v>
      </c>
      <c r="L1046" t="s">
        <v>2157</v>
      </c>
    </row>
    <row r="1047" spans="1:13" ht="15" customHeight="1" x14ac:dyDescent="0.25">
      <c r="A1047">
        <v>1046</v>
      </c>
      <c r="B1047" s="5">
        <v>45712</v>
      </c>
      <c r="C1047" t="s">
        <v>47</v>
      </c>
      <c r="D1047" t="s">
        <v>42</v>
      </c>
      <c r="E1047" t="s">
        <v>43</v>
      </c>
      <c r="F1047" t="s">
        <v>44</v>
      </c>
      <c r="G1047" s="6">
        <v>12000</v>
      </c>
      <c r="H1047" s="7">
        <v>0</v>
      </c>
      <c r="I1047" s="6">
        <v>0</v>
      </c>
      <c r="J1047" s="6">
        <v>12000</v>
      </c>
      <c r="K1047" t="s">
        <v>2158</v>
      </c>
      <c r="L1047" t="s">
        <v>2159</v>
      </c>
      <c r="M1047" t="s">
        <v>143</v>
      </c>
    </row>
    <row r="1048" spans="1:13" ht="15" customHeight="1" x14ac:dyDescent="0.25">
      <c r="A1048">
        <v>1047</v>
      </c>
      <c r="B1048" s="5">
        <v>45863</v>
      </c>
      <c r="C1048" t="s">
        <v>47</v>
      </c>
      <c r="D1048" t="s">
        <v>172</v>
      </c>
      <c r="E1048" t="s">
        <v>173</v>
      </c>
      <c r="F1048" t="s">
        <v>71</v>
      </c>
      <c r="G1048" s="6">
        <v>2690.17</v>
      </c>
      <c r="H1048" s="7">
        <v>0.2</v>
      </c>
      <c r="I1048" s="6">
        <v>538.03</v>
      </c>
      <c r="J1048" s="6">
        <v>3228.2</v>
      </c>
      <c r="K1048" t="s">
        <v>2160</v>
      </c>
      <c r="L1048" t="s">
        <v>2161</v>
      </c>
    </row>
    <row r="1049" spans="1:13" ht="15" customHeight="1" x14ac:dyDescent="0.25">
      <c r="A1049">
        <v>1048</v>
      </c>
      <c r="B1049" s="5">
        <v>45904</v>
      </c>
      <c r="C1049" t="s">
        <v>33</v>
      </c>
      <c r="D1049" t="s">
        <v>172</v>
      </c>
      <c r="E1049" t="s">
        <v>173</v>
      </c>
      <c r="F1049" t="s">
        <v>50</v>
      </c>
      <c r="G1049" s="6">
        <v>1776.47</v>
      </c>
      <c r="H1049" s="7">
        <v>0.2</v>
      </c>
      <c r="I1049" s="6">
        <v>355.29</v>
      </c>
      <c r="J1049" s="6">
        <v>2131.7600000000002</v>
      </c>
      <c r="K1049" t="s">
        <v>2162</v>
      </c>
      <c r="L1049" t="s">
        <v>2163</v>
      </c>
    </row>
    <row r="1050" spans="1:13" ht="15" customHeight="1" x14ac:dyDescent="0.25">
      <c r="A1050">
        <v>1049</v>
      </c>
      <c r="B1050" s="5">
        <v>45880</v>
      </c>
      <c r="C1050" t="s">
        <v>27</v>
      </c>
      <c r="D1050" t="s">
        <v>172</v>
      </c>
      <c r="E1050" t="s">
        <v>173</v>
      </c>
      <c r="F1050" t="s">
        <v>50</v>
      </c>
      <c r="G1050" s="6">
        <v>2587.0700000000002</v>
      </c>
      <c r="H1050" s="7">
        <v>0.2</v>
      </c>
      <c r="I1050" s="6">
        <v>517.41</v>
      </c>
      <c r="J1050" s="6">
        <v>3104.48</v>
      </c>
      <c r="K1050" t="s">
        <v>2164</v>
      </c>
      <c r="L1050" t="s">
        <v>2165</v>
      </c>
    </row>
    <row r="1051" spans="1:13" ht="15" customHeight="1" x14ac:dyDescent="0.25">
      <c r="A1051">
        <v>1050</v>
      </c>
      <c r="B1051" s="5">
        <v>46000</v>
      </c>
      <c r="C1051" t="s">
        <v>27</v>
      </c>
      <c r="D1051" t="s">
        <v>55</v>
      </c>
      <c r="E1051" t="s">
        <v>56</v>
      </c>
      <c r="F1051" t="s">
        <v>81</v>
      </c>
      <c r="G1051" s="6">
        <v>424.29</v>
      </c>
      <c r="H1051" s="7">
        <v>5.5E-2</v>
      </c>
      <c r="I1051" s="6">
        <v>23.34</v>
      </c>
      <c r="J1051" s="6">
        <v>447.63</v>
      </c>
      <c r="K1051" t="s">
        <v>2166</v>
      </c>
      <c r="L1051" t="s">
        <v>2167</v>
      </c>
    </row>
    <row r="1052" spans="1:13" ht="15" customHeight="1" x14ac:dyDescent="0.25">
      <c r="A1052">
        <v>1051</v>
      </c>
      <c r="B1052" s="5">
        <v>45895</v>
      </c>
      <c r="C1052" t="s">
        <v>47</v>
      </c>
      <c r="D1052" t="s">
        <v>28</v>
      </c>
      <c r="E1052" t="s">
        <v>29</v>
      </c>
      <c r="F1052" t="s">
        <v>87</v>
      </c>
      <c r="G1052" s="6">
        <v>1518.17</v>
      </c>
      <c r="H1052" s="7">
        <v>2.1000000000000001E-2</v>
      </c>
      <c r="I1052" s="6">
        <v>31.88</v>
      </c>
      <c r="J1052" s="6">
        <v>1550.05</v>
      </c>
      <c r="K1052" t="s">
        <v>2168</v>
      </c>
      <c r="L1052" t="s">
        <v>2169</v>
      </c>
    </row>
    <row r="1053" spans="1:13" ht="15" customHeight="1" x14ac:dyDescent="0.25">
      <c r="A1053">
        <v>1052</v>
      </c>
      <c r="B1053" s="5">
        <v>45693</v>
      </c>
      <c r="C1053" t="s">
        <v>47</v>
      </c>
      <c r="D1053" t="s">
        <v>28</v>
      </c>
      <c r="E1053" t="s">
        <v>29</v>
      </c>
      <c r="F1053" t="s">
        <v>120</v>
      </c>
      <c r="G1053" s="6">
        <v>2724.31</v>
      </c>
      <c r="H1053" s="7">
        <v>2.1000000000000001E-2</v>
      </c>
      <c r="I1053" s="6">
        <v>57.21</v>
      </c>
      <c r="J1053" s="6">
        <v>2781.52</v>
      </c>
      <c r="K1053" t="s">
        <v>2170</v>
      </c>
      <c r="L1053" t="s">
        <v>2171</v>
      </c>
    </row>
    <row r="1054" spans="1:13" ht="15" customHeight="1" x14ac:dyDescent="0.25">
      <c r="A1054">
        <v>1053</v>
      </c>
      <c r="B1054" s="5">
        <v>45852</v>
      </c>
      <c r="C1054" t="s">
        <v>27</v>
      </c>
      <c r="D1054" t="s">
        <v>42</v>
      </c>
      <c r="E1054" t="s">
        <v>43</v>
      </c>
      <c r="F1054" t="s">
        <v>44</v>
      </c>
      <c r="G1054" s="6">
        <v>3347.97</v>
      </c>
      <c r="H1054" s="7">
        <v>0</v>
      </c>
      <c r="I1054" s="6">
        <v>0</v>
      </c>
      <c r="J1054" s="6">
        <v>3347.97</v>
      </c>
      <c r="K1054" t="s">
        <v>2172</v>
      </c>
      <c r="L1054" t="s">
        <v>2173</v>
      </c>
    </row>
    <row r="1055" spans="1:13" ht="15" customHeight="1" x14ac:dyDescent="0.25">
      <c r="A1055">
        <v>1054</v>
      </c>
      <c r="B1055" s="5">
        <v>45729</v>
      </c>
      <c r="C1055" t="s">
        <v>33</v>
      </c>
      <c r="D1055" t="s">
        <v>28</v>
      </c>
      <c r="E1055" t="s">
        <v>29</v>
      </c>
      <c r="F1055" t="s">
        <v>120</v>
      </c>
      <c r="G1055" s="6">
        <v>4001.7</v>
      </c>
      <c r="H1055" s="7">
        <v>2.1000000000000001E-2</v>
      </c>
      <c r="I1055" s="6">
        <v>84.04</v>
      </c>
      <c r="J1055" s="6">
        <v>4085.74</v>
      </c>
      <c r="K1055" t="s">
        <v>2174</v>
      </c>
      <c r="L1055" t="s">
        <v>2175</v>
      </c>
    </row>
    <row r="1056" spans="1:13" ht="15" customHeight="1" x14ac:dyDescent="0.25">
      <c r="A1056">
        <v>1055</v>
      </c>
      <c r="B1056" s="5">
        <v>45996</v>
      </c>
      <c r="C1056" t="s">
        <v>33</v>
      </c>
      <c r="D1056" t="s">
        <v>42</v>
      </c>
      <c r="E1056" t="s">
        <v>43</v>
      </c>
      <c r="F1056" t="s">
        <v>44</v>
      </c>
      <c r="G1056" s="6">
        <v>3075.01</v>
      </c>
      <c r="H1056" s="7">
        <v>0</v>
      </c>
      <c r="I1056" s="6">
        <v>0</v>
      </c>
      <c r="J1056" s="6">
        <v>3075.01</v>
      </c>
      <c r="K1056" t="s">
        <v>2176</v>
      </c>
      <c r="L1056" t="s">
        <v>2177</v>
      </c>
    </row>
    <row r="1057" spans="1:12" ht="15" customHeight="1" x14ac:dyDescent="0.25">
      <c r="A1057">
        <v>1056</v>
      </c>
      <c r="B1057" s="5">
        <v>45758</v>
      </c>
      <c r="C1057" t="s">
        <v>27</v>
      </c>
      <c r="D1057" t="s">
        <v>172</v>
      </c>
      <c r="E1057" t="s">
        <v>173</v>
      </c>
      <c r="F1057" t="s">
        <v>50</v>
      </c>
      <c r="G1057" s="6">
        <v>989.02</v>
      </c>
      <c r="H1057" s="7">
        <v>0.2</v>
      </c>
      <c r="I1057" s="6">
        <v>197.8</v>
      </c>
      <c r="J1057" s="6">
        <v>1186.82</v>
      </c>
      <c r="K1057" t="s">
        <v>2178</v>
      </c>
      <c r="L1057" t="s">
        <v>2179</v>
      </c>
    </row>
    <row r="1058" spans="1:12" ht="15" customHeight="1" x14ac:dyDescent="0.25">
      <c r="A1058">
        <v>1057</v>
      </c>
      <c r="B1058" s="5">
        <v>45813</v>
      </c>
      <c r="C1058" t="s">
        <v>27</v>
      </c>
      <c r="D1058" t="s">
        <v>42</v>
      </c>
      <c r="E1058" t="s">
        <v>43</v>
      </c>
      <c r="F1058" t="s">
        <v>44</v>
      </c>
      <c r="G1058" s="6">
        <v>4048.02</v>
      </c>
      <c r="H1058" s="7">
        <v>0</v>
      </c>
      <c r="I1058" s="6">
        <v>0</v>
      </c>
      <c r="J1058" s="6">
        <v>4048.02</v>
      </c>
      <c r="K1058" t="s">
        <v>2180</v>
      </c>
      <c r="L1058" t="s">
        <v>2181</v>
      </c>
    </row>
    <row r="1059" spans="1:12" ht="15" customHeight="1" x14ac:dyDescent="0.25">
      <c r="A1059">
        <v>1058</v>
      </c>
      <c r="B1059" s="5">
        <v>45971</v>
      </c>
      <c r="C1059" t="s">
        <v>47</v>
      </c>
      <c r="D1059" t="s">
        <v>94</v>
      </c>
      <c r="E1059" t="s">
        <v>95</v>
      </c>
      <c r="F1059" t="s">
        <v>44</v>
      </c>
      <c r="G1059" s="6">
        <v>1510.49</v>
      </c>
      <c r="H1059" s="7">
        <v>0</v>
      </c>
      <c r="I1059" s="6">
        <v>0</v>
      </c>
      <c r="J1059" s="6">
        <v>1510.49</v>
      </c>
      <c r="K1059" t="s">
        <v>2182</v>
      </c>
      <c r="L1059" t="s">
        <v>2183</v>
      </c>
    </row>
    <row r="1060" spans="1:12" ht="15" customHeight="1" x14ac:dyDescent="0.25">
      <c r="A1060">
        <v>1059</v>
      </c>
      <c r="B1060" s="5">
        <v>45939</v>
      </c>
      <c r="C1060" t="s">
        <v>47</v>
      </c>
      <c r="D1060" t="s">
        <v>28</v>
      </c>
      <c r="E1060" t="s">
        <v>29</v>
      </c>
      <c r="F1060" t="s">
        <v>39</v>
      </c>
      <c r="G1060" s="6">
        <v>4358.12</v>
      </c>
      <c r="H1060" s="7">
        <v>2.1000000000000001E-2</v>
      </c>
      <c r="I1060" s="6">
        <v>91.52</v>
      </c>
      <c r="J1060" s="6">
        <v>4449.6400000000003</v>
      </c>
      <c r="K1060" t="s">
        <v>2184</v>
      </c>
      <c r="L1060" t="s">
        <v>2185</v>
      </c>
    </row>
    <row r="1061" spans="1:12" ht="15" customHeight="1" x14ac:dyDescent="0.25">
      <c r="A1061">
        <v>1060</v>
      </c>
      <c r="B1061" s="5">
        <v>45841</v>
      </c>
      <c r="C1061" t="s">
        <v>27</v>
      </c>
      <c r="D1061" t="s">
        <v>42</v>
      </c>
      <c r="E1061" t="s">
        <v>43</v>
      </c>
      <c r="F1061" t="s">
        <v>44</v>
      </c>
      <c r="G1061" s="6">
        <v>2477.3000000000002</v>
      </c>
      <c r="H1061" s="7">
        <v>0</v>
      </c>
      <c r="I1061" s="6">
        <v>0</v>
      </c>
      <c r="J1061" s="6">
        <v>2477.3000000000002</v>
      </c>
      <c r="K1061" t="s">
        <v>2186</v>
      </c>
      <c r="L1061" t="s">
        <v>2187</v>
      </c>
    </row>
    <row r="1062" spans="1:12" ht="15" customHeight="1" x14ac:dyDescent="0.25">
      <c r="A1062">
        <v>1061</v>
      </c>
      <c r="B1062" s="5">
        <v>45960</v>
      </c>
      <c r="C1062" t="s">
        <v>33</v>
      </c>
      <c r="D1062" t="s">
        <v>79</v>
      </c>
      <c r="E1062" t="s">
        <v>80</v>
      </c>
      <c r="F1062" t="s">
        <v>50</v>
      </c>
      <c r="G1062" s="6">
        <v>1822.67</v>
      </c>
      <c r="H1062" s="7">
        <v>0.2</v>
      </c>
      <c r="I1062" s="6">
        <v>364.53</v>
      </c>
      <c r="J1062" s="6">
        <v>2187.1999999999998</v>
      </c>
      <c r="K1062" t="s">
        <v>2188</v>
      </c>
      <c r="L1062" t="s">
        <v>2189</v>
      </c>
    </row>
    <row r="1063" spans="1:12" ht="15" customHeight="1" x14ac:dyDescent="0.25">
      <c r="A1063">
        <v>1062</v>
      </c>
      <c r="B1063" s="5">
        <v>45880</v>
      </c>
      <c r="C1063" t="s">
        <v>47</v>
      </c>
      <c r="D1063" t="s">
        <v>63</v>
      </c>
      <c r="E1063" t="s">
        <v>64</v>
      </c>
      <c r="F1063" t="s">
        <v>120</v>
      </c>
      <c r="G1063" s="6">
        <v>2489.4299999999998</v>
      </c>
      <c r="H1063" s="7">
        <v>0.2</v>
      </c>
      <c r="I1063" s="6">
        <v>497.89</v>
      </c>
      <c r="J1063" s="6">
        <v>2987.32</v>
      </c>
      <c r="K1063" t="s">
        <v>2190</v>
      </c>
      <c r="L1063" t="s">
        <v>2191</v>
      </c>
    </row>
    <row r="1064" spans="1:12" ht="15" customHeight="1" x14ac:dyDescent="0.25">
      <c r="A1064">
        <v>1063</v>
      </c>
      <c r="B1064" s="5">
        <v>45854</v>
      </c>
      <c r="C1064" t="s">
        <v>47</v>
      </c>
      <c r="D1064" t="s">
        <v>28</v>
      </c>
      <c r="E1064" t="s">
        <v>29</v>
      </c>
      <c r="F1064" t="s">
        <v>50</v>
      </c>
      <c r="G1064" s="6">
        <v>3807.51</v>
      </c>
      <c r="H1064" s="7">
        <v>2.1000000000000001E-2</v>
      </c>
      <c r="I1064" s="6">
        <v>79.959999999999994</v>
      </c>
      <c r="J1064" s="6">
        <v>3887.47</v>
      </c>
      <c r="K1064" t="s">
        <v>2192</v>
      </c>
      <c r="L1064" t="s">
        <v>2193</v>
      </c>
    </row>
    <row r="1065" spans="1:12" ht="15" customHeight="1" x14ac:dyDescent="0.25">
      <c r="A1065">
        <v>1064</v>
      </c>
      <c r="B1065" s="5">
        <v>46001</v>
      </c>
      <c r="C1065" t="s">
        <v>47</v>
      </c>
      <c r="D1065" t="s">
        <v>28</v>
      </c>
      <c r="E1065" t="s">
        <v>29</v>
      </c>
      <c r="F1065" t="s">
        <v>39</v>
      </c>
      <c r="G1065" s="6">
        <v>634.92999999999995</v>
      </c>
      <c r="H1065" s="7">
        <v>2.1000000000000001E-2</v>
      </c>
      <c r="I1065" s="6">
        <v>13.33</v>
      </c>
      <c r="J1065" s="6">
        <v>648.26</v>
      </c>
      <c r="K1065" t="s">
        <v>2194</v>
      </c>
      <c r="L1065" t="s">
        <v>2195</v>
      </c>
    </row>
    <row r="1066" spans="1:12" ht="15" customHeight="1" x14ac:dyDescent="0.25">
      <c r="A1066">
        <v>1065</v>
      </c>
      <c r="B1066" s="5">
        <v>45994</v>
      </c>
      <c r="C1066" t="s">
        <v>27</v>
      </c>
      <c r="D1066" t="s">
        <v>28</v>
      </c>
      <c r="E1066" t="s">
        <v>29</v>
      </c>
      <c r="F1066" t="s">
        <v>30</v>
      </c>
      <c r="G1066" s="6">
        <v>2010.37</v>
      </c>
      <c r="H1066" s="7">
        <v>2.1000000000000001E-2</v>
      </c>
      <c r="I1066" s="6">
        <v>42.22</v>
      </c>
      <c r="J1066" s="6">
        <v>2052.59</v>
      </c>
      <c r="K1066" t="s">
        <v>2196</v>
      </c>
      <c r="L1066" t="s">
        <v>2197</v>
      </c>
    </row>
    <row r="1067" spans="1:12" ht="15" customHeight="1" x14ac:dyDescent="0.25">
      <c r="A1067">
        <v>1066</v>
      </c>
      <c r="B1067" s="5">
        <v>45870</v>
      </c>
      <c r="C1067" t="s">
        <v>33</v>
      </c>
      <c r="D1067" t="s">
        <v>181</v>
      </c>
      <c r="E1067" t="s">
        <v>182</v>
      </c>
      <c r="F1067" t="s">
        <v>81</v>
      </c>
      <c r="G1067" s="6">
        <v>3881.88</v>
      </c>
      <c r="H1067" s="7">
        <v>0.2</v>
      </c>
      <c r="I1067" s="6">
        <v>776.38</v>
      </c>
      <c r="J1067" s="6">
        <v>4658.26</v>
      </c>
      <c r="K1067" t="s">
        <v>2198</v>
      </c>
      <c r="L1067" t="s">
        <v>2199</v>
      </c>
    </row>
    <row r="1068" spans="1:12" ht="15" customHeight="1" x14ac:dyDescent="0.25">
      <c r="A1068">
        <v>1067</v>
      </c>
      <c r="B1068" s="5">
        <v>45890</v>
      </c>
      <c r="C1068" t="s">
        <v>47</v>
      </c>
      <c r="D1068" t="s">
        <v>181</v>
      </c>
      <c r="E1068" t="s">
        <v>182</v>
      </c>
      <c r="F1068" t="s">
        <v>106</v>
      </c>
      <c r="G1068" s="6">
        <v>2331.61</v>
      </c>
      <c r="H1068" s="7">
        <v>0.2</v>
      </c>
      <c r="I1068" s="6">
        <v>466.32</v>
      </c>
      <c r="J1068" s="6">
        <v>2797.93</v>
      </c>
      <c r="K1068" t="s">
        <v>2200</v>
      </c>
      <c r="L1068" t="s">
        <v>2201</v>
      </c>
    </row>
    <row r="1069" spans="1:12" ht="15" customHeight="1" x14ac:dyDescent="0.25">
      <c r="A1069">
        <v>1068</v>
      </c>
      <c r="B1069" s="5">
        <v>45875</v>
      </c>
      <c r="C1069" t="s">
        <v>47</v>
      </c>
      <c r="D1069" t="s">
        <v>63</v>
      </c>
      <c r="E1069" t="s">
        <v>64</v>
      </c>
      <c r="F1069" t="s">
        <v>84</v>
      </c>
      <c r="G1069" s="6">
        <v>2752.21</v>
      </c>
      <c r="H1069" s="7">
        <v>0.2</v>
      </c>
      <c r="I1069" s="6">
        <v>550.44000000000005</v>
      </c>
      <c r="J1069" s="6">
        <v>3302.65</v>
      </c>
      <c r="K1069" t="s">
        <v>2202</v>
      </c>
      <c r="L1069" t="s">
        <v>2203</v>
      </c>
    </row>
    <row r="1070" spans="1:12" ht="15" customHeight="1" x14ac:dyDescent="0.25">
      <c r="A1070">
        <v>1069</v>
      </c>
      <c r="B1070" s="5">
        <v>45868</v>
      </c>
      <c r="C1070" t="s">
        <v>27</v>
      </c>
      <c r="D1070" t="s">
        <v>55</v>
      </c>
      <c r="E1070" t="s">
        <v>56</v>
      </c>
      <c r="F1070" t="s">
        <v>84</v>
      </c>
      <c r="G1070" s="6">
        <v>4175.41</v>
      </c>
      <c r="H1070" s="7">
        <v>5.5E-2</v>
      </c>
      <c r="I1070" s="6">
        <v>229.65</v>
      </c>
      <c r="J1070" s="6">
        <v>4405.0600000000004</v>
      </c>
      <c r="K1070" t="s">
        <v>2204</v>
      </c>
      <c r="L1070" t="s">
        <v>2205</v>
      </c>
    </row>
    <row r="1071" spans="1:12" ht="15" customHeight="1" x14ac:dyDescent="0.25">
      <c r="A1071">
        <v>1070</v>
      </c>
      <c r="B1071" s="5">
        <v>45905</v>
      </c>
      <c r="C1071" t="s">
        <v>33</v>
      </c>
      <c r="D1071" t="s">
        <v>94</v>
      </c>
      <c r="E1071" t="s">
        <v>95</v>
      </c>
      <c r="F1071" t="s">
        <v>44</v>
      </c>
      <c r="G1071" s="6">
        <v>782.91</v>
      </c>
      <c r="H1071" s="7">
        <v>0</v>
      </c>
      <c r="I1071" s="6">
        <v>0</v>
      </c>
      <c r="J1071" s="6">
        <v>782.91</v>
      </c>
      <c r="K1071" t="s">
        <v>2206</v>
      </c>
      <c r="L1071" t="s">
        <v>2207</v>
      </c>
    </row>
    <row r="1072" spans="1:12" ht="15" customHeight="1" x14ac:dyDescent="0.25">
      <c r="A1072">
        <v>1071</v>
      </c>
      <c r="B1072" s="5">
        <v>45896</v>
      </c>
      <c r="C1072" t="s">
        <v>27</v>
      </c>
      <c r="D1072" t="s">
        <v>28</v>
      </c>
      <c r="E1072" t="s">
        <v>29</v>
      </c>
      <c r="F1072" t="s">
        <v>106</v>
      </c>
      <c r="G1072" s="6">
        <v>2364.92</v>
      </c>
      <c r="H1072" s="7">
        <v>2.1000000000000001E-2</v>
      </c>
      <c r="I1072" s="6">
        <v>49.66</v>
      </c>
      <c r="J1072" s="6">
        <v>2414.58</v>
      </c>
      <c r="K1072" t="s">
        <v>2208</v>
      </c>
      <c r="L1072" t="s">
        <v>2209</v>
      </c>
    </row>
    <row r="1073" spans="1:13" ht="15" customHeight="1" x14ac:dyDescent="0.25">
      <c r="A1073">
        <v>1072</v>
      </c>
      <c r="B1073" s="5">
        <v>45980</v>
      </c>
      <c r="C1073" t="s">
        <v>33</v>
      </c>
      <c r="D1073" t="s">
        <v>55</v>
      </c>
      <c r="E1073" t="s">
        <v>56</v>
      </c>
      <c r="F1073" t="s">
        <v>120</v>
      </c>
      <c r="G1073" s="6">
        <v>3358.25</v>
      </c>
      <c r="H1073" s="7">
        <v>5.5E-2</v>
      </c>
      <c r="I1073" s="6">
        <v>184.7</v>
      </c>
      <c r="J1073" s="6">
        <v>3542.95</v>
      </c>
      <c r="K1073" t="s">
        <v>2210</v>
      </c>
      <c r="L1073" t="s">
        <v>2211</v>
      </c>
    </row>
    <row r="1074" spans="1:13" ht="15" customHeight="1" x14ac:dyDescent="0.25">
      <c r="A1074">
        <v>1073</v>
      </c>
      <c r="B1074" s="5">
        <v>45954</v>
      </c>
      <c r="C1074" t="s">
        <v>27</v>
      </c>
      <c r="D1074" t="s">
        <v>181</v>
      </c>
      <c r="E1074" t="s">
        <v>182</v>
      </c>
      <c r="F1074" t="s">
        <v>39</v>
      </c>
      <c r="G1074" s="6">
        <v>1461.25</v>
      </c>
      <c r="H1074" s="7">
        <v>0.2</v>
      </c>
      <c r="I1074" s="6">
        <v>292.25</v>
      </c>
      <c r="J1074" s="6">
        <v>1753.5</v>
      </c>
      <c r="K1074" t="s">
        <v>2212</v>
      </c>
      <c r="L1074" t="s">
        <v>2213</v>
      </c>
    </row>
    <row r="1075" spans="1:13" ht="15" customHeight="1" x14ac:dyDescent="0.25">
      <c r="A1075">
        <v>1074</v>
      </c>
      <c r="B1075" s="5">
        <v>45898</v>
      </c>
      <c r="C1075" t="s">
        <v>27</v>
      </c>
      <c r="D1075" t="s">
        <v>42</v>
      </c>
      <c r="E1075" t="s">
        <v>43</v>
      </c>
      <c r="F1075" t="s">
        <v>44</v>
      </c>
      <c r="G1075" s="6">
        <v>13000</v>
      </c>
      <c r="H1075" s="7">
        <v>0</v>
      </c>
      <c r="I1075" s="6">
        <v>0</v>
      </c>
      <c r="J1075" s="6">
        <v>13000</v>
      </c>
      <c r="K1075" t="s">
        <v>2214</v>
      </c>
      <c r="L1075" t="s">
        <v>2215</v>
      </c>
      <c r="M1075" t="s">
        <v>143</v>
      </c>
    </row>
    <row r="1076" spans="1:13" ht="15" customHeight="1" x14ac:dyDescent="0.25">
      <c r="A1076">
        <v>1075</v>
      </c>
      <c r="B1076" s="5">
        <v>45838</v>
      </c>
      <c r="C1076" t="s">
        <v>27</v>
      </c>
      <c r="D1076" t="s">
        <v>55</v>
      </c>
      <c r="E1076" t="s">
        <v>56</v>
      </c>
      <c r="F1076" t="s">
        <v>174</v>
      </c>
      <c r="G1076" s="6">
        <v>4325.7700000000004</v>
      </c>
      <c r="H1076" s="7">
        <v>5.5E-2</v>
      </c>
      <c r="I1076" s="6">
        <v>237.92</v>
      </c>
      <c r="J1076" s="6">
        <v>4563.6899999999996</v>
      </c>
      <c r="K1076" t="s">
        <v>2216</v>
      </c>
      <c r="L1076" t="s">
        <v>2217</v>
      </c>
    </row>
    <row r="1077" spans="1:13" ht="15" customHeight="1" x14ac:dyDescent="0.25">
      <c r="A1077">
        <v>1076</v>
      </c>
      <c r="B1077" s="5">
        <v>45813</v>
      </c>
      <c r="C1077" t="s">
        <v>33</v>
      </c>
      <c r="D1077" t="s">
        <v>28</v>
      </c>
      <c r="E1077" t="s">
        <v>29</v>
      </c>
      <c r="F1077" t="s">
        <v>84</v>
      </c>
      <c r="G1077" s="6">
        <v>3293.21</v>
      </c>
      <c r="H1077" s="7">
        <v>2.1000000000000001E-2</v>
      </c>
      <c r="I1077" s="6">
        <v>69.16</v>
      </c>
      <c r="J1077" s="6">
        <v>3362.37</v>
      </c>
      <c r="K1077" t="s">
        <v>2218</v>
      </c>
      <c r="L1077" t="s">
        <v>2219</v>
      </c>
    </row>
    <row r="1078" spans="1:13" ht="15" customHeight="1" x14ac:dyDescent="0.25">
      <c r="A1078">
        <v>1077</v>
      </c>
      <c r="B1078" s="5">
        <v>45954</v>
      </c>
      <c r="C1078" t="s">
        <v>33</v>
      </c>
      <c r="D1078" t="s">
        <v>181</v>
      </c>
      <c r="E1078" t="s">
        <v>182</v>
      </c>
      <c r="F1078" t="s">
        <v>39</v>
      </c>
      <c r="G1078" s="6">
        <v>827.33</v>
      </c>
      <c r="H1078" s="7">
        <v>0.2</v>
      </c>
      <c r="I1078" s="6">
        <v>165.47</v>
      </c>
      <c r="J1078" s="6">
        <v>992.8</v>
      </c>
      <c r="K1078" t="s">
        <v>2220</v>
      </c>
      <c r="L1078" t="s">
        <v>2221</v>
      </c>
    </row>
    <row r="1079" spans="1:13" ht="15" customHeight="1" x14ac:dyDescent="0.25">
      <c r="A1079">
        <v>1078</v>
      </c>
      <c r="B1079" s="5">
        <v>45671</v>
      </c>
      <c r="C1079" t="s">
        <v>47</v>
      </c>
      <c r="D1079" t="s">
        <v>42</v>
      </c>
      <c r="E1079" t="s">
        <v>43</v>
      </c>
      <c r="F1079" t="s">
        <v>44</v>
      </c>
      <c r="G1079" s="6">
        <v>1998.02</v>
      </c>
      <c r="H1079" s="7">
        <v>0</v>
      </c>
      <c r="I1079" s="6">
        <v>0</v>
      </c>
      <c r="J1079" s="6">
        <v>1998.02</v>
      </c>
      <c r="K1079" t="s">
        <v>2222</v>
      </c>
      <c r="L1079" t="s">
        <v>2223</v>
      </c>
    </row>
    <row r="1080" spans="1:13" ht="15" customHeight="1" x14ac:dyDescent="0.25">
      <c r="A1080">
        <v>1079</v>
      </c>
      <c r="B1080" s="5">
        <v>45800</v>
      </c>
      <c r="C1080" t="s">
        <v>33</v>
      </c>
      <c r="D1080" t="s">
        <v>42</v>
      </c>
      <c r="E1080" t="s">
        <v>43</v>
      </c>
      <c r="F1080" t="s">
        <v>44</v>
      </c>
      <c r="G1080" s="6">
        <v>3277.91</v>
      </c>
      <c r="H1080" s="7">
        <v>0</v>
      </c>
      <c r="I1080" s="6">
        <v>0</v>
      </c>
      <c r="J1080" s="6">
        <v>3277.91</v>
      </c>
      <c r="K1080" t="s">
        <v>2224</v>
      </c>
      <c r="L1080" t="s">
        <v>2225</v>
      </c>
    </row>
    <row r="1081" spans="1:13" ht="15" customHeight="1" x14ac:dyDescent="0.25">
      <c r="A1081">
        <v>1080</v>
      </c>
      <c r="B1081" s="5">
        <v>45715</v>
      </c>
      <c r="C1081" t="s">
        <v>47</v>
      </c>
      <c r="D1081" t="s">
        <v>28</v>
      </c>
      <c r="E1081" t="s">
        <v>29</v>
      </c>
      <c r="F1081" t="s">
        <v>84</v>
      </c>
      <c r="G1081" s="6">
        <v>2748.89</v>
      </c>
      <c r="H1081" s="7">
        <v>2.1000000000000001E-2</v>
      </c>
      <c r="I1081" s="6">
        <v>57.73</v>
      </c>
      <c r="J1081" s="6">
        <v>2806.62</v>
      </c>
      <c r="K1081" t="s">
        <v>2226</v>
      </c>
      <c r="L1081" t="s">
        <v>2227</v>
      </c>
    </row>
    <row r="1082" spans="1:13" ht="15" customHeight="1" x14ac:dyDescent="0.25">
      <c r="A1082">
        <v>1081</v>
      </c>
      <c r="B1082" s="5">
        <v>45847</v>
      </c>
      <c r="C1082" t="s">
        <v>33</v>
      </c>
      <c r="D1082" t="s">
        <v>34</v>
      </c>
      <c r="E1082" t="s">
        <v>35</v>
      </c>
      <c r="F1082" t="s">
        <v>174</v>
      </c>
      <c r="G1082" s="6">
        <v>3650.66</v>
      </c>
      <c r="H1082" s="7">
        <v>0.2</v>
      </c>
      <c r="I1082" s="6">
        <v>730.13</v>
      </c>
      <c r="J1082" s="6">
        <v>4380.79</v>
      </c>
      <c r="K1082" t="s">
        <v>2228</v>
      </c>
      <c r="L1082" t="s">
        <v>2229</v>
      </c>
    </row>
    <row r="1083" spans="1:13" ht="15" customHeight="1" x14ac:dyDescent="0.25">
      <c r="A1083">
        <v>1082</v>
      </c>
      <c r="B1083" s="5">
        <v>45750</v>
      </c>
      <c r="C1083" t="s">
        <v>27</v>
      </c>
      <c r="D1083" t="s">
        <v>55</v>
      </c>
      <c r="E1083" t="s">
        <v>56</v>
      </c>
      <c r="F1083" t="s">
        <v>39</v>
      </c>
      <c r="G1083" s="6">
        <v>3613.22</v>
      </c>
      <c r="H1083" s="7">
        <v>5.5E-2</v>
      </c>
      <c r="I1083" s="6">
        <v>198.73</v>
      </c>
      <c r="J1083" s="6">
        <v>3811.95</v>
      </c>
      <c r="K1083" t="s">
        <v>2230</v>
      </c>
      <c r="L1083" t="s">
        <v>2231</v>
      </c>
    </row>
    <row r="1084" spans="1:13" ht="15" customHeight="1" x14ac:dyDescent="0.25">
      <c r="A1084">
        <v>1083</v>
      </c>
      <c r="B1084" s="5">
        <v>45736</v>
      </c>
      <c r="C1084" t="s">
        <v>33</v>
      </c>
      <c r="D1084" t="s">
        <v>94</v>
      </c>
      <c r="E1084" t="s">
        <v>95</v>
      </c>
      <c r="F1084" t="s">
        <v>44</v>
      </c>
      <c r="G1084" s="6">
        <v>2381.9</v>
      </c>
      <c r="H1084" s="7">
        <v>0</v>
      </c>
      <c r="I1084" s="6">
        <v>0</v>
      </c>
      <c r="J1084" s="6">
        <v>2381.9</v>
      </c>
      <c r="K1084" t="s">
        <v>2232</v>
      </c>
      <c r="L1084" t="s">
        <v>2233</v>
      </c>
    </row>
    <row r="1085" spans="1:13" ht="15" customHeight="1" x14ac:dyDescent="0.25">
      <c r="A1085">
        <v>1084</v>
      </c>
      <c r="B1085" s="5">
        <v>45883</v>
      </c>
      <c r="C1085" t="s">
        <v>47</v>
      </c>
      <c r="D1085" t="s">
        <v>55</v>
      </c>
      <c r="E1085" t="s">
        <v>56</v>
      </c>
      <c r="F1085" t="s">
        <v>30</v>
      </c>
      <c r="G1085" s="6">
        <v>3288.92</v>
      </c>
      <c r="H1085" s="7">
        <v>5.5E-2</v>
      </c>
      <c r="I1085" s="6">
        <v>180.89</v>
      </c>
      <c r="J1085" s="6">
        <v>3469.81</v>
      </c>
      <c r="K1085" t="s">
        <v>2234</v>
      </c>
      <c r="L1085" t="s">
        <v>2235</v>
      </c>
    </row>
    <row r="1086" spans="1:13" ht="15" customHeight="1" x14ac:dyDescent="0.25">
      <c r="A1086">
        <v>1085</v>
      </c>
      <c r="B1086" s="5">
        <v>45834</v>
      </c>
      <c r="C1086" t="s">
        <v>27</v>
      </c>
      <c r="D1086" t="s">
        <v>42</v>
      </c>
      <c r="E1086" t="s">
        <v>43</v>
      </c>
      <c r="F1086" t="s">
        <v>44</v>
      </c>
      <c r="G1086" s="6">
        <v>2434.5500000000002</v>
      </c>
      <c r="H1086" s="7">
        <v>0</v>
      </c>
      <c r="I1086" s="6">
        <v>0</v>
      </c>
      <c r="J1086" s="6">
        <v>2434.5500000000002</v>
      </c>
      <c r="K1086" t="s">
        <v>2236</v>
      </c>
      <c r="L1086" t="s">
        <v>2237</v>
      </c>
    </row>
    <row r="1087" spans="1:13" ht="15" customHeight="1" x14ac:dyDescent="0.25">
      <c r="A1087">
        <v>1086</v>
      </c>
      <c r="B1087" s="5">
        <v>45895</v>
      </c>
      <c r="C1087" t="s">
        <v>33</v>
      </c>
      <c r="D1087" t="s">
        <v>28</v>
      </c>
      <c r="E1087" t="s">
        <v>29</v>
      </c>
      <c r="F1087" t="s">
        <v>174</v>
      </c>
      <c r="G1087" s="6">
        <v>1842.45</v>
      </c>
      <c r="H1087" s="7">
        <v>2.1000000000000001E-2</v>
      </c>
      <c r="I1087" s="6">
        <v>38.69</v>
      </c>
      <c r="J1087" s="6">
        <v>1881.14</v>
      </c>
      <c r="K1087" t="s">
        <v>2238</v>
      </c>
      <c r="L1087" t="s">
        <v>2239</v>
      </c>
    </row>
    <row r="1088" spans="1:13" ht="15" customHeight="1" x14ac:dyDescent="0.25">
      <c r="A1088">
        <v>1087</v>
      </c>
      <c r="B1088" s="5">
        <v>45930</v>
      </c>
      <c r="C1088" t="s">
        <v>27</v>
      </c>
      <c r="D1088" t="s">
        <v>100</v>
      </c>
      <c r="E1088" t="s">
        <v>101</v>
      </c>
      <c r="F1088" t="s">
        <v>44</v>
      </c>
      <c r="G1088" s="6">
        <v>3440.42</v>
      </c>
      <c r="H1088" s="7">
        <v>0</v>
      </c>
      <c r="I1088" s="6">
        <v>0</v>
      </c>
      <c r="J1088" s="6">
        <v>3440.42</v>
      </c>
      <c r="K1088" t="s">
        <v>2240</v>
      </c>
      <c r="L1088" t="s">
        <v>2241</v>
      </c>
    </row>
    <row r="1089" spans="1:12" ht="15" customHeight="1" x14ac:dyDescent="0.25">
      <c r="A1089">
        <v>1088</v>
      </c>
      <c r="B1089" s="5">
        <v>45929</v>
      </c>
      <c r="C1089" t="s">
        <v>47</v>
      </c>
      <c r="D1089" t="s">
        <v>55</v>
      </c>
      <c r="E1089" t="s">
        <v>56</v>
      </c>
      <c r="F1089" t="s">
        <v>39</v>
      </c>
      <c r="G1089" s="6">
        <v>3926.63</v>
      </c>
      <c r="H1089" s="7">
        <v>5.5E-2</v>
      </c>
      <c r="I1089" s="6">
        <v>215.96</v>
      </c>
      <c r="J1089" s="6">
        <v>4142.59</v>
      </c>
      <c r="K1089" t="s">
        <v>2242</v>
      </c>
      <c r="L1089" t="s">
        <v>2243</v>
      </c>
    </row>
    <row r="1090" spans="1:12" ht="15" customHeight="1" x14ac:dyDescent="0.25">
      <c r="A1090">
        <v>1089</v>
      </c>
      <c r="B1090" s="5">
        <v>45819</v>
      </c>
      <c r="C1090" t="s">
        <v>47</v>
      </c>
      <c r="D1090" t="s">
        <v>63</v>
      </c>
      <c r="E1090" t="s">
        <v>64</v>
      </c>
      <c r="F1090" t="s">
        <v>120</v>
      </c>
      <c r="G1090" s="6">
        <v>4330.99</v>
      </c>
      <c r="H1090" s="7">
        <v>0.2</v>
      </c>
      <c r="I1090" s="6">
        <v>866.2</v>
      </c>
      <c r="J1090" s="6">
        <v>5197.1899999999996</v>
      </c>
      <c r="K1090" t="s">
        <v>2244</v>
      </c>
      <c r="L1090" t="s">
        <v>2245</v>
      </c>
    </row>
    <row r="1091" spans="1:12" ht="15" customHeight="1" x14ac:dyDescent="0.25">
      <c r="A1091">
        <v>1090</v>
      </c>
      <c r="B1091" s="5">
        <v>45839</v>
      </c>
      <c r="C1091" t="s">
        <v>33</v>
      </c>
      <c r="D1091" t="s">
        <v>100</v>
      </c>
      <c r="E1091" t="s">
        <v>101</v>
      </c>
      <c r="F1091" t="s">
        <v>44</v>
      </c>
      <c r="G1091" s="6">
        <v>2836.29</v>
      </c>
      <c r="H1091" s="7">
        <v>0</v>
      </c>
      <c r="I1091" s="6">
        <v>0</v>
      </c>
      <c r="J1091" s="6">
        <v>2836.29</v>
      </c>
      <c r="K1091" t="s">
        <v>2246</v>
      </c>
      <c r="L1091" t="s">
        <v>2247</v>
      </c>
    </row>
    <row r="1092" spans="1:12" ht="15" customHeight="1" x14ac:dyDescent="0.25">
      <c r="A1092">
        <v>1091</v>
      </c>
      <c r="B1092" s="5">
        <v>45708</v>
      </c>
      <c r="C1092" t="s">
        <v>47</v>
      </c>
      <c r="D1092" t="s">
        <v>55</v>
      </c>
      <c r="E1092" t="s">
        <v>56</v>
      </c>
      <c r="F1092" t="s">
        <v>84</v>
      </c>
      <c r="G1092" s="6">
        <v>1208.6199999999999</v>
      </c>
      <c r="H1092" s="7">
        <v>5.5E-2</v>
      </c>
      <c r="I1092" s="6">
        <v>66.47</v>
      </c>
      <c r="J1092" s="6">
        <v>1275.0899999999999</v>
      </c>
      <c r="K1092" t="s">
        <v>2248</v>
      </c>
      <c r="L1092" t="s">
        <v>2249</v>
      </c>
    </row>
    <row r="1093" spans="1:12" ht="15" customHeight="1" x14ac:dyDescent="0.25">
      <c r="A1093">
        <v>1092</v>
      </c>
      <c r="B1093" s="5">
        <v>46002</v>
      </c>
      <c r="C1093" t="s">
        <v>47</v>
      </c>
      <c r="D1093" t="s">
        <v>42</v>
      </c>
      <c r="E1093" t="s">
        <v>43</v>
      </c>
      <c r="F1093" t="s">
        <v>44</v>
      </c>
      <c r="G1093" s="6">
        <v>2267.8200000000002</v>
      </c>
      <c r="H1093" s="7">
        <v>0</v>
      </c>
      <c r="I1093" s="6">
        <v>0</v>
      </c>
      <c r="J1093" s="6">
        <v>2267.8200000000002</v>
      </c>
      <c r="K1093" t="s">
        <v>2250</v>
      </c>
      <c r="L1093" t="s">
        <v>2251</v>
      </c>
    </row>
    <row r="1094" spans="1:12" ht="15" customHeight="1" x14ac:dyDescent="0.25">
      <c r="A1094">
        <v>1093</v>
      </c>
      <c r="B1094" s="5">
        <v>45750</v>
      </c>
      <c r="C1094" t="s">
        <v>27</v>
      </c>
      <c r="D1094" t="s">
        <v>42</v>
      </c>
      <c r="E1094" t="s">
        <v>43</v>
      </c>
      <c r="F1094" t="s">
        <v>44</v>
      </c>
      <c r="G1094" s="6">
        <v>1825.39</v>
      </c>
      <c r="H1094" s="7">
        <v>0</v>
      </c>
      <c r="I1094" s="6">
        <v>0</v>
      </c>
      <c r="J1094" s="6">
        <v>1825.39</v>
      </c>
      <c r="K1094" t="s">
        <v>2252</v>
      </c>
      <c r="L1094" t="s">
        <v>2253</v>
      </c>
    </row>
    <row r="1095" spans="1:12" ht="15" customHeight="1" x14ac:dyDescent="0.25">
      <c r="A1095">
        <v>1094</v>
      </c>
      <c r="B1095" s="5">
        <v>45708</v>
      </c>
      <c r="C1095" t="s">
        <v>33</v>
      </c>
      <c r="D1095" t="s">
        <v>28</v>
      </c>
      <c r="E1095" t="s">
        <v>29</v>
      </c>
      <c r="F1095" t="s">
        <v>120</v>
      </c>
      <c r="G1095" s="6">
        <v>2401.67</v>
      </c>
      <c r="H1095" s="7">
        <v>2.1000000000000001E-2</v>
      </c>
      <c r="I1095" s="6">
        <v>50.44</v>
      </c>
      <c r="J1095" s="6">
        <v>2452.11</v>
      </c>
      <c r="K1095" t="s">
        <v>2254</v>
      </c>
      <c r="L1095" t="s">
        <v>2255</v>
      </c>
    </row>
    <row r="1096" spans="1:12" ht="15" customHeight="1" x14ac:dyDescent="0.25">
      <c r="A1096">
        <v>1095</v>
      </c>
      <c r="B1096" s="5">
        <v>45803</v>
      </c>
      <c r="C1096" t="s">
        <v>47</v>
      </c>
      <c r="D1096" t="s">
        <v>28</v>
      </c>
      <c r="E1096" t="s">
        <v>29</v>
      </c>
      <c r="F1096" t="s">
        <v>39</v>
      </c>
      <c r="G1096" s="6">
        <v>1193.3800000000001</v>
      </c>
      <c r="H1096" s="7">
        <v>2.1000000000000001E-2</v>
      </c>
      <c r="I1096" s="6">
        <v>25.06</v>
      </c>
      <c r="J1096" s="6">
        <v>1218.44</v>
      </c>
      <c r="K1096" t="s">
        <v>2256</v>
      </c>
      <c r="L1096" t="s">
        <v>2257</v>
      </c>
    </row>
    <row r="1097" spans="1:12" ht="15" customHeight="1" x14ac:dyDescent="0.25">
      <c r="A1097">
        <v>1096</v>
      </c>
      <c r="B1097" s="5">
        <v>45994</v>
      </c>
      <c r="C1097" t="s">
        <v>27</v>
      </c>
      <c r="D1097" t="s">
        <v>28</v>
      </c>
      <c r="E1097" t="s">
        <v>29</v>
      </c>
      <c r="F1097" t="s">
        <v>71</v>
      </c>
      <c r="G1097" s="6">
        <v>4031.33</v>
      </c>
      <c r="H1097" s="7">
        <v>2.1000000000000001E-2</v>
      </c>
      <c r="I1097" s="6">
        <v>84.66</v>
      </c>
      <c r="J1097" s="6">
        <v>4115.99</v>
      </c>
      <c r="K1097" t="s">
        <v>2258</v>
      </c>
      <c r="L1097" t="s">
        <v>2259</v>
      </c>
    </row>
    <row r="1098" spans="1:12" ht="15" customHeight="1" x14ac:dyDescent="0.25">
      <c r="A1098">
        <v>1097</v>
      </c>
      <c r="B1098" s="5">
        <v>45719</v>
      </c>
      <c r="C1098" t="s">
        <v>27</v>
      </c>
      <c r="D1098" t="s">
        <v>28</v>
      </c>
      <c r="E1098" t="s">
        <v>29</v>
      </c>
      <c r="F1098" t="s">
        <v>84</v>
      </c>
      <c r="G1098" s="6">
        <v>461.83</v>
      </c>
      <c r="H1098" s="7">
        <v>2.1000000000000001E-2</v>
      </c>
      <c r="I1098" s="6">
        <v>9.6999999999999993</v>
      </c>
      <c r="J1098" s="6">
        <v>471.53</v>
      </c>
      <c r="K1098" t="s">
        <v>2260</v>
      </c>
      <c r="L1098" t="s">
        <v>2261</v>
      </c>
    </row>
    <row r="1099" spans="1:12" ht="15" customHeight="1" x14ac:dyDescent="0.25">
      <c r="A1099">
        <v>1098</v>
      </c>
      <c r="B1099" s="5">
        <v>45989</v>
      </c>
      <c r="C1099" t="s">
        <v>47</v>
      </c>
      <c r="D1099" t="s">
        <v>34</v>
      </c>
      <c r="E1099" t="s">
        <v>35</v>
      </c>
      <c r="F1099" t="s">
        <v>30</v>
      </c>
      <c r="G1099" s="6">
        <v>2582.02</v>
      </c>
      <c r="H1099" s="7">
        <v>0.2</v>
      </c>
      <c r="I1099" s="6">
        <v>516.4</v>
      </c>
      <c r="J1099" s="6">
        <v>3098.42</v>
      </c>
      <c r="K1099" t="s">
        <v>2262</v>
      </c>
      <c r="L1099" t="s">
        <v>2263</v>
      </c>
    </row>
    <row r="1100" spans="1:12" ht="15" customHeight="1" x14ac:dyDescent="0.25">
      <c r="A1100">
        <v>1099</v>
      </c>
      <c r="B1100" s="5">
        <v>45897</v>
      </c>
      <c r="C1100" t="s">
        <v>27</v>
      </c>
      <c r="D1100" t="s">
        <v>28</v>
      </c>
      <c r="E1100" t="s">
        <v>29</v>
      </c>
      <c r="F1100" t="s">
        <v>87</v>
      </c>
      <c r="G1100" s="6">
        <v>2999.31</v>
      </c>
      <c r="H1100" s="7">
        <v>2.1000000000000001E-2</v>
      </c>
      <c r="I1100" s="6">
        <v>62.99</v>
      </c>
      <c r="J1100" s="6">
        <v>3062.3</v>
      </c>
      <c r="K1100" t="s">
        <v>2264</v>
      </c>
      <c r="L1100" t="s">
        <v>2265</v>
      </c>
    </row>
    <row r="1101" spans="1:12" ht="15" customHeight="1" x14ac:dyDescent="0.25">
      <c r="A1101">
        <v>1100</v>
      </c>
      <c r="B1101" s="5">
        <v>45799</v>
      </c>
      <c r="C1101" t="s">
        <v>47</v>
      </c>
      <c r="D1101" t="s">
        <v>100</v>
      </c>
      <c r="E1101" t="s">
        <v>101</v>
      </c>
      <c r="F1101" t="s">
        <v>44</v>
      </c>
      <c r="G1101" s="6">
        <v>3461.33</v>
      </c>
      <c r="H1101" s="7">
        <v>0</v>
      </c>
      <c r="I1101" s="6">
        <v>0</v>
      </c>
      <c r="J1101" s="6">
        <v>3461.33</v>
      </c>
      <c r="K1101" t="s">
        <v>2266</v>
      </c>
      <c r="L1101" t="s">
        <v>2267</v>
      </c>
    </row>
    <row r="1102" spans="1:12" ht="15" customHeight="1" x14ac:dyDescent="0.25">
      <c r="A1102">
        <v>1101</v>
      </c>
      <c r="B1102" s="5">
        <v>45695</v>
      </c>
      <c r="C1102" t="s">
        <v>47</v>
      </c>
      <c r="D1102" t="s">
        <v>55</v>
      </c>
      <c r="E1102" t="s">
        <v>56</v>
      </c>
      <c r="F1102" t="s">
        <v>39</v>
      </c>
      <c r="G1102" s="6">
        <v>1305.6099999999999</v>
      </c>
      <c r="H1102" s="7">
        <v>5.5E-2</v>
      </c>
      <c r="I1102" s="6">
        <v>71.81</v>
      </c>
      <c r="J1102" s="6">
        <v>1377.42</v>
      </c>
      <c r="K1102" t="s">
        <v>2268</v>
      </c>
      <c r="L1102" t="s">
        <v>2269</v>
      </c>
    </row>
    <row r="1103" spans="1:12" ht="15" customHeight="1" x14ac:dyDescent="0.25">
      <c r="A1103">
        <v>1102</v>
      </c>
      <c r="B1103" s="5">
        <v>45688</v>
      </c>
      <c r="C1103" t="s">
        <v>47</v>
      </c>
      <c r="D1103" t="s">
        <v>55</v>
      </c>
      <c r="E1103" t="s">
        <v>56</v>
      </c>
      <c r="F1103" t="s">
        <v>174</v>
      </c>
      <c r="G1103" s="6">
        <v>1221.4100000000001</v>
      </c>
      <c r="H1103" s="7">
        <v>5.5E-2</v>
      </c>
      <c r="I1103" s="6">
        <v>67.180000000000007</v>
      </c>
      <c r="J1103" s="6">
        <v>1288.5899999999999</v>
      </c>
      <c r="K1103" t="s">
        <v>2270</v>
      </c>
      <c r="L1103" t="s">
        <v>2271</v>
      </c>
    </row>
    <row r="1104" spans="1:12" ht="15" customHeight="1" x14ac:dyDescent="0.25">
      <c r="A1104">
        <v>1103</v>
      </c>
      <c r="B1104" s="5">
        <v>45859</v>
      </c>
      <c r="C1104" t="s">
        <v>47</v>
      </c>
      <c r="D1104" t="s">
        <v>28</v>
      </c>
      <c r="E1104" t="s">
        <v>29</v>
      </c>
      <c r="F1104" t="s">
        <v>76</v>
      </c>
      <c r="G1104" s="6">
        <v>868.71</v>
      </c>
      <c r="H1104" s="7">
        <v>2.1000000000000001E-2</v>
      </c>
      <c r="I1104" s="6">
        <v>18.239999999999998</v>
      </c>
      <c r="J1104" s="6">
        <v>886.95</v>
      </c>
      <c r="K1104" t="s">
        <v>2272</v>
      </c>
      <c r="L1104" t="s">
        <v>2273</v>
      </c>
    </row>
    <row r="1105" spans="1:12" ht="15" customHeight="1" x14ac:dyDescent="0.25">
      <c r="A1105">
        <v>1104</v>
      </c>
      <c r="B1105" s="5">
        <v>45769</v>
      </c>
      <c r="C1105" t="s">
        <v>33</v>
      </c>
      <c r="D1105" t="s">
        <v>172</v>
      </c>
      <c r="E1105" t="s">
        <v>173</v>
      </c>
      <c r="F1105" t="s">
        <v>87</v>
      </c>
      <c r="G1105" s="6">
        <v>2793.73</v>
      </c>
      <c r="H1105" s="7">
        <v>0.2</v>
      </c>
      <c r="I1105" s="6">
        <v>558.75</v>
      </c>
      <c r="J1105" s="6">
        <v>3352.48</v>
      </c>
      <c r="K1105" t="s">
        <v>2274</v>
      </c>
      <c r="L1105" t="s">
        <v>2275</v>
      </c>
    </row>
    <row r="1106" spans="1:12" ht="15" customHeight="1" x14ac:dyDescent="0.25">
      <c r="A1106">
        <v>1105</v>
      </c>
      <c r="B1106" s="5">
        <v>45695</v>
      </c>
      <c r="C1106" t="s">
        <v>27</v>
      </c>
      <c r="D1106" t="s">
        <v>55</v>
      </c>
      <c r="E1106" t="s">
        <v>56</v>
      </c>
      <c r="F1106" t="s">
        <v>81</v>
      </c>
      <c r="G1106" s="6">
        <v>391.22</v>
      </c>
      <c r="H1106" s="7">
        <v>5.5E-2</v>
      </c>
      <c r="I1106" s="6">
        <v>21.52</v>
      </c>
      <c r="J1106" s="6">
        <v>412.74</v>
      </c>
      <c r="K1106" t="s">
        <v>2276</v>
      </c>
      <c r="L1106" t="s">
        <v>2277</v>
      </c>
    </row>
    <row r="1107" spans="1:12" ht="15" customHeight="1" x14ac:dyDescent="0.25">
      <c r="A1107">
        <v>1106</v>
      </c>
      <c r="B1107" s="5">
        <v>45912</v>
      </c>
      <c r="C1107" t="s">
        <v>47</v>
      </c>
      <c r="D1107" t="s">
        <v>28</v>
      </c>
      <c r="E1107" t="s">
        <v>29</v>
      </c>
      <c r="F1107" t="s">
        <v>120</v>
      </c>
      <c r="G1107" s="6">
        <v>737.94</v>
      </c>
      <c r="H1107" s="7">
        <v>2.1000000000000001E-2</v>
      </c>
      <c r="I1107" s="6">
        <v>15.5</v>
      </c>
      <c r="J1107" s="6">
        <v>753.44</v>
      </c>
      <c r="K1107" t="s">
        <v>2278</v>
      </c>
      <c r="L1107" t="s">
        <v>2279</v>
      </c>
    </row>
    <row r="1108" spans="1:12" ht="15" customHeight="1" x14ac:dyDescent="0.25">
      <c r="A1108">
        <v>1107</v>
      </c>
      <c r="B1108" s="5">
        <v>45735</v>
      </c>
      <c r="C1108" t="s">
        <v>33</v>
      </c>
      <c r="D1108" t="s">
        <v>34</v>
      </c>
      <c r="E1108" t="s">
        <v>35</v>
      </c>
      <c r="F1108" t="s">
        <v>36</v>
      </c>
      <c r="G1108" s="6">
        <v>3174.24</v>
      </c>
      <c r="H1108" s="7">
        <v>0.2</v>
      </c>
      <c r="I1108" s="6">
        <v>634.85</v>
      </c>
      <c r="J1108" s="6">
        <v>3809.09</v>
      </c>
      <c r="K1108" t="s">
        <v>2280</v>
      </c>
      <c r="L1108" t="s">
        <v>2281</v>
      </c>
    </row>
    <row r="1109" spans="1:12" ht="15" customHeight="1" x14ac:dyDescent="0.25">
      <c r="A1109">
        <v>1108</v>
      </c>
      <c r="B1109" s="5">
        <v>45909</v>
      </c>
      <c r="C1109" t="s">
        <v>33</v>
      </c>
      <c r="D1109" t="s">
        <v>172</v>
      </c>
      <c r="E1109" t="s">
        <v>173</v>
      </c>
      <c r="F1109" t="s">
        <v>36</v>
      </c>
      <c r="G1109" s="6">
        <v>2193.38</v>
      </c>
      <c r="H1109" s="7">
        <v>0.2</v>
      </c>
      <c r="I1109" s="6">
        <v>438.68</v>
      </c>
      <c r="J1109" s="6">
        <v>2632.06</v>
      </c>
      <c r="K1109" t="s">
        <v>2282</v>
      </c>
      <c r="L1109" t="s">
        <v>2283</v>
      </c>
    </row>
    <row r="1110" spans="1:12" ht="15" customHeight="1" x14ac:dyDescent="0.25">
      <c r="A1110">
        <v>1109</v>
      </c>
      <c r="B1110" s="5">
        <v>45693</v>
      </c>
      <c r="C1110" t="s">
        <v>27</v>
      </c>
      <c r="D1110" t="s">
        <v>42</v>
      </c>
      <c r="E1110" t="s">
        <v>43</v>
      </c>
      <c r="F1110" t="s">
        <v>44</v>
      </c>
      <c r="G1110" s="6">
        <v>1807.94</v>
      </c>
      <c r="H1110" s="7">
        <v>0</v>
      </c>
      <c r="I1110" s="6">
        <v>0</v>
      </c>
      <c r="J1110" s="6">
        <v>1807.94</v>
      </c>
      <c r="K1110" t="s">
        <v>2284</v>
      </c>
      <c r="L1110" t="s">
        <v>2285</v>
      </c>
    </row>
    <row r="1111" spans="1:12" ht="15" customHeight="1" x14ac:dyDescent="0.25">
      <c r="A1111">
        <v>1110</v>
      </c>
      <c r="B1111" s="5">
        <v>45932</v>
      </c>
      <c r="C1111" t="s">
        <v>47</v>
      </c>
      <c r="D1111" t="s">
        <v>28</v>
      </c>
      <c r="E1111" t="s">
        <v>29</v>
      </c>
      <c r="F1111" t="s">
        <v>50</v>
      </c>
      <c r="G1111" s="6">
        <v>4212.8900000000003</v>
      </c>
      <c r="H1111" s="7">
        <v>2.1000000000000001E-2</v>
      </c>
      <c r="I1111" s="6">
        <v>88.47</v>
      </c>
      <c r="J1111" s="6">
        <v>4301.3599999999997</v>
      </c>
      <c r="K1111" t="s">
        <v>2286</v>
      </c>
      <c r="L1111" t="s">
        <v>2287</v>
      </c>
    </row>
    <row r="1112" spans="1:12" ht="15" customHeight="1" x14ac:dyDescent="0.25">
      <c r="A1112">
        <v>1111</v>
      </c>
      <c r="B1112" s="5">
        <v>45686</v>
      </c>
      <c r="C1112" t="s">
        <v>27</v>
      </c>
      <c r="D1112" t="s">
        <v>55</v>
      </c>
      <c r="E1112" t="s">
        <v>56</v>
      </c>
      <c r="F1112" t="s">
        <v>120</v>
      </c>
      <c r="G1112" s="6">
        <v>2874.64</v>
      </c>
      <c r="H1112" s="7">
        <v>5.5E-2</v>
      </c>
      <c r="I1112" s="6">
        <v>158.11000000000001</v>
      </c>
      <c r="J1112" s="6">
        <v>3032.75</v>
      </c>
      <c r="K1112" t="s">
        <v>2288</v>
      </c>
      <c r="L1112" t="s">
        <v>2289</v>
      </c>
    </row>
    <row r="1113" spans="1:12" ht="15" customHeight="1" x14ac:dyDescent="0.25">
      <c r="A1113">
        <v>1112</v>
      </c>
      <c r="B1113" s="5">
        <v>45832</v>
      </c>
      <c r="C1113" t="s">
        <v>47</v>
      </c>
      <c r="D1113" t="s">
        <v>172</v>
      </c>
      <c r="E1113" t="s">
        <v>173</v>
      </c>
      <c r="F1113" t="s">
        <v>76</v>
      </c>
      <c r="G1113" s="6">
        <v>435.62</v>
      </c>
      <c r="H1113" s="7">
        <v>0.2</v>
      </c>
      <c r="I1113" s="6">
        <v>87.12</v>
      </c>
      <c r="J1113" s="6">
        <v>522.74</v>
      </c>
      <c r="K1113" t="s">
        <v>2290</v>
      </c>
      <c r="L1113" t="s">
        <v>2291</v>
      </c>
    </row>
    <row r="1114" spans="1:12" ht="15" customHeight="1" x14ac:dyDescent="0.25">
      <c r="A1114">
        <v>1113</v>
      </c>
      <c r="B1114" s="5">
        <v>45748</v>
      </c>
      <c r="C1114" t="s">
        <v>47</v>
      </c>
      <c r="D1114" t="s">
        <v>181</v>
      </c>
      <c r="E1114" t="s">
        <v>182</v>
      </c>
      <c r="F1114" t="s">
        <v>36</v>
      </c>
      <c r="G1114" s="6">
        <v>2530.7800000000002</v>
      </c>
      <c r="H1114" s="7">
        <v>0.2</v>
      </c>
      <c r="I1114" s="6">
        <v>506.16</v>
      </c>
      <c r="J1114" s="6">
        <v>3036.94</v>
      </c>
      <c r="K1114" t="s">
        <v>2292</v>
      </c>
      <c r="L1114" t="s">
        <v>2293</v>
      </c>
    </row>
    <row r="1115" spans="1:12" ht="15" customHeight="1" x14ac:dyDescent="0.25">
      <c r="A1115">
        <v>1114</v>
      </c>
      <c r="B1115" s="5">
        <v>45712</v>
      </c>
      <c r="C1115" t="s">
        <v>33</v>
      </c>
      <c r="D1115" t="s">
        <v>55</v>
      </c>
      <c r="E1115" t="s">
        <v>56</v>
      </c>
      <c r="F1115" t="s">
        <v>50</v>
      </c>
      <c r="G1115" s="6">
        <v>2867.33</v>
      </c>
      <c r="H1115" s="7">
        <v>5.5E-2</v>
      </c>
      <c r="I1115" s="6">
        <v>157.69999999999999</v>
      </c>
      <c r="J1115" s="6">
        <v>3025.03</v>
      </c>
      <c r="K1115" t="s">
        <v>2294</v>
      </c>
      <c r="L1115" t="s">
        <v>2295</v>
      </c>
    </row>
    <row r="1116" spans="1:12" ht="15" customHeight="1" x14ac:dyDescent="0.25">
      <c r="A1116">
        <v>1115</v>
      </c>
      <c r="B1116" s="5">
        <v>45882</v>
      </c>
      <c r="C1116" t="s">
        <v>33</v>
      </c>
      <c r="D1116" t="s">
        <v>100</v>
      </c>
      <c r="E1116" t="s">
        <v>101</v>
      </c>
      <c r="F1116" t="s">
        <v>44</v>
      </c>
      <c r="G1116" s="6">
        <v>2135.86</v>
      </c>
      <c r="H1116" s="7">
        <v>0</v>
      </c>
      <c r="I1116" s="6">
        <v>0</v>
      </c>
      <c r="J1116" s="6">
        <v>2135.86</v>
      </c>
      <c r="K1116" t="s">
        <v>2296</v>
      </c>
      <c r="L1116" t="s">
        <v>2297</v>
      </c>
    </row>
    <row r="1117" spans="1:12" ht="15" customHeight="1" x14ac:dyDescent="0.25">
      <c r="A1117">
        <v>1116</v>
      </c>
      <c r="B1117" s="5">
        <v>45961</v>
      </c>
      <c r="C1117" t="s">
        <v>33</v>
      </c>
      <c r="D1117" t="s">
        <v>42</v>
      </c>
      <c r="E1117" t="s">
        <v>43</v>
      </c>
      <c r="F1117" t="s">
        <v>44</v>
      </c>
      <c r="G1117" s="6">
        <v>2733.04</v>
      </c>
      <c r="H1117" s="7">
        <v>0</v>
      </c>
      <c r="I1117" s="6">
        <v>0</v>
      </c>
      <c r="J1117" s="6">
        <v>2733.04</v>
      </c>
      <c r="K1117" t="s">
        <v>2298</v>
      </c>
      <c r="L1117" t="s">
        <v>2299</v>
      </c>
    </row>
    <row r="1118" spans="1:12" ht="15" customHeight="1" x14ac:dyDescent="0.25">
      <c r="A1118">
        <v>1117</v>
      </c>
      <c r="B1118" s="5">
        <v>45931</v>
      </c>
      <c r="C1118" t="s">
        <v>27</v>
      </c>
      <c r="D1118" t="s">
        <v>181</v>
      </c>
      <c r="E1118" t="s">
        <v>182</v>
      </c>
      <c r="F1118" t="s">
        <v>76</v>
      </c>
      <c r="G1118" s="6">
        <v>4345.1000000000004</v>
      </c>
      <c r="H1118" s="7">
        <v>0.2</v>
      </c>
      <c r="I1118" s="6">
        <v>869.02</v>
      </c>
      <c r="J1118" s="6">
        <v>5214.12</v>
      </c>
      <c r="K1118" t="s">
        <v>2300</v>
      </c>
      <c r="L1118" t="s">
        <v>2301</v>
      </c>
    </row>
    <row r="1119" spans="1:12" ht="15" customHeight="1" x14ac:dyDescent="0.25">
      <c r="A1119">
        <v>1118</v>
      </c>
      <c r="B1119" s="5">
        <v>45679</v>
      </c>
      <c r="C1119" t="s">
        <v>33</v>
      </c>
      <c r="D1119" t="s">
        <v>55</v>
      </c>
      <c r="E1119" t="s">
        <v>56</v>
      </c>
      <c r="F1119" t="s">
        <v>71</v>
      </c>
      <c r="G1119" s="6">
        <v>1872.34</v>
      </c>
      <c r="H1119" s="7">
        <v>5.5E-2</v>
      </c>
      <c r="I1119" s="6">
        <v>102.98</v>
      </c>
      <c r="J1119" s="6">
        <v>1975.32</v>
      </c>
      <c r="K1119" t="s">
        <v>2302</v>
      </c>
      <c r="L1119" t="s">
        <v>2303</v>
      </c>
    </row>
    <row r="1120" spans="1:12" ht="15" customHeight="1" x14ac:dyDescent="0.25">
      <c r="A1120">
        <v>1119</v>
      </c>
      <c r="B1120" s="5">
        <v>45932</v>
      </c>
      <c r="C1120" t="s">
        <v>27</v>
      </c>
      <c r="D1120" t="s">
        <v>34</v>
      </c>
      <c r="E1120" t="s">
        <v>35</v>
      </c>
      <c r="F1120" t="s">
        <v>84</v>
      </c>
      <c r="G1120" s="6">
        <v>738.38</v>
      </c>
      <c r="H1120" s="7">
        <v>0.2</v>
      </c>
      <c r="I1120" s="6">
        <v>147.68</v>
      </c>
      <c r="J1120" s="6">
        <v>886.06</v>
      </c>
      <c r="K1120" t="s">
        <v>2304</v>
      </c>
      <c r="L1120" t="s">
        <v>2305</v>
      </c>
    </row>
    <row r="1121" spans="1:12" ht="15" customHeight="1" x14ac:dyDescent="0.25">
      <c r="A1121">
        <v>1120</v>
      </c>
      <c r="B1121" s="5">
        <v>45730</v>
      </c>
      <c r="C1121" t="s">
        <v>33</v>
      </c>
      <c r="D1121" t="s">
        <v>28</v>
      </c>
      <c r="E1121" t="s">
        <v>29</v>
      </c>
      <c r="F1121" t="s">
        <v>39</v>
      </c>
      <c r="G1121" s="6">
        <v>2240.91</v>
      </c>
      <c r="H1121" s="7">
        <v>2.1000000000000001E-2</v>
      </c>
      <c r="I1121" s="6">
        <v>47.06</v>
      </c>
      <c r="J1121" s="6">
        <v>2287.9699999999998</v>
      </c>
      <c r="K1121" t="s">
        <v>2306</v>
      </c>
      <c r="L1121" t="s">
        <v>2307</v>
      </c>
    </row>
    <row r="1122" spans="1:12" ht="15" customHeight="1" x14ac:dyDescent="0.25">
      <c r="A1122">
        <v>1121</v>
      </c>
      <c r="B1122" s="5">
        <v>46017</v>
      </c>
      <c r="C1122" t="s">
        <v>27</v>
      </c>
      <c r="D1122" t="s">
        <v>28</v>
      </c>
      <c r="E1122" t="s">
        <v>29</v>
      </c>
      <c r="F1122" t="s">
        <v>39</v>
      </c>
      <c r="G1122" s="6">
        <v>2947.64</v>
      </c>
      <c r="H1122" s="7">
        <v>2.1000000000000001E-2</v>
      </c>
      <c r="I1122" s="6">
        <v>61.9</v>
      </c>
      <c r="J1122" s="6">
        <v>3009.54</v>
      </c>
      <c r="K1122" t="s">
        <v>2308</v>
      </c>
      <c r="L1122" t="s">
        <v>2309</v>
      </c>
    </row>
    <row r="1123" spans="1:12" ht="15" customHeight="1" x14ac:dyDescent="0.25">
      <c r="A1123">
        <v>1122</v>
      </c>
      <c r="B1123" s="5">
        <v>45707</v>
      </c>
      <c r="C1123" t="s">
        <v>27</v>
      </c>
      <c r="D1123" t="s">
        <v>28</v>
      </c>
      <c r="E1123" t="s">
        <v>29</v>
      </c>
      <c r="F1123" t="s">
        <v>30</v>
      </c>
      <c r="G1123" s="6">
        <v>2096.34</v>
      </c>
      <c r="H1123" s="7">
        <v>2.1000000000000001E-2</v>
      </c>
      <c r="I1123" s="6">
        <v>44.02</v>
      </c>
      <c r="J1123" s="6">
        <v>2140.36</v>
      </c>
      <c r="K1123" t="s">
        <v>2310</v>
      </c>
      <c r="L1123" t="s">
        <v>2311</v>
      </c>
    </row>
    <row r="1124" spans="1:12" ht="15" customHeight="1" x14ac:dyDescent="0.25">
      <c r="A1124">
        <v>1123</v>
      </c>
      <c r="B1124" s="5">
        <v>45712</v>
      </c>
      <c r="C1124" t="s">
        <v>27</v>
      </c>
      <c r="D1124" t="s">
        <v>28</v>
      </c>
      <c r="E1124" t="s">
        <v>29</v>
      </c>
      <c r="F1124" t="s">
        <v>84</v>
      </c>
      <c r="G1124" s="6">
        <v>584.66999999999996</v>
      </c>
      <c r="H1124" s="7">
        <v>2.1000000000000001E-2</v>
      </c>
      <c r="I1124" s="6">
        <v>12.28</v>
      </c>
      <c r="J1124" s="6">
        <v>596.95000000000005</v>
      </c>
      <c r="K1124" t="s">
        <v>2312</v>
      </c>
      <c r="L1124" t="s">
        <v>2313</v>
      </c>
    </row>
    <row r="1125" spans="1:12" ht="15" customHeight="1" x14ac:dyDescent="0.25">
      <c r="A1125">
        <v>1124</v>
      </c>
      <c r="B1125" s="5">
        <v>45761</v>
      </c>
      <c r="C1125" t="s">
        <v>27</v>
      </c>
      <c r="D1125" t="s">
        <v>55</v>
      </c>
      <c r="E1125" t="s">
        <v>56</v>
      </c>
      <c r="F1125" t="s">
        <v>81</v>
      </c>
      <c r="G1125" s="6">
        <v>1963.85</v>
      </c>
      <c r="H1125" s="7">
        <v>5.5E-2</v>
      </c>
      <c r="I1125" s="6">
        <v>108.01</v>
      </c>
      <c r="J1125" s="6">
        <v>2071.86</v>
      </c>
      <c r="K1125" t="s">
        <v>2314</v>
      </c>
      <c r="L1125" t="s">
        <v>2315</v>
      </c>
    </row>
    <row r="1126" spans="1:12" ht="15" customHeight="1" x14ac:dyDescent="0.25">
      <c r="A1126">
        <v>1125</v>
      </c>
      <c r="B1126" s="5">
        <v>46008</v>
      </c>
      <c r="C1126" t="s">
        <v>47</v>
      </c>
      <c r="D1126" t="s">
        <v>55</v>
      </c>
      <c r="E1126" t="s">
        <v>56</v>
      </c>
      <c r="F1126" t="s">
        <v>30</v>
      </c>
      <c r="G1126" s="6">
        <v>2625.77</v>
      </c>
      <c r="H1126" s="7">
        <v>5.5E-2</v>
      </c>
      <c r="I1126" s="6">
        <v>144.41999999999999</v>
      </c>
      <c r="J1126" s="6">
        <v>2770.19</v>
      </c>
      <c r="K1126" t="s">
        <v>2316</v>
      </c>
      <c r="L1126" t="s">
        <v>2317</v>
      </c>
    </row>
    <row r="1127" spans="1:12" ht="15" customHeight="1" x14ac:dyDescent="0.25">
      <c r="A1127">
        <v>1126</v>
      </c>
      <c r="B1127" s="5">
        <v>45961</v>
      </c>
      <c r="C1127" t="s">
        <v>33</v>
      </c>
      <c r="D1127" t="s">
        <v>42</v>
      </c>
      <c r="E1127" t="s">
        <v>43</v>
      </c>
      <c r="F1127" t="s">
        <v>44</v>
      </c>
      <c r="G1127" s="6">
        <v>1951.73</v>
      </c>
      <c r="H1127" s="7">
        <v>0</v>
      </c>
      <c r="I1127" s="6">
        <v>0</v>
      </c>
      <c r="J1127" s="6">
        <v>1951.73</v>
      </c>
      <c r="K1127" t="s">
        <v>2318</v>
      </c>
      <c r="L1127" t="s">
        <v>2319</v>
      </c>
    </row>
    <row r="1128" spans="1:12" ht="15" customHeight="1" x14ac:dyDescent="0.25">
      <c r="A1128">
        <v>1127</v>
      </c>
      <c r="B1128" s="5">
        <v>45744</v>
      </c>
      <c r="C1128" t="s">
        <v>33</v>
      </c>
      <c r="D1128" t="s">
        <v>42</v>
      </c>
      <c r="E1128" t="s">
        <v>43</v>
      </c>
      <c r="F1128" t="s">
        <v>44</v>
      </c>
      <c r="G1128" s="6">
        <v>3128.18</v>
      </c>
      <c r="H1128" s="7">
        <v>0</v>
      </c>
      <c r="I1128" s="6">
        <v>0</v>
      </c>
      <c r="J1128" s="6">
        <v>3128.18</v>
      </c>
      <c r="K1128" t="s">
        <v>2320</v>
      </c>
      <c r="L1128" t="s">
        <v>2321</v>
      </c>
    </row>
    <row r="1129" spans="1:12" ht="15" customHeight="1" x14ac:dyDescent="0.25">
      <c r="A1129">
        <v>1128</v>
      </c>
      <c r="B1129" s="5">
        <v>45678</v>
      </c>
      <c r="C1129" t="s">
        <v>33</v>
      </c>
      <c r="D1129" t="s">
        <v>100</v>
      </c>
      <c r="E1129" t="s">
        <v>101</v>
      </c>
      <c r="F1129" t="s">
        <v>44</v>
      </c>
      <c r="G1129" s="6">
        <v>3698.53</v>
      </c>
      <c r="H1129" s="7">
        <v>0</v>
      </c>
      <c r="I1129" s="6">
        <v>0</v>
      </c>
      <c r="J1129" s="6">
        <v>3698.53</v>
      </c>
      <c r="K1129" t="s">
        <v>2322</v>
      </c>
      <c r="L1129" t="s">
        <v>2323</v>
      </c>
    </row>
    <row r="1130" spans="1:12" ht="15" customHeight="1" x14ac:dyDescent="0.25">
      <c r="A1130">
        <v>1129</v>
      </c>
      <c r="B1130" s="5">
        <v>45666</v>
      </c>
      <c r="C1130" t="s">
        <v>27</v>
      </c>
      <c r="D1130" t="s">
        <v>63</v>
      </c>
      <c r="E1130" t="s">
        <v>64</v>
      </c>
      <c r="F1130" t="s">
        <v>87</v>
      </c>
      <c r="G1130" s="6">
        <v>3967.95</v>
      </c>
      <c r="H1130" s="7">
        <v>0.2</v>
      </c>
      <c r="I1130" s="6">
        <v>793.59</v>
      </c>
      <c r="J1130" s="6">
        <v>4761.54</v>
      </c>
      <c r="K1130" t="s">
        <v>2324</v>
      </c>
      <c r="L1130" t="s">
        <v>2325</v>
      </c>
    </row>
    <row r="1131" spans="1:12" ht="15" customHeight="1" x14ac:dyDescent="0.25">
      <c r="A1131">
        <v>1130</v>
      </c>
      <c r="B1131" s="5">
        <v>45961</v>
      </c>
      <c r="C1131" t="s">
        <v>33</v>
      </c>
      <c r="D1131" t="s">
        <v>28</v>
      </c>
      <c r="E1131" t="s">
        <v>29</v>
      </c>
      <c r="F1131" t="s">
        <v>36</v>
      </c>
      <c r="G1131" s="6">
        <v>4000.16</v>
      </c>
      <c r="H1131" s="7">
        <v>2.1000000000000001E-2</v>
      </c>
      <c r="I1131" s="6">
        <v>84</v>
      </c>
      <c r="J1131" s="6">
        <v>4084.16</v>
      </c>
      <c r="K1131" t="s">
        <v>2326</v>
      </c>
      <c r="L1131" t="s">
        <v>2327</v>
      </c>
    </row>
    <row r="1132" spans="1:12" ht="15" customHeight="1" x14ac:dyDescent="0.25">
      <c r="A1132">
        <v>1131</v>
      </c>
      <c r="B1132" s="5">
        <v>45763</v>
      </c>
      <c r="C1132" t="s">
        <v>47</v>
      </c>
      <c r="D1132" t="s">
        <v>42</v>
      </c>
      <c r="E1132" t="s">
        <v>43</v>
      </c>
      <c r="F1132" t="s">
        <v>44</v>
      </c>
      <c r="G1132" s="6">
        <v>2450.2800000000002</v>
      </c>
      <c r="H1132" s="7">
        <v>0</v>
      </c>
      <c r="I1132" s="6">
        <v>0</v>
      </c>
      <c r="J1132" s="6">
        <v>2450.2800000000002</v>
      </c>
      <c r="K1132" t="s">
        <v>2328</v>
      </c>
      <c r="L1132" t="s">
        <v>2329</v>
      </c>
    </row>
    <row r="1133" spans="1:12" ht="15" customHeight="1" x14ac:dyDescent="0.25">
      <c r="A1133">
        <v>1132</v>
      </c>
      <c r="B1133" s="5">
        <v>45747</v>
      </c>
      <c r="C1133" t="s">
        <v>47</v>
      </c>
      <c r="D1133" t="s">
        <v>55</v>
      </c>
      <c r="E1133" t="s">
        <v>56</v>
      </c>
      <c r="F1133" t="s">
        <v>39</v>
      </c>
      <c r="G1133" s="6">
        <v>2778.58</v>
      </c>
      <c r="H1133" s="7">
        <v>5.5E-2</v>
      </c>
      <c r="I1133" s="6">
        <v>152.82</v>
      </c>
      <c r="J1133" s="6">
        <v>2931.4</v>
      </c>
      <c r="K1133" t="s">
        <v>2330</v>
      </c>
      <c r="L1133" t="s">
        <v>2331</v>
      </c>
    </row>
    <row r="1134" spans="1:12" ht="15" customHeight="1" x14ac:dyDescent="0.25">
      <c r="A1134">
        <v>1133</v>
      </c>
      <c r="B1134" s="5">
        <v>45971</v>
      </c>
      <c r="C1134" t="s">
        <v>33</v>
      </c>
      <c r="D1134" t="s">
        <v>42</v>
      </c>
      <c r="E1134" t="s">
        <v>43</v>
      </c>
      <c r="F1134" t="s">
        <v>44</v>
      </c>
      <c r="G1134" s="6">
        <v>3305.26</v>
      </c>
      <c r="H1134" s="7">
        <v>0</v>
      </c>
      <c r="I1134" s="6">
        <v>0</v>
      </c>
      <c r="J1134" s="6">
        <v>3305.26</v>
      </c>
      <c r="K1134" t="s">
        <v>2332</v>
      </c>
      <c r="L1134" t="s">
        <v>2333</v>
      </c>
    </row>
    <row r="1135" spans="1:12" ht="15" customHeight="1" x14ac:dyDescent="0.25">
      <c r="A1135">
        <v>1134</v>
      </c>
      <c r="B1135" s="5">
        <v>45660</v>
      </c>
      <c r="C1135" t="s">
        <v>47</v>
      </c>
      <c r="D1135" t="s">
        <v>55</v>
      </c>
      <c r="E1135" t="s">
        <v>56</v>
      </c>
      <c r="F1135" t="s">
        <v>71</v>
      </c>
      <c r="G1135" s="6">
        <v>2545.08</v>
      </c>
      <c r="H1135" s="7">
        <v>5.5E-2</v>
      </c>
      <c r="I1135" s="6">
        <v>139.97999999999999</v>
      </c>
      <c r="J1135" s="6">
        <v>2685.06</v>
      </c>
      <c r="K1135" t="s">
        <v>2334</v>
      </c>
      <c r="L1135" t="s">
        <v>2335</v>
      </c>
    </row>
    <row r="1136" spans="1:12" ht="15" customHeight="1" x14ac:dyDescent="0.25">
      <c r="A1136">
        <v>1135</v>
      </c>
      <c r="B1136" s="5">
        <v>45974</v>
      </c>
      <c r="C1136" t="s">
        <v>27</v>
      </c>
      <c r="D1136" t="s">
        <v>94</v>
      </c>
      <c r="E1136" t="s">
        <v>95</v>
      </c>
      <c r="F1136" t="s">
        <v>44</v>
      </c>
      <c r="G1136" s="6">
        <v>2402.8200000000002</v>
      </c>
      <c r="H1136" s="7">
        <v>0</v>
      </c>
      <c r="I1136" s="6">
        <v>0</v>
      </c>
      <c r="J1136" s="6">
        <v>2402.8200000000002</v>
      </c>
      <c r="K1136" t="s">
        <v>2336</v>
      </c>
      <c r="L1136" t="s">
        <v>2337</v>
      </c>
    </row>
    <row r="1137" spans="1:12" ht="15" customHeight="1" x14ac:dyDescent="0.25">
      <c r="A1137">
        <v>1136</v>
      </c>
      <c r="B1137" s="5">
        <v>45978</v>
      </c>
      <c r="C1137" t="s">
        <v>27</v>
      </c>
      <c r="D1137" t="s">
        <v>28</v>
      </c>
      <c r="E1137" t="s">
        <v>29</v>
      </c>
      <c r="F1137" t="s">
        <v>174</v>
      </c>
      <c r="G1137" s="6">
        <v>2994.23</v>
      </c>
      <c r="H1137" s="7">
        <v>2.1000000000000001E-2</v>
      </c>
      <c r="I1137" s="6">
        <v>62.88</v>
      </c>
      <c r="J1137" s="6">
        <v>3057.11</v>
      </c>
      <c r="K1137" t="s">
        <v>2338</v>
      </c>
      <c r="L1137" t="s">
        <v>2339</v>
      </c>
    </row>
    <row r="1138" spans="1:12" ht="15" customHeight="1" x14ac:dyDescent="0.25">
      <c r="A1138">
        <v>1137</v>
      </c>
      <c r="B1138" s="5">
        <v>45734</v>
      </c>
      <c r="C1138" t="s">
        <v>33</v>
      </c>
      <c r="D1138" t="s">
        <v>28</v>
      </c>
      <c r="E1138" t="s">
        <v>29</v>
      </c>
      <c r="F1138" t="s">
        <v>76</v>
      </c>
      <c r="G1138" s="6">
        <v>3108.78</v>
      </c>
      <c r="H1138" s="7">
        <v>2.1000000000000001E-2</v>
      </c>
      <c r="I1138" s="6">
        <v>65.28</v>
      </c>
      <c r="J1138" s="6">
        <v>3174.06</v>
      </c>
      <c r="K1138" t="s">
        <v>2340</v>
      </c>
      <c r="L1138" t="s">
        <v>2341</v>
      </c>
    </row>
    <row r="1139" spans="1:12" ht="15" customHeight="1" x14ac:dyDescent="0.25">
      <c r="A1139">
        <v>1138</v>
      </c>
      <c r="B1139" s="5">
        <v>45680</v>
      </c>
      <c r="C1139" t="s">
        <v>33</v>
      </c>
      <c r="D1139" t="s">
        <v>28</v>
      </c>
      <c r="E1139" t="s">
        <v>29</v>
      </c>
      <c r="F1139" t="s">
        <v>50</v>
      </c>
      <c r="G1139" s="6">
        <v>318.8</v>
      </c>
      <c r="H1139" s="7">
        <v>2.1000000000000001E-2</v>
      </c>
      <c r="I1139" s="6">
        <v>6.69</v>
      </c>
      <c r="J1139" s="6">
        <v>325.49</v>
      </c>
      <c r="K1139" t="s">
        <v>2342</v>
      </c>
      <c r="L1139" t="s">
        <v>2343</v>
      </c>
    </row>
    <row r="1140" spans="1:12" ht="15" customHeight="1" x14ac:dyDescent="0.25">
      <c r="A1140">
        <v>1139</v>
      </c>
      <c r="B1140" s="5">
        <v>45973</v>
      </c>
      <c r="C1140" t="s">
        <v>33</v>
      </c>
      <c r="D1140" t="s">
        <v>79</v>
      </c>
      <c r="E1140" t="s">
        <v>80</v>
      </c>
      <c r="F1140" t="s">
        <v>76</v>
      </c>
      <c r="G1140" s="6">
        <v>3638.78</v>
      </c>
      <c r="H1140" s="7">
        <v>0.2</v>
      </c>
      <c r="I1140" s="6">
        <v>727.76</v>
      </c>
      <c r="J1140" s="6">
        <v>4366.54</v>
      </c>
      <c r="K1140" t="s">
        <v>2344</v>
      </c>
      <c r="L1140" t="s">
        <v>2345</v>
      </c>
    </row>
    <row r="1141" spans="1:12" ht="15" customHeight="1" x14ac:dyDescent="0.25">
      <c r="A1141">
        <v>1140</v>
      </c>
      <c r="B1141" s="5">
        <v>45933</v>
      </c>
      <c r="C1141" t="s">
        <v>33</v>
      </c>
      <c r="D1141" t="s">
        <v>42</v>
      </c>
      <c r="E1141" t="s">
        <v>43</v>
      </c>
      <c r="F1141" t="s">
        <v>44</v>
      </c>
      <c r="G1141" s="6">
        <v>3685.18</v>
      </c>
      <c r="H1141" s="7">
        <v>0</v>
      </c>
      <c r="I1141" s="6">
        <v>0</v>
      </c>
      <c r="J1141" s="6">
        <v>3685.18</v>
      </c>
      <c r="K1141" t="s">
        <v>2346</v>
      </c>
      <c r="L1141" t="s">
        <v>2347</v>
      </c>
    </row>
    <row r="1142" spans="1:12" ht="15" customHeight="1" x14ac:dyDescent="0.25">
      <c r="A1142">
        <v>1141</v>
      </c>
      <c r="B1142" s="5">
        <v>45778</v>
      </c>
      <c r="C1142" t="s">
        <v>27</v>
      </c>
      <c r="D1142" t="s">
        <v>28</v>
      </c>
      <c r="E1142" t="s">
        <v>29</v>
      </c>
      <c r="F1142" t="s">
        <v>84</v>
      </c>
      <c r="G1142" s="6">
        <v>3268.6</v>
      </c>
      <c r="H1142" s="7">
        <v>2.1000000000000001E-2</v>
      </c>
      <c r="I1142" s="6">
        <v>68.64</v>
      </c>
      <c r="J1142" s="6">
        <v>3337.24</v>
      </c>
      <c r="K1142" t="s">
        <v>2348</v>
      </c>
      <c r="L1142" t="s">
        <v>2349</v>
      </c>
    </row>
    <row r="1143" spans="1:12" ht="15" customHeight="1" x14ac:dyDescent="0.25">
      <c r="A1143">
        <v>1142</v>
      </c>
      <c r="B1143" s="5">
        <v>45824</v>
      </c>
      <c r="C1143" t="s">
        <v>47</v>
      </c>
      <c r="D1143" t="s">
        <v>63</v>
      </c>
      <c r="E1143" t="s">
        <v>64</v>
      </c>
      <c r="F1143" t="s">
        <v>87</v>
      </c>
      <c r="G1143" s="6">
        <v>1096.8800000000001</v>
      </c>
      <c r="H1143" s="7">
        <v>0.2</v>
      </c>
      <c r="I1143" s="6">
        <v>219.38</v>
      </c>
      <c r="J1143" s="6">
        <v>1316.26</v>
      </c>
      <c r="K1143" t="s">
        <v>2350</v>
      </c>
      <c r="L1143" t="s">
        <v>2351</v>
      </c>
    </row>
    <row r="1144" spans="1:12" ht="15" customHeight="1" x14ac:dyDescent="0.25">
      <c r="A1144">
        <v>1143</v>
      </c>
      <c r="B1144" s="5">
        <v>45869</v>
      </c>
      <c r="C1144" t="s">
        <v>33</v>
      </c>
      <c r="D1144" t="s">
        <v>28</v>
      </c>
      <c r="E1144" t="s">
        <v>29</v>
      </c>
      <c r="F1144" t="s">
        <v>36</v>
      </c>
      <c r="G1144" s="6">
        <v>3924.9</v>
      </c>
      <c r="H1144" s="7">
        <v>2.1000000000000001E-2</v>
      </c>
      <c r="I1144" s="6">
        <v>82.42</v>
      </c>
      <c r="J1144" s="6">
        <v>4007.32</v>
      </c>
      <c r="K1144" t="s">
        <v>2352</v>
      </c>
      <c r="L1144" t="s">
        <v>2353</v>
      </c>
    </row>
    <row r="1145" spans="1:12" ht="15" customHeight="1" x14ac:dyDescent="0.25">
      <c r="A1145">
        <v>1144</v>
      </c>
      <c r="B1145" s="5">
        <v>45685</v>
      </c>
      <c r="C1145" t="s">
        <v>33</v>
      </c>
      <c r="D1145" t="s">
        <v>79</v>
      </c>
      <c r="E1145" t="s">
        <v>80</v>
      </c>
      <c r="F1145" t="s">
        <v>30</v>
      </c>
      <c r="G1145" s="6">
        <v>4015.96</v>
      </c>
      <c r="H1145" s="7">
        <v>0.2</v>
      </c>
      <c r="I1145" s="6">
        <v>803.19</v>
      </c>
      <c r="J1145" s="6">
        <v>4819.1499999999996</v>
      </c>
      <c r="K1145" t="s">
        <v>2354</v>
      </c>
      <c r="L1145" t="s">
        <v>2355</v>
      </c>
    </row>
    <row r="1146" spans="1:12" ht="15" customHeight="1" x14ac:dyDescent="0.25">
      <c r="A1146">
        <v>1145</v>
      </c>
      <c r="B1146" s="5">
        <v>45856</v>
      </c>
      <c r="C1146" t="s">
        <v>27</v>
      </c>
      <c r="D1146" t="s">
        <v>79</v>
      </c>
      <c r="E1146" t="s">
        <v>80</v>
      </c>
      <c r="F1146" t="s">
        <v>76</v>
      </c>
      <c r="G1146" s="6">
        <v>1730.8</v>
      </c>
      <c r="H1146" s="7">
        <v>0.2</v>
      </c>
      <c r="I1146" s="6">
        <v>346.16</v>
      </c>
      <c r="J1146" s="6">
        <v>2076.96</v>
      </c>
      <c r="K1146" t="s">
        <v>2356</v>
      </c>
      <c r="L1146" t="s">
        <v>2357</v>
      </c>
    </row>
    <row r="1147" spans="1:12" ht="15" customHeight="1" x14ac:dyDescent="0.25">
      <c r="A1147">
        <v>1146</v>
      </c>
      <c r="B1147" s="5">
        <v>45796</v>
      </c>
      <c r="C1147" t="s">
        <v>33</v>
      </c>
      <c r="D1147" t="s">
        <v>181</v>
      </c>
      <c r="E1147" t="s">
        <v>182</v>
      </c>
      <c r="F1147" t="s">
        <v>30</v>
      </c>
      <c r="G1147" s="6">
        <v>973.77</v>
      </c>
      <c r="H1147" s="7">
        <v>0.2</v>
      </c>
      <c r="I1147" s="6">
        <v>194.75</v>
      </c>
      <c r="J1147" s="6">
        <v>1168.52</v>
      </c>
      <c r="K1147" t="s">
        <v>2358</v>
      </c>
      <c r="L1147" t="s">
        <v>2359</v>
      </c>
    </row>
    <row r="1148" spans="1:12" ht="15" customHeight="1" x14ac:dyDescent="0.25">
      <c r="A1148">
        <v>1147</v>
      </c>
      <c r="B1148" s="5">
        <v>45727</v>
      </c>
      <c r="C1148" t="s">
        <v>27</v>
      </c>
      <c r="D1148" t="s">
        <v>172</v>
      </c>
      <c r="E1148" t="s">
        <v>173</v>
      </c>
      <c r="F1148" t="s">
        <v>76</v>
      </c>
      <c r="G1148" s="6">
        <v>571.1</v>
      </c>
      <c r="H1148" s="7">
        <v>0.2</v>
      </c>
      <c r="I1148" s="6">
        <v>114.22</v>
      </c>
      <c r="J1148" s="6">
        <v>685.32</v>
      </c>
      <c r="K1148" t="s">
        <v>2360</v>
      </c>
      <c r="L1148" t="s">
        <v>2361</v>
      </c>
    </row>
    <row r="1149" spans="1:12" ht="15" customHeight="1" x14ac:dyDescent="0.25">
      <c r="A1149">
        <v>1148</v>
      </c>
      <c r="B1149" s="5">
        <v>45833</v>
      </c>
      <c r="C1149" t="s">
        <v>47</v>
      </c>
      <c r="D1149" t="s">
        <v>28</v>
      </c>
      <c r="E1149" t="s">
        <v>29</v>
      </c>
      <c r="F1149" t="s">
        <v>174</v>
      </c>
      <c r="G1149" s="6">
        <v>1051.75</v>
      </c>
      <c r="H1149" s="7">
        <v>2.1000000000000001E-2</v>
      </c>
      <c r="I1149" s="6">
        <v>22.09</v>
      </c>
      <c r="J1149" s="6">
        <v>1073.8399999999999</v>
      </c>
      <c r="K1149" t="s">
        <v>2362</v>
      </c>
      <c r="L1149" t="s">
        <v>2363</v>
      </c>
    </row>
    <row r="1150" spans="1:12" ht="15" customHeight="1" x14ac:dyDescent="0.25">
      <c r="A1150">
        <v>1149</v>
      </c>
      <c r="B1150" s="5">
        <v>45971</v>
      </c>
      <c r="C1150" t="s">
        <v>33</v>
      </c>
      <c r="D1150" t="s">
        <v>42</v>
      </c>
      <c r="E1150" t="s">
        <v>43</v>
      </c>
      <c r="F1150" t="s">
        <v>44</v>
      </c>
      <c r="G1150" s="6">
        <v>3187.49</v>
      </c>
      <c r="H1150" s="7">
        <v>0</v>
      </c>
      <c r="I1150" s="6">
        <v>0</v>
      </c>
      <c r="J1150" s="6">
        <v>3187.49</v>
      </c>
      <c r="K1150" t="s">
        <v>2364</v>
      </c>
      <c r="L1150" t="s">
        <v>2365</v>
      </c>
    </row>
    <row r="1151" spans="1:12" ht="15" customHeight="1" x14ac:dyDescent="0.25">
      <c r="A1151">
        <v>1150</v>
      </c>
      <c r="B1151" s="5">
        <v>45925</v>
      </c>
      <c r="C1151" t="s">
        <v>33</v>
      </c>
      <c r="D1151" t="s">
        <v>28</v>
      </c>
      <c r="E1151" t="s">
        <v>29</v>
      </c>
      <c r="F1151" t="s">
        <v>71</v>
      </c>
      <c r="G1151" s="6">
        <v>2242.3200000000002</v>
      </c>
      <c r="H1151" s="7">
        <v>2.1000000000000001E-2</v>
      </c>
      <c r="I1151" s="6">
        <v>47.09</v>
      </c>
      <c r="J1151" s="6">
        <v>2289.41</v>
      </c>
      <c r="K1151" t="s">
        <v>2366</v>
      </c>
      <c r="L1151" t="s">
        <v>2367</v>
      </c>
    </row>
    <row r="1152" spans="1:12" ht="15" customHeight="1" x14ac:dyDescent="0.25">
      <c r="A1152">
        <v>1151</v>
      </c>
      <c r="B1152" s="5">
        <v>45800</v>
      </c>
      <c r="C1152" t="s">
        <v>47</v>
      </c>
      <c r="D1152" t="s">
        <v>42</v>
      </c>
      <c r="E1152" t="s">
        <v>43</v>
      </c>
      <c r="F1152" t="s">
        <v>44</v>
      </c>
      <c r="G1152" s="6">
        <v>2827.46</v>
      </c>
      <c r="H1152" s="7">
        <v>0</v>
      </c>
      <c r="I1152" s="6">
        <v>0</v>
      </c>
      <c r="J1152" s="6">
        <v>2827.46</v>
      </c>
      <c r="K1152" t="s">
        <v>2368</v>
      </c>
      <c r="L1152" t="s">
        <v>2369</v>
      </c>
    </row>
    <row r="1153" spans="1:13" ht="15" customHeight="1" x14ac:dyDescent="0.25">
      <c r="A1153">
        <v>1152</v>
      </c>
      <c r="B1153" s="5">
        <v>45954</v>
      </c>
      <c r="C1153" t="s">
        <v>33</v>
      </c>
      <c r="D1153" t="s">
        <v>55</v>
      </c>
      <c r="E1153" t="s">
        <v>56</v>
      </c>
      <c r="F1153" t="s">
        <v>84</v>
      </c>
      <c r="G1153" s="6">
        <v>1063.04</v>
      </c>
      <c r="H1153" s="7">
        <v>5.5E-2</v>
      </c>
      <c r="I1153" s="6">
        <v>58.47</v>
      </c>
      <c r="J1153" s="6">
        <v>1121.51</v>
      </c>
      <c r="K1153" t="s">
        <v>2370</v>
      </c>
      <c r="L1153" t="s">
        <v>2371</v>
      </c>
    </row>
    <row r="1154" spans="1:13" ht="15" customHeight="1" x14ac:dyDescent="0.25">
      <c r="A1154">
        <v>1153</v>
      </c>
      <c r="B1154" s="5">
        <v>45680</v>
      </c>
      <c r="C1154" t="s">
        <v>27</v>
      </c>
      <c r="D1154" t="s">
        <v>100</v>
      </c>
      <c r="E1154" t="s">
        <v>101</v>
      </c>
      <c r="F1154" t="s">
        <v>44</v>
      </c>
      <c r="G1154" s="6">
        <v>2929.57</v>
      </c>
      <c r="H1154" s="7">
        <v>0</v>
      </c>
      <c r="I1154" s="6">
        <v>0</v>
      </c>
      <c r="J1154" s="6">
        <v>2929.57</v>
      </c>
      <c r="K1154" t="s">
        <v>2372</v>
      </c>
      <c r="L1154" t="s">
        <v>2373</v>
      </c>
    </row>
    <row r="1155" spans="1:13" ht="15" customHeight="1" x14ac:dyDescent="0.25">
      <c r="A1155">
        <v>1154</v>
      </c>
      <c r="B1155" s="5">
        <v>45929</v>
      </c>
      <c r="C1155" t="s">
        <v>27</v>
      </c>
      <c r="D1155" t="s">
        <v>28</v>
      </c>
      <c r="E1155" t="s">
        <v>29</v>
      </c>
      <c r="F1155" t="s">
        <v>81</v>
      </c>
      <c r="G1155" s="6">
        <v>1822.9</v>
      </c>
      <c r="H1155" s="7">
        <v>2.1000000000000001E-2</v>
      </c>
      <c r="I1155" s="6">
        <v>38.28</v>
      </c>
      <c r="J1155" s="6">
        <v>1861.18</v>
      </c>
      <c r="K1155" t="s">
        <v>2374</v>
      </c>
      <c r="L1155" t="s">
        <v>2375</v>
      </c>
    </row>
    <row r="1156" spans="1:13" ht="15" customHeight="1" x14ac:dyDescent="0.25">
      <c r="A1156">
        <v>1155</v>
      </c>
      <c r="B1156" s="5">
        <v>45700</v>
      </c>
      <c r="C1156" t="s">
        <v>33</v>
      </c>
      <c r="D1156" t="s">
        <v>79</v>
      </c>
      <c r="E1156" t="s">
        <v>80</v>
      </c>
      <c r="F1156" t="s">
        <v>39</v>
      </c>
      <c r="G1156" s="6">
        <v>2548.5100000000002</v>
      </c>
      <c r="H1156" s="7">
        <v>0.2</v>
      </c>
      <c r="I1156" s="6">
        <v>509.7</v>
      </c>
      <c r="J1156" s="6">
        <v>3058.21</v>
      </c>
      <c r="K1156" t="s">
        <v>2376</v>
      </c>
      <c r="M1156" t="s">
        <v>186</v>
      </c>
    </row>
    <row r="1157" spans="1:13" ht="15" customHeight="1" x14ac:dyDescent="0.25">
      <c r="A1157">
        <v>1156</v>
      </c>
      <c r="B1157" s="5">
        <v>45769</v>
      </c>
      <c r="C1157" t="s">
        <v>27</v>
      </c>
      <c r="D1157" t="s">
        <v>63</v>
      </c>
      <c r="E1157" t="s">
        <v>64</v>
      </c>
      <c r="F1157" t="s">
        <v>174</v>
      </c>
      <c r="G1157" s="6">
        <v>666.59</v>
      </c>
      <c r="H1157" s="7">
        <v>0.2</v>
      </c>
      <c r="I1157" s="6">
        <v>133.32</v>
      </c>
      <c r="J1157" s="6">
        <v>799.91</v>
      </c>
      <c r="K1157" t="s">
        <v>2377</v>
      </c>
      <c r="L1157" t="s">
        <v>2378</v>
      </c>
    </row>
    <row r="1158" spans="1:13" ht="15" customHeight="1" x14ac:dyDescent="0.25">
      <c r="A1158">
        <v>1157</v>
      </c>
      <c r="B1158" s="5">
        <v>45666</v>
      </c>
      <c r="C1158" t="s">
        <v>27</v>
      </c>
      <c r="D1158" t="s">
        <v>94</v>
      </c>
      <c r="E1158" t="s">
        <v>95</v>
      </c>
      <c r="F1158" t="s">
        <v>44</v>
      </c>
      <c r="G1158" s="6">
        <v>1262.0899999999999</v>
      </c>
      <c r="H1158" s="7">
        <v>0</v>
      </c>
      <c r="I1158" s="6">
        <v>0</v>
      </c>
      <c r="J1158" s="6">
        <v>1262.0899999999999</v>
      </c>
      <c r="K1158" t="s">
        <v>2379</v>
      </c>
      <c r="L1158" t="s">
        <v>2380</v>
      </c>
    </row>
    <row r="1159" spans="1:13" ht="15" customHeight="1" x14ac:dyDescent="0.25">
      <c r="A1159">
        <v>1158</v>
      </c>
      <c r="B1159" s="5">
        <v>45670</v>
      </c>
      <c r="C1159" t="s">
        <v>47</v>
      </c>
      <c r="D1159" t="s">
        <v>42</v>
      </c>
      <c r="E1159" t="s">
        <v>43</v>
      </c>
      <c r="F1159" t="s">
        <v>44</v>
      </c>
      <c r="G1159" s="6">
        <v>2913.03</v>
      </c>
      <c r="H1159" s="7">
        <v>0</v>
      </c>
      <c r="I1159" s="6">
        <v>0</v>
      </c>
      <c r="J1159" s="6">
        <v>2913.03</v>
      </c>
      <c r="K1159" t="s">
        <v>2381</v>
      </c>
      <c r="L1159" t="s">
        <v>2382</v>
      </c>
    </row>
    <row r="1160" spans="1:13" ht="15" customHeight="1" x14ac:dyDescent="0.25">
      <c r="A1160">
        <v>1159</v>
      </c>
      <c r="B1160" s="5">
        <v>45847</v>
      </c>
      <c r="C1160" t="s">
        <v>27</v>
      </c>
      <c r="D1160" t="s">
        <v>63</v>
      </c>
      <c r="E1160" t="s">
        <v>64</v>
      </c>
      <c r="F1160" t="s">
        <v>81</v>
      </c>
      <c r="G1160" s="6">
        <v>2850.5</v>
      </c>
      <c r="H1160" s="7">
        <v>0.2</v>
      </c>
      <c r="I1160" s="6">
        <v>570.1</v>
      </c>
      <c r="J1160" s="6">
        <v>3420.6</v>
      </c>
      <c r="K1160" t="s">
        <v>2383</v>
      </c>
      <c r="L1160" t="s">
        <v>2384</v>
      </c>
    </row>
    <row r="1161" spans="1:13" ht="15" customHeight="1" x14ac:dyDescent="0.25">
      <c r="A1161">
        <v>1160</v>
      </c>
      <c r="B1161" s="5">
        <v>45694</v>
      </c>
      <c r="C1161" t="s">
        <v>33</v>
      </c>
      <c r="D1161" t="s">
        <v>42</v>
      </c>
      <c r="E1161" t="s">
        <v>43</v>
      </c>
      <c r="F1161" t="s">
        <v>44</v>
      </c>
      <c r="G1161" s="6">
        <v>4000</v>
      </c>
      <c r="H1161" s="7">
        <v>0</v>
      </c>
      <c r="I1161" s="6">
        <v>0</v>
      </c>
      <c r="J1161" s="6">
        <v>4000</v>
      </c>
      <c r="K1161" t="s">
        <v>2385</v>
      </c>
      <c r="L1161" t="s">
        <v>2386</v>
      </c>
      <c r="M1161" t="s">
        <v>143</v>
      </c>
    </row>
    <row r="1162" spans="1:13" ht="15" customHeight="1" x14ac:dyDescent="0.25">
      <c r="A1162">
        <v>1161</v>
      </c>
      <c r="B1162" s="5">
        <v>45796</v>
      </c>
      <c r="C1162" t="s">
        <v>33</v>
      </c>
      <c r="D1162" t="s">
        <v>55</v>
      </c>
      <c r="E1162" t="s">
        <v>56</v>
      </c>
      <c r="F1162" t="s">
        <v>84</v>
      </c>
      <c r="G1162" s="6">
        <v>3165.4</v>
      </c>
      <c r="H1162" s="7">
        <v>5.5E-2</v>
      </c>
      <c r="I1162" s="6">
        <v>174.1</v>
      </c>
      <c r="J1162" s="6">
        <v>3339.5</v>
      </c>
      <c r="K1162" t="s">
        <v>2387</v>
      </c>
      <c r="L1162" t="s">
        <v>2388</v>
      </c>
    </row>
    <row r="1163" spans="1:13" ht="15" customHeight="1" x14ac:dyDescent="0.25">
      <c r="A1163">
        <v>1162</v>
      </c>
      <c r="B1163" s="5">
        <v>46008</v>
      </c>
      <c r="C1163" t="s">
        <v>27</v>
      </c>
      <c r="D1163" t="s">
        <v>42</v>
      </c>
      <c r="E1163" t="s">
        <v>43</v>
      </c>
      <c r="F1163" t="s">
        <v>44</v>
      </c>
      <c r="G1163" s="6">
        <v>3914.03</v>
      </c>
      <c r="H1163" s="7">
        <v>0</v>
      </c>
      <c r="I1163" s="6">
        <v>0</v>
      </c>
      <c r="J1163" s="6">
        <v>3914.03</v>
      </c>
      <c r="K1163" t="s">
        <v>2389</v>
      </c>
      <c r="L1163" t="s">
        <v>2390</v>
      </c>
    </row>
    <row r="1164" spans="1:13" ht="15" customHeight="1" x14ac:dyDescent="0.25">
      <c r="A1164">
        <v>1163</v>
      </c>
      <c r="B1164" s="5">
        <v>46003</v>
      </c>
      <c r="C1164" t="s">
        <v>33</v>
      </c>
      <c r="D1164" t="s">
        <v>172</v>
      </c>
      <c r="E1164" t="s">
        <v>173</v>
      </c>
      <c r="F1164" t="s">
        <v>39</v>
      </c>
      <c r="G1164" s="6">
        <v>1688.84</v>
      </c>
      <c r="H1164" s="7">
        <v>0.2</v>
      </c>
      <c r="I1164" s="6">
        <v>337.77</v>
      </c>
      <c r="J1164" s="6">
        <v>2026.61</v>
      </c>
      <c r="K1164" t="s">
        <v>2391</v>
      </c>
      <c r="L1164" t="s">
        <v>2392</v>
      </c>
    </row>
    <row r="1165" spans="1:13" ht="15" customHeight="1" x14ac:dyDescent="0.25">
      <c r="A1165">
        <v>1164</v>
      </c>
      <c r="B1165" s="5">
        <v>45974</v>
      </c>
      <c r="C1165" t="s">
        <v>47</v>
      </c>
      <c r="D1165" t="s">
        <v>55</v>
      </c>
      <c r="E1165" t="s">
        <v>56</v>
      </c>
      <c r="F1165" t="s">
        <v>50</v>
      </c>
      <c r="G1165" s="6">
        <v>260.66000000000003</v>
      </c>
      <c r="H1165" s="7">
        <v>5.5E-2</v>
      </c>
      <c r="I1165" s="6">
        <v>14.34</v>
      </c>
      <c r="J1165" s="6">
        <v>275</v>
      </c>
      <c r="K1165" t="s">
        <v>2393</v>
      </c>
      <c r="L1165" t="s">
        <v>2394</v>
      </c>
    </row>
    <row r="1166" spans="1:13" ht="15" customHeight="1" x14ac:dyDescent="0.25">
      <c r="A1166">
        <v>1165</v>
      </c>
      <c r="B1166" s="5">
        <v>45692</v>
      </c>
      <c r="C1166" t="s">
        <v>27</v>
      </c>
      <c r="D1166" t="s">
        <v>172</v>
      </c>
      <c r="E1166" t="s">
        <v>173</v>
      </c>
      <c r="F1166" t="s">
        <v>71</v>
      </c>
      <c r="G1166" s="6">
        <v>2558.5500000000002</v>
      </c>
      <c r="H1166" s="7">
        <v>0.2</v>
      </c>
      <c r="I1166" s="6">
        <v>511.71</v>
      </c>
      <c r="J1166" s="6">
        <v>3070.26</v>
      </c>
      <c r="K1166" t="s">
        <v>2395</v>
      </c>
      <c r="L1166" t="s">
        <v>2396</v>
      </c>
    </row>
    <row r="1167" spans="1:13" ht="15" customHeight="1" x14ac:dyDescent="0.25">
      <c r="A1167">
        <v>1166</v>
      </c>
      <c r="B1167" s="5">
        <v>45716</v>
      </c>
      <c r="C1167" t="s">
        <v>47</v>
      </c>
      <c r="D1167" t="s">
        <v>55</v>
      </c>
      <c r="E1167" t="s">
        <v>56</v>
      </c>
      <c r="F1167" t="s">
        <v>81</v>
      </c>
      <c r="G1167" s="6">
        <v>2948.75</v>
      </c>
      <c r="H1167" s="7">
        <v>5.5E-2</v>
      </c>
      <c r="I1167" s="6">
        <v>162.18</v>
      </c>
      <c r="J1167" s="6">
        <v>3110.93</v>
      </c>
      <c r="K1167" t="s">
        <v>2397</v>
      </c>
      <c r="L1167" t="s">
        <v>2398</v>
      </c>
    </row>
    <row r="1168" spans="1:13" ht="15" customHeight="1" x14ac:dyDescent="0.25">
      <c r="A1168">
        <v>1167</v>
      </c>
      <c r="B1168" s="5">
        <v>46017</v>
      </c>
      <c r="C1168" t="s">
        <v>27</v>
      </c>
      <c r="D1168" t="s">
        <v>100</v>
      </c>
      <c r="E1168" t="s">
        <v>101</v>
      </c>
      <c r="F1168" t="s">
        <v>44</v>
      </c>
      <c r="G1168" s="6">
        <v>3588.04</v>
      </c>
      <c r="H1168" s="7">
        <v>0</v>
      </c>
      <c r="I1168" s="6">
        <v>0</v>
      </c>
      <c r="J1168" s="6">
        <v>3588.04</v>
      </c>
      <c r="K1168" t="s">
        <v>2399</v>
      </c>
      <c r="L1168" t="s">
        <v>2400</v>
      </c>
    </row>
    <row r="1169" spans="1:13" ht="15" customHeight="1" x14ac:dyDescent="0.25">
      <c r="A1169">
        <v>1168</v>
      </c>
      <c r="B1169" s="5">
        <v>45654</v>
      </c>
      <c r="C1169" t="s">
        <v>47</v>
      </c>
      <c r="D1169" t="s">
        <v>55</v>
      </c>
      <c r="E1169" t="s">
        <v>56</v>
      </c>
      <c r="F1169" t="s">
        <v>174</v>
      </c>
      <c r="G1169" s="6">
        <v>3086.6</v>
      </c>
      <c r="H1169" s="7">
        <v>5.5E-2</v>
      </c>
      <c r="I1169" s="6">
        <v>169.76</v>
      </c>
      <c r="J1169" s="6">
        <v>3256.36</v>
      </c>
      <c r="K1169" t="s">
        <v>2401</v>
      </c>
      <c r="L1169" t="s">
        <v>2402</v>
      </c>
      <c r="M1169" t="s">
        <v>1282</v>
      </c>
    </row>
    <row r="1170" spans="1:13" ht="15" customHeight="1" x14ac:dyDescent="0.25">
      <c r="A1170">
        <v>1169</v>
      </c>
      <c r="B1170" s="5">
        <v>45889</v>
      </c>
      <c r="C1170" t="s">
        <v>33</v>
      </c>
      <c r="D1170" t="s">
        <v>63</v>
      </c>
      <c r="E1170" t="s">
        <v>64</v>
      </c>
      <c r="F1170" t="s">
        <v>106</v>
      </c>
      <c r="G1170" s="6">
        <v>2229.12</v>
      </c>
      <c r="H1170" s="7">
        <v>0.2</v>
      </c>
      <c r="I1170" s="6">
        <v>445.82</v>
      </c>
      <c r="J1170" s="6">
        <v>2674.94</v>
      </c>
      <c r="K1170" t="s">
        <v>2403</v>
      </c>
      <c r="L1170" t="s">
        <v>2404</v>
      </c>
    </row>
    <row r="1171" spans="1:13" ht="15" customHeight="1" x14ac:dyDescent="0.25">
      <c r="A1171">
        <v>1170</v>
      </c>
      <c r="B1171" s="5">
        <v>45930</v>
      </c>
      <c r="C1171" t="s">
        <v>33</v>
      </c>
      <c r="D1171" t="s">
        <v>79</v>
      </c>
      <c r="E1171" t="s">
        <v>80</v>
      </c>
      <c r="F1171" t="s">
        <v>106</v>
      </c>
      <c r="G1171" s="6">
        <v>3078.12</v>
      </c>
      <c r="H1171" s="7">
        <v>0.2</v>
      </c>
      <c r="I1171" s="6">
        <v>615.62</v>
      </c>
      <c r="J1171" s="6">
        <v>3693.74</v>
      </c>
      <c r="K1171" t="s">
        <v>2405</v>
      </c>
      <c r="L1171" t="s">
        <v>2406</v>
      </c>
    </row>
    <row r="1172" spans="1:13" ht="15" customHeight="1" x14ac:dyDescent="0.25">
      <c r="A1172">
        <v>1171</v>
      </c>
      <c r="B1172" s="5">
        <v>46002</v>
      </c>
      <c r="C1172" t="s">
        <v>47</v>
      </c>
      <c r="D1172" t="s">
        <v>181</v>
      </c>
      <c r="E1172" t="s">
        <v>182</v>
      </c>
      <c r="F1172" t="s">
        <v>87</v>
      </c>
      <c r="G1172" s="6">
        <v>4258.51</v>
      </c>
      <c r="H1172" s="7">
        <v>0.2</v>
      </c>
      <c r="I1172" s="6">
        <v>851.7</v>
      </c>
      <c r="J1172" s="6">
        <v>5110.21</v>
      </c>
      <c r="K1172" t="s">
        <v>2407</v>
      </c>
      <c r="L1172" t="s">
        <v>2408</v>
      </c>
    </row>
    <row r="1173" spans="1:13" ht="15" customHeight="1" x14ac:dyDescent="0.25">
      <c r="A1173">
        <v>1172</v>
      </c>
      <c r="B1173" s="5">
        <v>45749</v>
      </c>
      <c r="C1173" t="s">
        <v>47</v>
      </c>
      <c r="D1173" t="s">
        <v>28</v>
      </c>
      <c r="E1173" t="s">
        <v>29</v>
      </c>
      <c r="F1173" t="s">
        <v>87</v>
      </c>
      <c r="G1173" s="6">
        <v>1354.61</v>
      </c>
      <c r="H1173" s="7">
        <v>2.1000000000000001E-2</v>
      </c>
      <c r="I1173" s="6">
        <v>28.45</v>
      </c>
      <c r="J1173" s="6">
        <v>1383.06</v>
      </c>
      <c r="K1173" t="s">
        <v>2409</v>
      </c>
      <c r="L1173" t="s">
        <v>2410</v>
      </c>
    </row>
    <row r="1174" spans="1:13" ht="15" customHeight="1" x14ac:dyDescent="0.25">
      <c r="A1174">
        <v>1173</v>
      </c>
      <c r="B1174" s="5">
        <v>46014</v>
      </c>
      <c r="C1174" t="s">
        <v>33</v>
      </c>
      <c r="D1174" t="s">
        <v>55</v>
      </c>
      <c r="E1174" t="s">
        <v>56</v>
      </c>
      <c r="F1174" t="s">
        <v>30</v>
      </c>
      <c r="G1174" s="6">
        <v>733.96</v>
      </c>
      <c r="H1174" s="7">
        <v>5.5E-2</v>
      </c>
      <c r="I1174" s="6">
        <v>40.369999999999997</v>
      </c>
      <c r="J1174" s="6">
        <v>774.33</v>
      </c>
      <c r="K1174" t="s">
        <v>2411</v>
      </c>
      <c r="L1174" t="s">
        <v>2412</v>
      </c>
    </row>
    <row r="1175" spans="1:13" ht="15" customHeight="1" x14ac:dyDescent="0.25">
      <c r="A1175">
        <v>1174</v>
      </c>
      <c r="B1175" s="5">
        <v>46007</v>
      </c>
      <c r="C1175" t="s">
        <v>27</v>
      </c>
      <c r="D1175" t="s">
        <v>100</v>
      </c>
      <c r="E1175" t="s">
        <v>101</v>
      </c>
      <c r="F1175" t="s">
        <v>44</v>
      </c>
      <c r="G1175" s="6">
        <v>2116.87</v>
      </c>
      <c r="H1175" s="7">
        <v>0</v>
      </c>
      <c r="I1175" s="6">
        <v>0</v>
      </c>
      <c r="J1175" s="6">
        <v>2116.87</v>
      </c>
      <c r="K1175" t="s">
        <v>2413</v>
      </c>
      <c r="L1175" t="s">
        <v>2414</v>
      </c>
    </row>
    <row r="1176" spans="1:13" ht="15" customHeight="1" x14ac:dyDescent="0.25">
      <c r="A1176">
        <v>1175</v>
      </c>
      <c r="B1176" s="5">
        <v>45988</v>
      </c>
      <c r="C1176" t="s">
        <v>47</v>
      </c>
      <c r="D1176" t="s">
        <v>79</v>
      </c>
      <c r="E1176" t="s">
        <v>80</v>
      </c>
      <c r="F1176" t="s">
        <v>71</v>
      </c>
      <c r="G1176" s="6">
        <v>174.95</v>
      </c>
      <c r="H1176" s="7">
        <v>0.2</v>
      </c>
      <c r="I1176" s="6">
        <v>34.99</v>
      </c>
      <c r="J1176" s="6">
        <v>209.94</v>
      </c>
      <c r="K1176" t="s">
        <v>2415</v>
      </c>
      <c r="L1176" t="s">
        <v>2416</v>
      </c>
    </row>
    <row r="1177" spans="1:13" ht="15" customHeight="1" x14ac:dyDescent="0.25">
      <c r="A1177">
        <v>1176</v>
      </c>
      <c r="B1177" s="5">
        <v>45776</v>
      </c>
      <c r="C1177" t="s">
        <v>33</v>
      </c>
      <c r="D1177" t="s">
        <v>100</v>
      </c>
      <c r="E1177" t="s">
        <v>101</v>
      </c>
      <c r="F1177" t="s">
        <v>44</v>
      </c>
      <c r="G1177" s="6">
        <v>3047.09</v>
      </c>
      <c r="H1177" s="7">
        <v>0</v>
      </c>
      <c r="I1177" s="6">
        <v>0</v>
      </c>
      <c r="J1177" s="6">
        <v>3047.09</v>
      </c>
      <c r="K1177" t="s">
        <v>2417</v>
      </c>
      <c r="L1177" t="s">
        <v>2418</v>
      </c>
    </row>
    <row r="1178" spans="1:13" ht="15" customHeight="1" x14ac:dyDescent="0.25">
      <c r="A1178">
        <v>1177</v>
      </c>
      <c r="B1178" s="5">
        <v>45993</v>
      </c>
      <c r="C1178" t="s">
        <v>47</v>
      </c>
      <c r="D1178" t="s">
        <v>172</v>
      </c>
      <c r="E1178" t="s">
        <v>173</v>
      </c>
      <c r="F1178" t="s">
        <v>50</v>
      </c>
      <c r="G1178" s="6">
        <v>2935.55</v>
      </c>
      <c r="H1178" s="7">
        <v>0.2</v>
      </c>
      <c r="I1178" s="6">
        <v>587.11</v>
      </c>
      <c r="J1178" s="6">
        <v>3522.66</v>
      </c>
      <c r="K1178" t="s">
        <v>2419</v>
      </c>
      <c r="L1178" t="s">
        <v>2420</v>
      </c>
    </row>
    <row r="1179" spans="1:13" ht="15" customHeight="1" x14ac:dyDescent="0.25">
      <c r="A1179">
        <v>1178</v>
      </c>
      <c r="B1179" s="5">
        <v>45929</v>
      </c>
      <c r="C1179" t="s">
        <v>27</v>
      </c>
      <c r="D1179" t="s">
        <v>34</v>
      </c>
      <c r="E1179" t="s">
        <v>35</v>
      </c>
      <c r="F1179" t="s">
        <v>76</v>
      </c>
      <c r="G1179" s="6">
        <v>3801.23</v>
      </c>
      <c r="H1179" s="7">
        <v>0.2</v>
      </c>
      <c r="I1179" s="6">
        <v>760.25</v>
      </c>
      <c r="J1179" s="6">
        <v>4561.4799999999996</v>
      </c>
      <c r="K1179" t="s">
        <v>2421</v>
      </c>
      <c r="L1179" t="s">
        <v>2422</v>
      </c>
    </row>
    <row r="1180" spans="1:13" ht="15" customHeight="1" x14ac:dyDescent="0.25">
      <c r="A1180">
        <v>1179</v>
      </c>
      <c r="B1180" s="5">
        <v>45814</v>
      </c>
      <c r="C1180" t="s">
        <v>47</v>
      </c>
      <c r="D1180" t="s">
        <v>172</v>
      </c>
      <c r="E1180" t="s">
        <v>173</v>
      </c>
      <c r="F1180" t="s">
        <v>174</v>
      </c>
      <c r="G1180" s="6">
        <v>839.08</v>
      </c>
      <c r="H1180" s="7">
        <v>0.2</v>
      </c>
      <c r="I1180" s="6">
        <v>167.82</v>
      </c>
      <c r="J1180" s="6">
        <v>1006.9</v>
      </c>
      <c r="K1180" t="s">
        <v>2423</v>
      </c>
      <c r="M1180" t="s">
        <v>186</v>
      </c>
    </row>
    <row r="1181" spans="1:13" ht="15" customHeight="1" x14ac:dyDescent="0.25">
      <c r="A1181">
        <v>1180</v>
      </c>
      <c r="B1181" s="5">
        <v>45805</v>
      </c>
      <c r="C1181" t="s">
        <v>47</v>
      </c>
      <c r="D1181" t="s">
        <v>63</v>
      </c>
      <c r="E1181" t="s">
        <v>64</v>
      </c>
      <c r="F1181" t="s">
        <v>39</v>
      </c>
      <c r="G1181" s="6">
        <v>3482.29</v>
      </c>
      <c r="H1181" s="7">
        <v>0.2</v>
      </c>
      <c r="I1181" s="6">
        <v>696.46</v>
      </c>
      <c r="J1181" s="6">
        <v>4178.75</v>
      </c>
      <c r="K1181" t="s">
        <v>2424</v>
      </c>
      <c r="L1181" t="s">
        <v>2425</v>
      </c>
    </row>
    <row r="1182" spans="1:13" ht="15" customHeight="1" x14ac:dyDescent="0.25">
      <c r="A1182">
        <v>1181</v>
      </c>
      <c r="B1182" s="5">
        <v>45743</v>
      </c>
      <c r="C1182" t="s">
        <v>47</v>
      </c>
      <c r="D1182" t="s">
        <v>55</v>
      </c>
      <c r="E1182" t="s">
        <v>56</v>
      </c>
      <c r="F1182" t="s">
        <v>30</v>
      </c>
      <c r="G1182" s="6">
        <v>2814.35</v>
      </c>
      <c r="H1182" s="7">
        <v>5.5E-2</v>
      </c>
      <c r="I1182" s="6">
        <v>154.79</v>
      </c>
      <c r="J1182" s="6">
        <v>2969.14</v>
      </c>
      <c r="K1182" t="s">
        <v>2426</v>
      </c>
      <c r="L1182" t="s">
        <v>2427</v>
      </c>
    </row>
    <row r="1183" spans="1:13" ht="15" customHeight="1" x14ac:dyDescent="0.25">
      <c r="A1183">
        <v>1182</v>
      </c>
      <c r="B1183" s="5">
        <v>45747</v>
      </c>
      <c r="C1183" t="s">
        <v>27</v>
      </c>
      <c r="D1183" t="s">
        <v>55</v>
      </c>
      <c r="E1183" t="s">
        <v>56</v>
      </c>
      <c r="F1183" t="s">
        <v>81</v>
      </c>
      <c r="G1183" s="6">
        <v>3789.85</v>
      </c>
      <c r="H1183" s="7">
        <v>5.5E-2</v>
      </c>
      <c r="I1183" s="6">
        <v>208.44</v>
      </c>
      <c r="J1183" s="6">
        <v>3998.29</v>
      </c>
      <c r="K1183" t="s">
        <v>2428</v>
      </c>
      <c r="L1183" t="s">
        <v>2429</v>
      </c>
    </row>
    <row r="1184" spans="1:13" ht="15" customHeight="1" x14ac:dyDescent="0.25">
      <c r="A1184">
        <v>1183</v>
      </c>
      <c r="B1184" s="5">
        <v>45679</v>
      </c>
      <c r="C1184" t="s">
        <v>33</v>
      </c>
      <c r="D1184" t="s">
        <v>28</v>
      </c>
      <c r="E1184" t="s">
        <v>29</v>
      </c>
      <c r="F1184" t="s">
        <v>84</v>
      </c>
      <c r="G1184" s="6">
        <v>4472.4799999999996</v>
      </c>
      <c r="H1184" s="7">
        <v>2.1000000000000001E-2</v>
      </c>
      <c r="I1184" s="6">
        <v>93.92</v>
      </c>
      <c r="J1184" s="6">
        <v>4566.3999999999996</v>
      </c>
      <c r="K1184" t="s">
        <v>2430</v>
      </c>
      <c r="L1184" t="s">
        <v>2431</v>
      </c>
    </row>
    <row r="1185" spans="1:12" ht="15" customHeight="1" x14ac:dyDescent="0.25">
      <c r="A1185">
        <v>1184</v>
      </c>
      <c r="B1185" s="5">
        <v>45763</v>
      </c>
      <c r="C1185" t="s">
        <v>47</v>
      </c>
      <c r="D1185" t="s">
        <v>55</v>
      </c>
      <c r="E1185" t="s">
        <v>56</v>
      </c>
      <c r="F1185" t="s">
        <v>39</v>
      </c>
      <c r="G1185" s="6">
        <v>2566.19</v>
      </c>
      <c r="H1185" s="7">
        <v>5.5E-2</v>
      </c>
      <c r="I1185" s="6">
        <v>141.13999999999999</v>
      </c>
      <c r="J1185" s="6">
        <v>2707.33</v>
      </c>
      <c r="K1185" t="s">
        <v>2432</v>
      </c>
      <c r="L1185" t="s">
        <v>2433</v>
      </c>
    </row>
    <row r="1186" spans="1:12" ht="15" customHeight="1" x14ac:dyDescent="0.25">
      <c r="A1186">
        <v>1185</v>
      </c>
      <c r="B1186" s="5">
        <v>45733</v>
      </c>
      <c r="C1186" t="s">
        <v>47</v>
      </c>
      <c r="D1186" t="s">
        <v>94</v>
      </c>
      <c r="E1186" t="s">
        <v>95</v>
      </c>
      <c r="F1186" t="s">
        <v>44</v>
      </c>
      <c r="G1186" s="6">
        <v>1849.67</v>
      </c>
      <c r="H1186" s="7">
        <v>0</v>
      </c>
      <c r="I1186" s="6">
        <v>0</v>
      </c>
      <c r="J1186" s="6">
        <v>1849.67</v>
      </c>
      <c r="K1186" t="s">
        <v>2434</v>
      </c>
      <c r="L1186" t="s">
        <v>2435</v>
      </c>
    </row>
    <row r="1187" spans="1:12" ht="15" customHeight="1" x14ac:dyDescent="0.25">
      <c r="A1187">
        <v>1186</v>
      </c>
      <c r="B1187" s="5">
        <v>45670</v>
      </c>
      <c r="C1187" t="s">
        <v>27</v>
      </c>
      <c r="D1187" t="s">
        <v>55</v>
      </c>
      <c r="E1187" t="s">
        <v>56</v>
      </c>
      <c r="F1187" t="s">
        <v>76</v>
      </c>
      <c r="G1187" s="6">
        <v>1868.17</v>
      </c>
      <c r="H1187" s="7">
        <v>5.5E-2</v>
      </c>
      <c r="I1187" s="6">
        <v>102.75</v>
      </c>
      <c r="J1187" s="6">
        <v>1970.92</v>
      </c>
      <c r="K1187" t="s">
        <v>2436</v>
      </c>
      <c r="L1187" t="s">
        <v>2437</v>
      </c>
    </row>
    <row r="1188" spans="1:12" ht="15" customHeight="1" x14ac:dyDescent="0.25">
      <c r="A1188">
        <v>1187</v>
      </c>
      <c r="B1188" s="5">
        <v>45821</v>
      </c>
      <c r="C1188" t="s">
        <v>33</v>
      </c>
      <c r="D1188" t="s">
        <v>100</v>
      </c>
      <c r="E1188" t="s">
        <v>101</v>
      </c>
      <c r="F1188" t="s">
        <v>44</v>
      </c>
      <c r="G1188" s="6">
        <v>4128.3599999999997</v>
      </c>
      <c r="H1188" s="7">
        <v>0</v>
      </c>
      <c r="I1188" s="6">
        <v>0</v>
      </c>
      <c r="J1188" s="6">
        <v>4128.3599999999997</v>
      </c>
      <c r="K1188" t="s">
        <v>2438</v>
      </c>
      <c r="L1188" t="s">
        <v>2439</v>
      </c>
    </row>
    <row r="1189" spans="1:12" ht="15" customHeight="1" x14ac:dyDescent="0.25">
      <c r="A1189">
        <v>1188</v>
      </c>
      <c r="B1189" s="5">
        <v>45806</v>
      </c>
      <c r="C1189" t="s">
        <v>27</v>
      </c>
      <c r="D1189" t="s">
        <v>55</v>
      </c>
      <c r="E1189" t="s">
        <v>56</v>
      </c>
      <c r="F1189" t="s">
        <v>84</v>
      </c>
      <c r="G1189" s="6">
        <v>4365.66</v>
      </c>
      <c r="H1189" s="7">
        <v>5.5E-2</v>
      </c>
      <c r="I1189" s="6">
        <v>240.11</v>
      </c>
      <c r="J1189" s="6">
        <v>4605.7700000000004</v>
      </c>
      <c r="K1189" t="s">
        <v>2440</v>
      </c>
      <c r="L1189" t="s">
        <v>2441</v>
      </c>
    </row>
    <row r="1190" spans="1:12" ht="15" customHeight="1" x14ac:dyDescent="0.25">
      <c r="A1190">
        <v>1189</v>
      </c>
      <c r="B1190" s="5">
        <v>45884</v>
      </c>
      <c r="C1190" t="s">
        <v>33</v>
      </c>
      <c r="D1190" t="s">
        <v>42</v>
      </c>
      <c r="E1190" t="s">
        <v>43</v>
      </c>
      <c r="F1190" t="s">
        <v>44</v>
      </c>
      <c r="G1190" s="6">
        <v>2069.56</v>
      </c>
      <c r="H1190" s="7">
        <v>0</v>
      </c>
      <c r="I1190" s="6">
        <v>0</v>
      </c>
      <c r="J1190" s="6">
        <v>2069.56</v>
      </c>
      <c r="K1190" t="s">
        <v>2442</v>
      </c>
      <c r="L1190" t="s">
        <v>2443</v>
      </c>
    </row>
    <row r="1191" spans="1:12" ht="15" customHeight="1" x14ac:dyDescent="0.25">
      <c r="A1191">
        <v>1190</v>
      </c>
      <c r="B1191" s="5">
        <v>45940</v>
      </c>
      <c r="C1191" t="s">
        <v>33</v>
      </c>
      <c r="D1191" t="s">
        <v>28</v>
      </c>
      <c r="E1191" t="s">
        <v>29</v>
      </c>
      <c r="F1191" t="s">
        <v>39</v>
      </c>
      <c r="G1191" s="6">
        <v>596.59</v>
      </c>
      <c r="H1191" s="7">
        <v>2.1000000000000001E-2</v>
      </c>
      <c r="I1191" s="6">
        <v>12.53</v>
      </c>
      <c r="J1191" s="6">
        <v>609.12</v>
      </c>
      <c r="K1191" t="s">
        <v>2444</v>
      </c>
      <c r="L1191" t="s">
        <v>2445</v>
      </c>
    </row>
    <row r="1192" spans="1:12" ht="15" customHeight="1" x14ac:dyDescent="0.25">
      <c r="A1192">
        <v>1191</v>
      </c>
      <c r="B1192" s="5">
        <v>45840</v>
      </c>
      <c r="C1192" t="s">
        <v>27</v>
      </c>
      <c r="D1192" t="s">
        <v>42</v>
      </c>
      <c r="E1192" t="s">
        <v>43</v>
      </c>
      <c r="F1192" t="s">
        <v>44</v>
      </c>
      <c r="G1192" s="6">
        <v>1932.08</v>
      </c>
      <c r="H1192" s="7">
        <v>0</v>
      </c>
      <c r="I1192" s="6">
        <v>0</v>
      </c>
      <c r="J1192" s="6">
        <v>1932.08</v>
      </c>
      <c r="K1192" t="s">
        <v>2446</v>
      </c>
      <c r="L1192" t="s">
        <v>2447</v>
      </c>
    </row>
    <row r="1193" spans="1:12" ht="15" customHeight="1" x14ac:dyDescent="0.25">
      <c r="A1193">
        <v>1192</v>
      </c>
      <c r="B1193" s="5">
        <v>45771</v>
      </c>
      <c r="C1193" t="s">
        <v>33</v>
      </c>
      <c r="D1193" t="s">
        <v>172</v>
      </c>
      <c r="E1193" t="s">
        <v>173</v>
      </c>
      <c r="F1193" t="s">
        <v>174</v>
      </c>
      <c r="G1193" s="6">
        <v>3533.27</v>
      </c>
      <c r="H1193" s="7">
        <v>0.2</v>
      </c>
      <c r="I1193" s="6">
        <v>706.65</v>
      </c>
      <c r="J1193" s="6">
        <v>4239.92</v>
      </c>
      <c r="K1193" t="s">
        <v>2448</v>
      </c>
      <c r="L1193" t="s">
        <v>2449</v>
      </c>
    </row>
    <row r="1194" spans="1:12" ht="15" customHeight="1" x14ac:dyDescent="0.25">
      <c r="A1194">
        <v>1193</v>
      </c>
      <c r="B1194" s="5">
        <v>46001</v>
      </c>
      <c r="C1194" t="s">
        <v>33</v>
      </c>
      <c r="D1194" t="s">
        <v>28</v>
      </c>
      <c r="E1194" t="s">
        <v>29</v>
      </c>
      <c r="F1194" t="s">
        <v>106</v>
      </c>
      <c r="G1194" s="6">
        <v>4312.7</v>
      </c>
      <c r="H1194" s="7">
        <v>2.1000000000000001E-2</v>
      </c>
      <c r="I1194" s="6">
        <v>90.57</v>
      </c>
      <c r="J1194" s="6">
        <v>4403.2700000000004</v>
      </c>
      <c r="K1194" t="s">
        <v>2450</v>
      </c>
      <c r="L1194" t="s">
        <v>2451</v>
      </c>
    </row>
    <row r="1195" spans="1:12" ht="15" customHeight="1" x14ac:dyDescent="0.25">
      <c r="A1195">
        <v>1194</v>
      </c>
      <c r="B1195" s="5">
        <v>45966</v>
      </c>
      <c r="C1195" t="s">
        <v>33</v>
      </c>
      <c r="D1195" t="s">
        <v>79</v>
      </c>
      <c r="E1195" t="s">
        <v>80</v>
      </c>
      <c r="F1195" t="s">
        <v>39</v>
      </c>
      <c r="G1195" s="6">
        <v>2754.44</v>
      </c>
      <c r="H1195" s="7">
        <v>0.2</v>
      </c>
      <c r="I1195" s="6">
        <v>550.89</v>
      </c>
      <c r="J1195" s="6">
        <v>3305.33</v>
      </c>
      <c r="K1195" t="s">
        <v>2452</v>
      </c>
      <c r="L1195" t="s">
        <v>2453</v>
      </c>
    </row>
    <row r="1196" spans="1:12" ht="15" customHeight="1" x14ac:dyDescent="0.25">
      <c r="A1196">
        <v>1195</v>
      </c>
      <c r="B1196" s="5">
        <v>45876</v>
      </c>
      <c r="C1196" t="s">
        <v>47</v>
      </c>
      <c r="D1196" t="s">
        <v>63</v>
      </c>
      <c r="E1196" t="s">
        <v>64</v>
      </c>
      <c r="F1196" t="s">
        <v>50</v>
      </c>
      <c r="G1196" s="6">
        <v>1713.76</v>
      </c>
      <c r="H1196" s="7">
        <v>0.2</v>
      </c>
      <c r="I1196" s="6">
        <v>342.75</v>
      </c>
      <c r="J1196" s="6">
        <v>2056.5100000000002</v>
      </c>
      <c r="K1196" t="s">
        <v>2454</v>
      </c>
      <c r="L1196" t="s">
        <v>2455</v>
      </c>
    </row>
    <row r="1197" spans="1:12" ht="15" customHeight="1" x14ac:dyDescent="0.25">
      <c r="A1197">
        <v>1196</v>
      </c>
      <c r="B1197" s="5">
        <v>45945</v>
      </c>
      <c r="C1197" t="s">
        <v>47</v>
      </c>
      <c r="D1197" t="s">
        <v>55</v>
      </c>
      <c r="E1197" t="s">
        <v>56</v>
      </c>
      <c r="F1197" t="s">
        <v>81</v>
      </c>
      <c r="G1197" s="6">
        <v>467.19</v>
      </c>
      <c r="H1197" s="7">
        <v>5.5E-2</v>
      </c>
      <c r="I1197" s="6">
        <v>25.7</v>
      </c>
      <c r="J1197" s="6">
        <v>492.89</v>
      </c>
      <c r="K1197" t="s">
        <v>2456</v>
      </c>
      <c r="L1197" t="s">
        <v>2457</v>
      </c>
    </row>
    <row r="1198" spans="1:12" ht="15" customHeight="1" x14ac:dyDescent="0.25">
      <c r="A1198">
        <v>1197</v>
      </c>
      <c r="B1198" s="5">
        <v>45884</v>
      </c>
      <c r="C1198" t="s">
        <v>27</v>
      </c>
      <c r="D1198" t="s">
        <v>94</v>
      </c>
      <c r="E1198" t="s">
        <v>95</v>
      </c>
      <c r="F1198" t="s">
        <v>44</v>
      </c>
      <c r="G1198" s="6">
        <v>2514.1799999999998</v>
      </c>
      <c r="H1198" s="7">
        <v>0</v>
      </c>
      <c r="I1198" s="6">
        <v>0</v>
      </c>
      <c r="J1198" s="6">
        <v>2514.1799999999998</v>
      </c>
      <c r="K1198" t="s">
        <v>2458</v>
      </c>
      <c r="L1198" t="s">
        <v>2459</v>
      </c>
    </row>
    <row r="1199" spans="1:12" ht="15" customHeight="1" x14ac:dyDescent="0.25">
      <c r="A1199">
        <v>1198</v>
      </c>
      <c r="B1199" s="5">
        <v>45729</v>
      </c>
      <c r="C1199" t="s">
        <v>27</v>
      </c>
      <c r="D1199" t="s">
        <v>100</v>
      </c>
      <c r="E1199" t="s">
        <v>101</v>
      </c>
      <c r="F1199" t="s">
        <v>44</v>
      </c>
      <c r="G1199" s="6">
        <v>3235.05</v>
      </c>
      <c r="H1199" s="7">
        <v>0</v>
      </c>
      <c r="I1199" s="6">
        <v>0</v>
      </c>
      <c r="J1199" s="6">
        <v>3235.05</v>
      </c>
      <c r="K1199" t="s">
        <v>2460</v>
      </c>
      <c r="L1199" t="s">
        <v>2461</v>
      </c>
    </row>
    <row r="1200" spans="1:12" ht="15" customHeight="1" x14ac:dyDescent="0.25">
      <c r="A1200">
        <v>1199</v>
      </c>
      <c r="B1200" s="5">
        <v>45926</v>
      </c>
      <c r="C1200" t="s">
        <v>33</v>
      </c>
      <c r="D1200" t="s">
        <v>55</v>
      </c>
      <c r="E1200" t="s">
        <v>56</v>
      </c>
      <c r="F1200" t="s">
        <v>87</v>
      </c>
      <c r="G1200" s="6">
        <v>4440.9399999999996</v>
      </c>
      <c r="H1200" s="7">
        <v>5.5E-2</v>
      </c>
      <c r="I1200" s="6">
        <v>244.25</v>
      </c>
      <c r="J1200" s="6">
        <v>4685.1899999999996</v>
      </c>
      <c r="K1200" t="s">
        <v>2462</v>
      </c>
      <c r="L1200" t="s">
        <v>2463</v>
      </c>
    </row>
    <row r="1201" spans="1:12" ht="15" customHeight="1" x14ac:dyDescent="0.25">
      <c r="A1201">
        <v>1200</v>
      </c>
      <c r="B1201" s="5">
        <v>45867</v>
      </c>
      <c r="C1201" t="s">
        <v>47</v>
      </c>
      <c r="D1201" t="s">
        <v>28</v>
      </c>
      <c r="E1201" t="s">
        <v>29</v>
      </c>
      <c r="F1201" t="s">
        <v>174</v>
      </c>
      <c r="G1201" s="6">
        <v>2903.52</v>
      </c>
      <c r="H1201" s="7">
        <v>2.1000000000000001E-2</v>
      </c>
      <c r="I1201" s="6">
        <v>60.97</v>
      </c>
      <c r="J1201" s="6">
        <v>2964.49</v>
      </c>
      <c r="K1201" t="s">
        <v>2464</v>
      </c>
      <c r="L1201" t="s">
        <v>2465</v>
      </c>
    </row>
    <row r="1202" spans="1:12" ht="15" customHeight="1" x14ac:dyDescent="0.25">
      <c r="A1202">
        <v>1201</v>
      </c>
      <c r="B1202" s="5">
        <v>46021</v>
      </c>
      <c r="C1202" t="s">
        <v>33</v>
      </c>
      <c r="D1202" t="s">
        <v>172</v>
      </c>
      <c r="E1202" t="s">
        <v>173</v>
      </c>
      <c r="F1202" t="s">
        <v>30</v>
      </c>
      <c r="G1202" s="6">
        <v>2590.19</v>
      </c>
      <c r="H1202" s="7">
        <v>0.2</v>
      </c>
      <c r="I1202" s="6">
        <v>518.04</v>
      </c>
      <c r="J1202" s="6">
        <v>3108.23</v>
      </c>
      <c r="K1202" t="s">
        <v>2466</v>
      </c>
      <c r="L1202" t="s">
        <v>2467</v>
      </c>
    </row>
    <row r="1203" spans="1:12" ht="15" customHeight="1" x14ac:dyDescent="0.25">
      <c r="A1203">
        <v>1202</v>
      </c>
      <c r="B1203" s="5">
        <v>45806</v>
      </c>
      <c r="C1203" t="s">
        <v>33</v>
      </c>
      <c r="D1203" t="s">
        <v>42</v>
      </c>
      <c r="E1203" t="s">
        <v>43</v>
      </c>
      <c r="F1203" t="s">
        <v>44</v>
      </c>
      <c r="G1203" s="6">
        <v>1901.36</v>
      </c>
      <c r="H1203" s="7">
        <v>0</v>
      </c>
      <c r="I1203" s="6">
        <v>0</v>
      </c>
      <c r="J1203" s="6">
        <v>1901.36</v>
      </c>
      <c r="K1203" t="s">
        <v>2468</v>
      </c>
      <c r="L1203" t="s">
        <v>2469</v>
      </c>
    </row>
    <row r="1204" spans="1:12" ht="15" customHeight="1" x14ac:dyDescent="0.25">
      <c r="A1204">
        <v>1203</v>
      </c>
      <c r="B1204" s="5">
        <v>45813</v>
      </c>
      <c r="C1204" t="s">
        <v>47</v>
      </c>
      <c r="D1204" t="s">
        <v>42</v>
      </c>
      <c r="E1204" t="s">
        <v>43</v>
      </c>
      <c r="F1204" t="s">
        <v>44</v>
      </c>
      <c r="G1204" s="6">
        <v>3575.65</v>
      </c>
      <c r="H1204" s="7">
        <v>0</v>
      </c>
      <c r="I1204" s="6">
        <v>0</v>
      </c>
      <c r="J1204" s="6">
        <v>3575.65</v>
      </c>
      <c r="K1204" t="s">
        <v>2470</v>
      </c>
      <c r="L1204" t="s">
        <v>2471</v>
      </c>
    </row>
    <row r="1205" spans="1:12" ht="15" customHeight="1" x14ac:dyDescent="0.25">
      <c r="A1205">
        <v>1204</v>
      </c>
      <c r="B1205" s="5">
        <v>45736</v>
      </c>
      <c r="C1205" t="s">
        <v>33</v>
      </c>
      <c r="D1205" t="s">
        <v>42</v>
      </c>
      <c r="E1205" t="s">
        <v>43</v>
      </c>
      <c r="F1205" t="s">
        <v>44</v>
      </c>
      <c r="G1205" s="6">
        <v>4094.46</v>
      </c>
      <c r="H1205" s="7">
        <v>0</v>
      </c>
      <c r="I1205" s="6">
        <v>0</v>
      </c>
      <c r="J1205" s="6">
        <v>4094.46</v>
      </c>
      <c r="K1205" t="s">
        <v>2472</v>
      </c>
      <c r="L1205" t="s">
        <v>2473</v>
      </c>
    </row>
    <row r="1206" spans="1:12" ht="15" customHeight="1" x14ac:dyDescent="0.25">
      <c r="A1206">
        <v>1205</v>
      </c>
      <c r="B1206" s="5">
        <v>45992</v>
      </c>
      <c r="C1206" t="s">
        <v>27</v>
      </c>
      <c r="D1206" t="s">
        <v>79</v>
      </c>
      <c r="E1206" t="s">
        <v>80</v>
      </c>
      <c r="F1206" t="s">
        <v>174</v>
      </c>
      <c r="G1206" s="6">
        <v>3023.34</v>
      </c>
      <c r="H1206" s="7">
        <v>0.2</v>
      </c>
      <c r="I1206" s="6">
        <v>604.66999999999996</v>
      </c>
      <c r="J1206" s="6">
        <v>3628.01</v>
      </c>
      <c r="K1206" t="s">
        <v>2474</v>
      </c>
      <c r="L1206" t="s">
        <v>2475</v>
      </c>
    </row>
    <row r="1207" spans="1:12" ht="15" customHeight="1" x14ac:dyDescent="0.25">
      <c r="A1207">
        <v>1206</v>
      </c>
      <c r="B1207" s="5">
        <v>46010</v>
      </c>
      <c r="C1207" t="s">
        <v>33</v>
      </c>
      <c r="D1207" t="s">
        <v>79</v>
      </c>
      <c r="E1207" t="s">
        <v>80</v>
      </c>
      <c r="F1207" t="s">
        <v>39</v>
      </c>
      <c r="G1207" s="6">
        <v>2929.95</v>
      </c>
      <c r="H1207" s="7">
        <v>0.2</v>
      </c>
      <c r="I1207" s="6">
        <v>585.99</v>
      </c>
      <c r="J1207" s="6">
        <v>3515.94</v>
      </c>
      <c r="K1207" t="s">
        <v>2476</v>
      </c>
      <c r="L1207" t="s">
        <v>2477</v>
      </c>
    </row>
    <row r="1208" spans="1:12" ht="15" customHeight="1" x14ac:dyDescent="0.25">
      <c r="A1208">
        <v>1207</v>
      </c>
      <c r="B1208" s="5">
        <v>45692</v>
      </c>
      <c r="C1208" t="s">
        <v>47</v>
      </c>
      <c r="D1208" t="s">
        <v>79</v>
      </c>
      <c r="E1208" t="s">
        <v>80</v>
      </c>
      <c r="F1208" t="s">
        <v>50</v>
      </c>
      <c r="G1208" s="6">
        <v>2727.1</v>
      </c>
      <c r="H1208" s="7">
        <v>0.2</v>
      </c>
      <c r="I1208" s="6">
        <v>545.41999999999996</v>
      </c>
      <c r="J1208" s="6">
        <v>3272.52</v>
      </c>
      <c r="K1208" t="s">
        <v>2478</v>
      </c>
      <c r="L1208" t="s">
        <v>2479</v>
      </c>
    </row>
    <row r="1209" spans="1:12" ht="15" customHeight="1" x14ac:dyDescent="0.25">
      <c r="A1209">
        <v>1208</v>
      </c>
      <c r="B1209" s="5">
        <v>45790</v>
      </c>
      <c r="C1209" t="s">
        <v>47</v>
      </c>
      <c r="D1209" t="s">
        <v>172</v>
      </c>
      <c r="E1209" t="s">
        <v>173</v>
      </c>
      <c r="F1209" t="s">
        <v>76</v>
      </c>
      <c r="G1209" s="6">
        <v>2855.74</v>
      </c>
      <c r="H1209" s="7">
        <v>0.2</v>
      </c>
      <c r="I1209" s="6">
        <v>571.15</v>
      </c>
      <c r="J1209" s="6">
        <v>3426.89</v>
      </c>
      <c r="K1209" t="s">
        <v>2480</v>
      </c>
      <c r="L1209" t="s">
        <v>2481</v>
      </c>
    </row>
    <row r="1210" spans="1:12" ht="15" customHeight="1" x14ac:dyDescent="0.25">
      <c r="A1210">
        <v>1209</v>
      </c>
      <c r="B1210" s="5">
        <v>45952</v>
      </c>
      <c r="C1210" t="s">
        <v>33</v>
      </c>
      <c r="D1210" t="s">
        <v>63</v>
      </c>
      <c r="E1210" t="s">
        <v>64</v>
      </c>
      <c r="F1210" t="s">
        <v>174</v>
      </c>
      <c r="G1210" s="6">
        <v>157.55000000000001</v>
      </c>
      <c r="H1210" s="7">
        <v>0.2</v>
      </c>
      <c r="I1210" s="6">
        <v>31.51</v>
      </c>
      <c r="J1210" s="6">
        <v>189.06</v>
      </c>
      <c r="K1210" t="s">
        <v>2482</v>
      </c>
      <c r="L1210" t="s">
        <v>2483</v>
      </c>
    </row>
    <row r="1211" spans="1:12" ht="15" customHeight="1" x14ac:dyDescent="0.25">
      <c r="A1211">
        <v>1210</v>
      </c>
      <c r="B1211" s="5">
        <v>45821</v>
      </c>
      <c r="C1211" t="s">
        <v>27</v>
      </c>
      <c r="D1211" t="s">
        <v>28</v>
      </c>
      <c r="E1211" t="s">
        <v>29</v>
      </c>
      <c r="F1211" t="s">
        <v>81</v>
      </c>
      <c r="G1211" s="6">
        <v>2117.81</v>
      </c>
      <c r="H1211" s="7">
        <v>2.1000000000000001E-2</v>
      </c>
      <c r="I1211" s="6">
        <v>44.47</v>
      </c>
      <c r="J1211" s="6">
        <v>2162.2800000000002</v>
      </c>
      <c r="K1211" t="s">
        <v>2484</v>
      </c>
      <c r="L1211" t="s">
        <v>2485</v>
      </c>
    </row>
    <row r="1212" spans="1:12" ht="15" customHeight="1" x14ac:dyDescent="0.25">
      <c r="A1212">
        <v>1211</v>
      </c>
      <c r="B1212" s="5">
        <v>45797</v>
      </c>
      <c r="C1212" t="s">
        <v>47</v>
      </c>
      <c r="D1212" t="s">
        <v>28</v>
      </c>
      <c r="E1212" t="s">
        <v>29</v>
      </c>
      <c r="F1212" t="s">
        <v>120</v>
      </c>
      <c r="G1212" s="6">
        <v>1676.34</v>
      </c>
      <c r="H1212" s="7">
        <v>2.1000000000000001E-2</v>
      </c>
      <c r="I1212" s="6">
        <v>35.200000000000003</v>
      </c>
      <c r="J1212" s="6">
        <v>1711.54</v>
      </c>
      <c r="K1212" t="s">
        <v>2486</v>
      </c>
      <c r="L1212" t="s">
        <v>2487</v>
      </c>
    </row>
    <row r="1213" spans="1:12" ht="15" customHeight="1" x14ac:dyDescent="0.25">
      <c r="A1213">
        <v>1212</v>
      </c>
      <c r="B1213" s="5">
        <v>45929</v>
      </c>
      <c r="C1213" t="s">
        <v>33</v>
      </c>
      <c r="D1213" t="s">
        <v>55</v>
      </c>
      <c r="E1213" t="s">
        <v>56</v>
      </c>
      <c r="F1213" t="s">
        <v>87</v>
      </c>
      <c r="G1213" s="6">
        <v>2904.14</v>
      </c>
      <c r="H1213" s="7">
        <v>5.5E-2</v>
      </c>
      <c r="I1213" s="6">
        <v>159.72999999999999</v>
      </c>
      <c r="J1213" s="6">
        <v>3063.87</v>
      </c>
      <c r="K1213" t="s">
        <v>2488</v>
      </c>
      <c r="L1213" t="s">
        <v>2489</v>
      </c>
    </row>
    <row r="1214" spans="1:12" ht="15" customHeight="1" x14ac:dyDescent="0.25">
      <c r="A1214">
        <v>1213</v>
      </c>
      <c r="B1214" s="5">
        <v>45751</v>
      </c>
      <c r="C1214" t="s">
        <v>33</v>
      </c>
      <c r="D1214" t="s">
        <v>42</v>
      </c>
      <c r="E1214" t="s">
        <v>43</v>
      </c>
      <c r="F1214" t="s">
        <v>44</v>
      </c>
      <c r="G1214" s="6">
        <v>3237.03</v>
      </c>
      <c r="H1214" s="7">
        <v>0</v>
      </c>
      <c r="I1214" s="6">
        <v>0</v>
      </c>
      <c r="J1214" s="6">
        <v>3237.03</v>
      </c>
      <c r="K1214" t="s">
        <v>2490</v>
      </c>
      <c r="L1214" t="s">
        <v>2491</v>
      </c>
    </row>
    <row r="1215" spans="1:12" ht="15" customHeight="1" x14ac:dyDescent="0.25">
      <c r="A1215">
        <v>1214</v>
      </c>
      <c r="B1215" s="5">
        <v>45819</v>
      </c>
      <c r="C1215" t="s">
        <v>27</v>
      </c>
      <c r="D1215" t="s">
        <v>55</v>
      </c>
      <c r="E1215" t="s">
        <v>56</v>
      </c>
      <c r="F1215" t="s">
        <v>120</v>
      </c>
      <c r="G1215" s="6">
        <v>3734.55</v>
      </c>
      <c r="H1215" s="7">
        <v>5.5E-2</v>
      </c>
      <c r="I1215" s="6">
        <v>205.4</v>
      </c>
      <c r="J1215" s="6">
        <v>3939.95</v>
      </c>
      <c r="K1215" t="s">
        <v>2492</v>
      </c>
      <c r="L1215" t="s">
        <v>2493</v>
      </c>
    </row>
    <row r="1216" spans="1:12" ht="15" customHeight="1" x14ac:dyDescent="0.25">
      <c r="A1216">
        <v>1215</v>
      </c>
      <c r="B1216" s="5">
        <v>46015</v>
      </c>
      <c r="C1216" t="s">
        <v>47</v>
      </c>
      <c r="D1216" t="s">
        <v>55</v>
      </c>
      <c r="E1216" t="s">
        <v>56</v>
      </c>
      <c r="F1216" t="s">
        <v>87</v>
      </c>
      <c r="G1216" s="6">
        <v>3122.49</v>
      </c>
      <c r="H1216" s="7">
        <v>5.5E-2</v>
      </c>
      <c r="I1216" s="6">
        <v>171.74</v>
      </c>
      <c r="J1216" s="6">
        <v>3294.23</v>
      </c>
      <c r="K1216" t="s">
        <v>2494</v>
      </c>
      <c r="L1216" t="s">
        <v>2495</v>
      </c>
    </row>
    <row r="1217" spans="1:12" ht="15" customHeight="1" x14ac:dyDescent="0.25">
      <c r="A1217">
        <v>1216</v>
      </c>
      <c r="B1217" s="5">
        <v>45664</v>
      </c>
      <c r="C1217" t="s">
        <v>27</v>
      </c>
      <c r="D1217" t="s">
        <v>55</v>
      </c>
      <c r="E1217" t="s">
        <v>56</v>
      </c>
      <c r="F1217" t="s">
        <v>174</v>
      </c>
      <c r="G1217" s="6">
        <v>685.32</v>
      </c>
      <c r="H1217" s="7">
        <v>5.5E-2</v>
      </c>
      <c r="I1217" s="6">
        <v>37.69</v>
      </c>
      <c r="J1217" s="6">
        <v>723.01</v>
      </c>
      <c r="K1217" t="s">
        <v>2496</v>
      </c>
      <c r="L1217" t="s">
        <v>2497</v>
      </c>
    </row>
    <row r="1218" spans="1:12" ht="15" customHeight="1" x14ac:dyDescent="0.25">
      <c r="A1218">
        <v>1217</v>
      </c>
      <c r="B1218" s="5">
        <v>45741</v>
      </c>
      <c r="C1218" t="s">
        <v>47</v>
      </c>
      <c r="D1218" t="s">
        <v>63</v>
      </c>
      <c r="E1218" t="s">
        <v>64</v>
      </c>
      <c r="F1218" t="s">
        <v>30</v>
      </c>
      <c r="G1218" s="6">
        <v>532.69000000000005</v>
      </c>
      <c r="H1218" s="7">
        <v>0.2</v>
      </c>
      <c r="I1218" s="6">
        <v>106.54</v>
      </c>
      <c r="J1218" s="6">
        <v>639.23</v>
      </c>
      <c r="K1218" t="s">
        <v>2498</v>
      </c>
      <c r="L1218" t="s">
        <v>2499</v>
      </c>
    </row>
    <row r="1219" spans="1:12" ht="15" customHeight="1" x14ac:dyDescent="0.25">
      <c r="A1219">
        <v>1218</v>
      </c>
      <c r="B1219" s="5">
        <v>45944</v>
      </c>
      <c r="C1219" t="s">
        <v>33</v>
      </c>
      <c r="D1219" t="s">
        <v>42</v>
      </c>
      <c r="E1219" t="s">
        <v>43</v>
      </c>
      <c r="F1219" t="s">
        <v>44</v>
      </c>
      <c r="G1219" s="6">
        <v>3795.4</v>
      </c>
      <c r="H1219" s="7">
        <v>0</v>
      </c>
      <c r="I1219" s="6">
        <v>0</v>
      </c>
      <c r="J1219" s="6">
        <v>3795.4</v>
      </c>
      <c r="K1219" t="s">
        <v>2500</v>
      </c>
      <c r="L1219" t="s">
        <v>2501</v>
      </c>
    </row>
    <row r="1220" spans="1:12" ht="15" customHeight="1" x14ac:dyDescent="0.25">
      <c r="A1220">
        <v>1219</v>
      </c>
      <c r="B1220" s="5">
        <v>46017</v>
      </c>
      <c r="C1220" t="s">
        <v>27</v>
      </c>
      <c r="D1220" t="s">
        <v>42</v>
      </c>
      <c r="E1220" t="s">
        <v>43</v>
      </c>
      <c r="F1220" t="s">
        <v>44</v>
      </c>
      <c r="G1220" s="6">
        <v>2073.52</v>
      </c>
      <c r="H1220" s="7">
        <v>0</v>
      </c>
      <c r="I1220" s="6">
        <v>0</v>
      </c>
      <c r="J1220" s="6">
        <v>2073.52</v>
      </c>
      <c r="K1220" t="s">
        <v>2502</v>
      </c>
      <c r="L1220" t="s">
        <v>2503</v>
      </c>
    </row>
    <row r="1221" spans="1:12" ht="15" customHeight="1" x14ac:dyDescent="0.25">
      <c r="A1221">
        <v>1220</v>
      </c>
      <c r="B1221" s="5">
        <v>45666</v>
      </c>
      <c r="C1221" t="s">
        <v>33</v>
      </c>
      <c r="D1221" t="s">
        <v>28</v>
      </c>
      <c r="E1221" t="s">
        <v>29</v>
      </c>
      <c r="F1221" t="s">
        <v>174</v>
      </c>
      <c r="G1221" s="6">
        <v>2199.4699999999998</v>
      </c>
      <c r="H1221" s="7">
        <v>2.1000000000000001E-2</v>
      </c>
      <c r="I1221" s="6">
        <v>46.19</v>
      </c>
      <c r="J1221" s="6">
        <v>2245.66</v>
      </c>
      <c r="K1221" t="s">
        <v>2504</v>
      </c>
      <c r="L1221" t="s">
        <v>2505</v>
      </c>
    </row>
    <row r="1222" spans="1:12" ht="15" customHeight="1" x14ac:dyDescent="0.25">
      <c r="A1222">
        <v>1221</v>
      </c>
      <c r="B1222" s="5">
        <v>45884</v>
      </c>
      <c r="C1222" t="s">
        <v>47</v>
      </c>
      <c r="D1222" t="s">
        <v>28</v>
      </c>
      <c r="E1222" t="s">
        <v>29</v>
      </c>
      <c r="F1222" t="s">
        <v>84</v>
      </c>
      <c r="G1222" s="6">
        <v>4012.59</v>
      </c>
      <c r="H1222" s="7">
        <v>2.1000000000000001E-2</v>
      </c>
      <c r="I1222" s="6">
        <v>84.26</v>
      </c>
      <c r="J1222" s="6">
        <v>4096.8500000000004</v>
      </c>
      <c r="K1222" t="s">
        <v>2506</v>
      </c>
      <c r="L1222" t="s">
        <v>2507</v>
      </c>
    </row>
    <row r="1223" spans="1:12" ht="15" customHeight="1" x14ac:dyDescent="0.25">
      <c r="A1223">
        <v>1222</v>
      </c>
      <c r="B1223" s="5">
        <v>45813</v>
      </c>
      <c r="C1223" t="s">
        <v>47</v>
      </c>
      <c r="D1223" t="s">
        <v>28</v>
      </c>
      <c r="E1223" t="s">
        <v>29</v>
      </c>
      <c r="F1223" t="s">
        <v>87</v>
      </c>
      <c r="G1223" s="6">
        <v>207.12</v>
      </c>
      <c r="H1223" s="7">
        <v>2.1000000000000001E-2</v>
      </c>
      <c r="I1223" s="6">
        <v>4.3499999999999996</v>
      </c>
      <c r="J1223" s="6">
        <v>211.47</v>
      </c>
      <c r="K1223" t="s">
        <v>2508</v>
      </c>
      <c r="L1223" t="s">
        <v>2509</v>
      </c>
    </row>
    <row r="1224" spans="1:12" ht="15" customHeight="1" x14ac:dyDescent="0.25">
      <c r="A1224">
        <v>1223</v>
      </c>
      <c r="B1224" s="5">
        <v>45730</v>
      </c>
      <c r="C1224" t="s">
        <v>33</v>
      </c>
      <c r="D1224" t="s">
        <v>42</v>
      </c>
      <c r="E1224" t="s">
        <v>43</v>
      </c>
      <c r="F1224" t="s">
        <v>44</v>
      </c>
      <c r="G1224" s="6">
        <v>2537.83</v>
      </c>
      <c r="H1224" s="7">
        <v>0</v>
      </c>
      <c r="I1224" s="6">
        <v>0</v>
      </c>
      <c r="J1224" s="6">
        <v>2537.83</v>
      </c>
      <c r="K1224" t="s">
        <v>2510</v>
      </c>
      <c r="L1224" t="s">
        <v>2511</v>
      </c>
    </row>
    <row r="1225" spans="1:12" ht="15" customHeight="1" x14ac:dyDescent="0.25">
      <c r="A1225">
        <v>1224</v>
      </c>
      <c r="B1225" s="5">
        <v>45875</v>
      </c>
      <c r="C1225" t="s">
        <v>33</v>
      </c>
      <c r="D1225" t="s">
        <v>94</v>
      </c>
      <c r="E1225" t="s">
        <v>95</v>
      </c>
      <c r="F1225" t="s">
        <v>44</v>
      </c>
      <c r="G1225" s="6">
        <v>2460.0700000000002</v>
      </c>
      <c r="H1225" s="7">
        <v>0</v>
      </c>
      <c r="I1225" s="6">
        <v>0</v>
      </c>
      <c r="J1225" s="6">
        <v>2460.0700000000002</v>
      </c>
      <c r="K1225" t="s">
        <v>2512</v>
      </c>
      <c r="L1225" t="s">
        <v>2513</v>
      </c>
    </row>
    <row r="1226" spans="1:12" ht="15" customHeight="1" x14ac:dyDescent="0.25">
      <c r="A1226">
        <v>1225</v>
      </c>
      <c r="B1226" s="5">
        <v>45679</v>
      </c>
      <c r="C1226" t="s">
        <v>33</v>
      </c>
      <c r="D1226" t="s">
        <v>42</v>
      </c>
      <c r="E1226" t="s">
        <v>43</v>
      </c>
      <c r="F1226" t="s">
        <v>44</v>
      </c>
      <c r="G1226" s="6">
        <v>1878.7</v>
      </c>
      <c r="H1226" s="7">
        <v>0</v>
      </c>
      <c r="I1226" s="6">
        <v>0</v>
      </c>
      <c r="J1226" s="6">
        <v>1878.7</v>
      </c>
      <c r="K1226" t="s">
        <v>2514</v>
      </c>
      <c r="L1226" t="s">
        <v>2515</v>
      </c>
    </row>
    <row r="1227" spans="1:12" ht="15" customHeight="1" x14ac:dyDescent="0.25">
      <c r="A1227">
        <v>1226</v>
      </c>
      <c r="B1227" s="5">
        <v>45898</v>
      </c>
      <c r="C1227" t="s">
        <v>27</v>
      </c>
      <c r="D1227" t="s">
        <v>172</v>
      </c>
      <c r="E1227" t="s">
        <v>173</v>
      </c>
      <c r="F1227" t="s">
        <v>174</v>
      </c>
      <c r="G1227" s="6">
        <v>605.64</v>
      </c>
      <c r="H1227" s="7">
        <v>0.2</v>
      </c>
      <c r="I1227" s="6">
        <v>121.13</v>
      </c>
      <c r="J1227" s="6">
        <v>726.77</v>
      </c>
      <c r="K1227" t="s">
        <v>2516</v>
      </c>
      <c r="L1227" t="s">
        <v>2517</v>
      </c>
    </row>
    <row r="1228" spans="1:12" ht="15" customHeight="1" x14ac:dyDescent="0.25">
      <c r="A1228">
        <v>1227</v>
      </c>
      <c r="B1228" s="5">
        <v>45663</v>
      </c>
      <c r="C1228" t="s">
        <v>33</v>
      </c>
      <c r="D1228" t="s">
        <v>55</v>
      </c>
      <c r="E1228" t="s">
        <v>56</v>
      </c>
      <c r="F1228" t="s">
        <v>87</v>
      </c>
      <c r="G1228" s="6">
        <v>3415.11</v>
      </c>
      <c r="H1228" s="7">
        <v>5.5E-2</v>
      </c>
      <c r="I1228" s="6">
        <v>187.83</v>
      </c>
      <c r="J1228" s="6">
        <v>3602.94</v>
      </c>
      <c r="K1228" t="s">
        <v>2518</v>
      </c>
      <c r="L1228" t="s">
        <v>2519</v>
      </c>
    </row>
    <row r="1229" spans="1:12" ht="15" customHeight="1" x14ac:dyDescent="0.25">
      <c r="A1229">
        <v>1228</v>
      </c>
      <c r="B1229" s="5">
        <v>46001</v>
      </c>
      <c r="C1229" t="s">
        <v>33</v>
      </c>
      <c r="D1229" t="s">
        <v>172</v>
      </c>
      <c r="E1229" t="s">
        <v>173</v>
      </c>
      <c r="F1229" t="s">
        <v>87</v>
      </c>
      <c r="G1229" s="6">
        <v>1633.78</v>
      </c>
      <c r="H1229" s="7">
        <v>0.2</v>
      </c>
      <c r="I1229" s="6">
        <v>326.76</v>
      </c>
      <c r="J1229" s="6">
        <v>1960.54</v>
      </c>
      <c r="K1229" t="s">
        <v>2520</v>
      </c>
      <c r="L1229" t="s">
        <v>2521</v>
      </c>
    </row>
    <row r="1230" spans="1:12" ht="15" customHeight="1" x14ac:dyDescent="0.25">
      <c r="A1230">
        <v>1229</v>
      </c>
      <c r="B1230" s="5">
        <v>45954</v>
      </c>
      <c r="C1230" t="s">
        <v>27</v>
      </c>
      <c r="D1230" t="s">
        <v>100</v>
      </c>
      <c r="E1230" t="s">
        <v>101</v>
      </c>
      <c r="F1230" t="s">
        <v>44</v>
      </c>
      <c r="G1230" s="6">
        <v>2185.34</v>
      </c>
      <c r="H1230" s="7">
        <v>0</v>
      </c>
      <c r="I1230" s="6">
        <v>0</v>
      </c>
      <c r="J1230" s="6">
        <v>2185.34</v>
      </c>
      <c r="K1230" t="s">
        <v>2522</v>
      </c>
      <c r="L1230" t="s">
        <v>2523</v>
      </c>
    </row>
    <row r="1231" spans="1:12" ht="15" customHeight="1" x14ac:dyDescent="0.25">
      <c r="A1231">
        <v>1230</v>
      </c>
      <c r="B1231" s="5">
        <v>45916</v>
      </c>
      <c r="C1231" t="s">
        <v>27</v>
      </c>
      <c r="D1231" t="s">
        <v>181</v>
      </c>
      <c r="E1231" t="s">
        <v>182</v>
      </c>
      <c r="F1231" t="s">
        <v>87</v>
      </c>
      <c r="G1231" s="6">
        <v>2600.44</v>
      </c>
      <c r="H1231" s="7">
        <v>0.2</v>
      </c>
      <c r="I1231" s="6">
        <v>520.09</v>
      </c>
      <c r="J1231" s="6">
        <v>3120.53</v>
      </c>
      <c r="K1231" t="s">
        <v>2524</v>
      </c>
      <c r="L1231" t="s">
        <v>2525</v>
      </c>
    </row>
    <row r="1232" spans="1:12" ht="15" customHeight="1" x14ac:dyDescent="0.25">
      <c r="A1232">
        <v>1231</v>
      </c>
      <c r="B1232" s="5">
        <v>45769</v>
      </c>
      <c r="C1232" t="s">
        <v>27</v>
      </c>
      <c r="D1232" t="s">
        <v>42</v>
      </c>
      <c r="E1232" t="s">
        <v>43</v>
      </c>
      <c r="F1232" t="s">
        <v>44</v>
      </c>
      <c r="G1232" s="6">
        <v>4114.2299999999996</v>
      </c>
      <c r="H1232" s="7">
        <v>0</v>
      </c>
      <c r="I1232" s="6">
        <v>0</v>
      </c>
      <c r="J1232" s="6">
        <v>4114.2299999999996</v>
      </c>
      <c r="K1232" t="s">
        <v>2526</v>
      </c>
      <c r="L1232" t="s">
        <v>2527</v>
      </c>
    </row>
    <row r="1233" spans="1:13" ht="15" customHeight="1" x14ac:dyDescent="0.25">
      <c r="A1233">
        <v>1232</v>
      </c>
      <c r="B1233" s="5">
        <v>45710</v>
      </c>
      <c r="C1233" t="s">
        <v>27</v>
      </c>
      <c r="D1233" t="s">
        <v>28</v>
      </c>
      <c r="E1233" t="s">
        <v>29</v>
      </c>
      <c r="F1233" t="s">
        <v>106</v>
      </c>
      <c r="G1233" s="6">
        <v>4165.1099999999997</v>
      </c>
      <c r="H1233" s="7">
        <v>2.1000000000000001E-2</v>
      </c>
      <c r="I1233" s="6">
        <v>87.47</v>
      </c>
      <c r="J1233" s="6">
        <v>4252.58</v>
      </c>
      <c r="K1233" t="s">
        <v>2528</v>
      </c>
      <c r="L1233" t="s">
        <v>2529</v>
      </c>
      <c r="M1233" t="s">
        <v>472</v>
      </c>
    </row>
    <row r="1234" spans="1:13" ht="15" customHeight="1" x14ac:dyDescent="0.25">
      <c r="A1234">
        <v>1233</v>
      </c>
      <c r="B1234" s="5">
        <v>46015</v>
      </c>
      <c r="C1234" t="s">
        <v>27</v>
      </c>
      <c r="D1234" t="s">
        <v>79</v>
      </c>
      <c r="E1234" t="s">
        <v>80</v>
      </c>
      <c r="F1234" t="s">
        <v>76</v>
      </c>
      <c r="G1234" s="6">
        <v>2685.06</v>
      </c>
      <c r="H1234" s="7">
        <v>0.2</v>
      </c>
      <c r="I1234" s="6">
        <v>537.01</v>
      </c>
      <c r="J1234" s="6">
        <v>3222.07</v>
      </c>
      <c r="K1234" t="s">
        <v>2530</v>
      </c>
      <c r="L1234" t="s">
        <v>2531</v>
      </c>
    </row>
    <row r="1235" spans="1:13" ht="15" customHeight="1" x14ac:dyDescent="0.25">
      <c r="A1235">
        <v>1234</v>
      </c>
      <c r="B1235" s="5">
        <v>45839</v>
      </c>
      <c r="C1235" t="s">
        <v>33</v>
      </c>
      <c r="D1235" t="s">
        <v>28</v>
      </c>
      <c r="E1235" t="s">
        <v>29</v>
      </c>
      <c r="F1235" t="s">
        <v>36</v>
      </c>
      <c r="G1235" s="6">
        <v>4417.3500000000004</v>
      </c>
      <c r="H1235" s="7">
        <v>2.1000000000000001E-2</v>
      </c>
      <c r="I1235" s="6">
        <v>92.76</v>
      </c>
      <c r="J1235" s="6">
        <v>4510.1099999999997</v>
      </c>
      <c r="K1235" t="s">
        <v>2532</v>
      </c>
      <c r="L1235" t="s">
        <v>2533</v>
      </c>
    </row>
    <row r="1236" spans="1:13" ht="15" customHeight="1" x14ac:dyDescent="0.25">
      <c r="A1236">
        <v>1235</v>
      </c>
      <c r="B1236" s="5">
        <v>45715</v>
      </c>
      <c r="C1236" t="s">
        <v>27</v>
      </c>
      <c r="D1236" t="s">
        <v>55</v>
      </c>
      <c r="E1236" t="s">
        <v>56</v>
      </c>
      <c r="F1236" t="s">
        <v>50</v>
      </c>
      <c r="G1236" s="6">
        <v>3445.43</v>
      </c>
      <c r="H1236" s="7">
        <v>5.5E-2</v>
      </c>
      <c r="I1236" s="6">
        <v>189.5</v>
      </c>
      <c r="J1236" s="6">
        <v>3634.93</v>
      </c>
      <c r="K1236" t="s">
        <v>2534</v>
      </c>
      <c r="L1236" t="s">
        <v>2535</v>
      </c>
    </row>
    <row r="1237" spans="1:13" ht="15" customHeight="1" x14ac:dyDescent="0.25">
      <c r="A1237">
        <v>1236</v>
      </c>
      <c r="B1237" s="5">
        <v>45727</v>
      </c>
      <c r="C1237" t="s">
        <v>47</v>
      </c>
      <c r="D1237" t="s">
        <v>28</v>
      </c>
      <c r="E1237" t="s">
        <v>29</v>
      </c>
      <c r="F1237" t="s">
        <v>50</v>
      </c>
      <c r="G1237" s="6">
        <v>2271.5100000000002</v>
      </c>
      <c r="H1237" s="7">
        <v>2.1000000000000001E-2</v>
      </c>
      <c r="I1237" s="6">
        <v>47.7</v>
      </c>
      <c r="J1237" s="6">
        <v>2319.21</v>
      </c>
      <c r="K1237" t="s">
        <v>2536</v>
      </c>
      <c r="L1237" t="s">
        <v>2537</v>
      </c>
    </row>
    <row r="1238" spans="1:13" ht="15" customHeight="1" x14ac:dyDescent="0.25">
      <c r="A1238">
        <v>1237</v>
      </c>
      <c r="B1238" s="5">
        <v>45678</v>
      </c>
      <c r="C1238" t="s">
        <v>47</v>
      </c>
      <c r="D1238" t="s">
        <v>172</v>
      </c>
      <c r="E1238" t="s">
        <v>173</v>
      </c>
      <c r="F1238" t="s">
        <v>76</v>
      </c>
      <c r="G1238" s="6">
        <v>443.54</v>
      </c>
      <c r="H1238" s="7">
        <v>0.2</v>
      </c>
      <c r="I1238" s="6">
        <v>88.71</v>
      </c>
      <c r="J1238" s="6">
        <v>532.25</v>
      </c>
      <c r="K1238" t="s">
        <v>2538</v>
      </c>
      <c r="L1238" t="s">
        <v>2539</v>
      </c>
    </row>
    <row r="1239" spans="1:13" ht="15" customHeight="1" x14ac:dyDescent="0.25">
      <c r="A1239">
        <v>1238</v>
      </c>
      <c r="B1239" s="5">
        <v>45965</v>
      </c>
      <c r="C1239" t="s">
        <v>47</v>
      </c>
      <c r="D1239" t="s">
        <v>55</v>
      </c>
      <c r="E1239" t="s">
        <v>56</v>
      </c>
      <c r="F1239" t="s">
        <v>120</v>
      </c>
      <c r="G1239" s="6">
        <v>3333.89</v>
      </c>
      <c r="H1239" s="7">
        <v>5.5E-2</v>
      </c>
      <c r="I1239" s="6">
        <v>183.36</v>
      </c>
      <c r="J1239" s="6">
        <v>3517.25</v>
      </c>
      <c r="K1239" t="s">
        <v>2540</v>
      </c>
      <c r="L1239" t="s">
        <v>2541</v>
      </c>
    </row>
    <row r="1240" spans="1:13" ht="15" customHeight="1" x14ac:dyDescent="0.25">
      <c r="A1240">
        <v>1239</v>
      </c>
      <c r="B1240" s="5">
        <v>45866</v>
      </c>
      <c r="C1240" t="s">
        <v>47</v>
      </c>
      <c r="D1240" t="s">
        <v>55</v>
      </c>
      <c r="E1240" t="s">
        <v>56</v>
      </c>
      <c r="F1240" t="s">
        <v>36</v>
      </c>
      <c r="G1240" s="6">
        <v>1364.4</v>
      </c>
      <c r="H1240" s="7">
        <v>5.5E-2</v>
      </c>
      <c r="I1240" s="6">
        <v>75.040000000000006</v>
      </c>
      <c r="J1240" s="6">
        <v>1439.44</v>
      </c>
      <c r="K1240" t="s">
        <v>2542</v>
      </c>
      <c r="L1240" t="s">
        <v>2543</v>
      </c>
    </row>
    <row r="1241" spans="1:13" ht="15" customHeight="1" x14ac:dyDescent="0.25">
      <c r="A1241">
        <v>1240</v>
      </c>
      <c r="B1241" s="5">
        <v>45901</v>
      </c>
      <c r="C1241" t="s">
        <v>33</v>
      </c>
      <c r="D1241" t="s">
        <v>100</v>
      </c>
      <c r="E1241" t="s">
        <v>101</v>
      </c>
      <c r="F1241" t="s">
        <v>44</v>
      </c>
      <c r="G1241" s="6">
        <v>2681.86</v>
      </c>
      <c r="H1241" s="7">
        <v>0</v>
      </c>
      <c r="I1241" s="6">
        <v>0</v>
      </c>
      <c r="J1241" s="6">
        <v>2681.86</v>
      </c>
      <c r="K1241" t="s">
        <v>2544</v>
      </c>
      <c r="L1241" t="s">
        <v>2545</v>
      </c>
    </row>
    <row r="1242" spans="1:13" ht="15" customHeight="1" x14ac:dyDescent="0.25">
      <c r="A1242">
        <v>1241</v>
      </c>
      <c r="B1242" s="5">
        <v>45860</v>
      </c>
      <c r="C1242" t="s">
        <v>27</v>
      </c>
      <c r="D1242" t="s">
        <v>79</v>
      </c>
      <c r="E1242" t="s">
        <v>80</v>
      </c>
      <c r="F1242" t="s">
        <v>120</v>
      </c>
      <c r="G1242" s="6">
        <v>2016.22</v>
      </c>
      <c r="H1242" s="7">
        <v>0.2</v>
      </c>
      <c r="I1242" s="6">
        <v>403.24</v>
      </c>
      <c r="J1242" s="6">
        <v>2419.46</v>
      </c>
      <c r="K1242" t="s">
        <v>2546</v>
      </c>
      <c r="L1242" t="s">
        <v>2547</v>
      </c>
    </row>
    <row r="1243" spans="1:13" ht="15" customHeight="1" x14ac:dyDescent="0.25">
      <c r="A1243">
        <v>1242</v>
      </c>
      <c r="B1243" s="5">
        <v>45860</v>
      </c>
      <c r="C1243" t="s">
        <v>33</v>
      </c>
      <c r="D1243" t="s">
        <v>28</v>
      </c>
      <c r="E1243" t="s">
        <v>29</v>
      </c>
      <c r="F1243" t="s">
        <v>84</v>
      </c>
      <c r="G1243" s="6">
        <v>1850.76</v>
      </c>
      <c r="H1243" s="7">
        <v>2.1000000000000001E-2</v>
      </c>
      <c r="I1243" s="6">
        <v>38.869999999999997</v>
      </c>
      <c r="J1243" s="6">
        <v>1889.63</v>
      </c>
      <c r="K1243" t="s">
        <v>2548</v>
      </c>
      <c r="L1243" t="s">
        <v>2549</v>
      </c>
    </row>
    <row r="1244" spans="1:13" ht="15" customHeight="1" x14ac:dyDescent="0.25">
      <c r="A1244">
        <v>1243</v>
      </c>
      <c r="B1244" s="5">
        <v>45744</v>
      </c>
      <c r="C1244" t="s">
        <v>27</v>
      </c>
      <c r="D1244" t="s">
        <v>100</v>
      </c>
      <c r="E1244" t="s">
        <v>101</v>
      </c>
      <c r="F1244" t="s">
        <v>44</v>
      </c>
      <c r="G1244" s="6">
        <v>4140.5</v>
      </c>
      <c r="H1244" s="7">
        <v>0</v>
      </c>
      <c r="I1244" s="6">
        <v>0</v>
      </c>
      <c r="J1244" s="6">
        <v>4140.5</v>
      </c>
      <c r="K1244" t="s">
        <v>2550</v>
      </c>
      <c r="L1244" t="s">
        <v>2551</v>
      </c>
    </row>
    <row r="1245" spans="1:13" ht="15" customHeight="1" x14ac:dyDescent="0.25">
      <c r="A1245">
        <v>1244</v>
      </c>
      <c r="B1245" s="5">
        <v>45720</v>
      </c>
      <c r="C1245" t="s">
        <v>33</v>
      </c>
      <c r="D1245" t="s">
        <v>172</v>
      </c>
      <c r="E1245" t="s">
        <v>173</v>
      </c>
      <c r="F1245" t="s">
        <v>36</v>
      </c>
      <c r="G1245" s="6">
        <v>1109.28</v>
      </c>
      <c r="H1245" s="7">
        <v>0.2</v>
      </c>
      <c r="I1245" s="6">
        <v>221.86</v>
      </c>
      <c r="J1245" s="6">
        <v>1331.14</v>
      </c>
      <c r="K1245" t="s">
        <v>2552</v>
      </c>
      <c r="L1245" t="s">
        <v>2553</v>
      </c>
    </row>
    <row r="1246" spans="1:13" ht="15" customHeight="1" x14ac:dyDescent="0.25">
      <c r="A1246">
        <v>1245</v>
      </c>
      <c r="B1246" s="5">
        <v>45961</v>
      </c>
      <c r="C1246" t="s">
        <v>47</v>
      </c>
      <c r="D1246" t="s">
        <v>55</v>
      </c>
      <c r="E1246" t="s">
        <v>56</v>
      </c>
      <c r="F1246" t="s">
        <v>120</v>
      </c>
      <c r="G1246" s="6">
        <v>1286.54</v>
      </c>
      <c r="H1246" s="7">
        <v>5.5E-2</v>
      </c>
      <c r="I1246" s="6">
        <v>70.760000000000005</v>
      </c>
      <c r="J1246" s="6">
        <v>1357.3</v>
      </c>
      <c r="K1246" t="s">
        <v>2554</v>
      </c>
      <c r="L1246" t="s">
        <v>2555</v>
      </c>
    </row>
    <row r="1247" spans="1:13" ht="15" customHeight="1" x14ac:dyDescent="0.25">
      <c r="A1247">
        <v>1246</v>
      </c>
      <c r="B1247" s="5">
        <v>45966</v>
      </c>
      <c r="C1247" t="s">
        <v>47</v>
      </c>
      <c r="D1247" t="s">
        <v>79</v>
      </c>
      <c r="E1247" t="s">
        <v>80</v>
      </c>
      <c r="F1247" t="s">
        <v>76</v>
      </c>
      <c r="G1247" s="6">
        <v>4279.6099999999997</v>
      </c>
      <c r="H1247" s="7">
        <v>0.2</v>
      </c>
      <c r="I1247" s="6">
        <v>855.92</v>
      </c>
      <c r="J1247" s="6">
        <v>5135.53</v>
      </c>
      <c r="K1247" t="s">
        <v>2556</v>
      </c>
      <c r="L1247" t="s">
        <v>2557</v>
      </c>
    </row>
    <row r="1248" spans="1:13" ht="15" customHeight="1" x14ac:dyDescent="0.25">
      <c r="A1248">
        <v>1247</v>
      </c>
      <c r="B1248" s="5">
        <v>45890</v>
      </c>
      <c r="C1248" t="s">
        <v>47</v>
      </c>
      <c r="D1248" t="s">
        <v>28</v>
      </c>
      <c r="E1248" t="s">
        <v>29</v>
      </c>
      <c r="F1248" t="s">
        <v>174</v>
      </c>
      <c r="G1248" s="6">
        <v>557.52</v>
      </c>
      <c r="H1248" s="7">
        <v>2.1000000000000001E-2</v>
      </c>
      <c r="I1248" s="6">
        <v>11.71</v>
      </c>
      <c r="J1248" s="6">
        <v>569.23</v>
      </c>
      <c r="K1248" t="s">
        <v>2558</v>
      </c>
      <c r="L1248" t="s">
        <v>2559</v>
      </c>
    </row>
    <row r="1249" spans="1:13" ht="15" customHeight="1" x14ac:dyDescent="0.25">
      <c r="A1249">
        <v>1248</v>
      </c>
      <c r="B1249" s="5">
        <v>45726</v>
      </c>
      <c r="C1249" t="s">
        <v>47</v>
      </c>
      <c r="D1249" t="s">
        <v>55</v>
      </c>
      <c r="E1249" t="s">
        <v>56</v>
      </c>
      <c r="F1249" t="s">
        <v>81</v>
      </c>
      <c r="G1249" s="6">
        <v>211.38</v>
      </c>
      <c r="H1249" s="7">
        <v>5.5E-2</v>
      </c>
      <c r="I1249" s="6">
        <v>11.63</v>
      </c>
      <c r="J1249" s="6">
        <v>223.01</v>
      </c>
      <c r="K1249" t="s">
        <v>2560</v>
      </c>
      <c r="L1249" t="s">
        <v>2561</v>
      </c>
    </row>
    <row r="1250" spans="1:13" ht="15" customHeight="1" x14ac:dyDescent="0.25">
      <c r="A1250">
        <v>1249</v>
      </c>
      <c r="B1250" s="5">
        <v>45671</v>
      </c>
      <c r="C1250" t="s">
        <v>33</v>
      </c>
      <c r="D1250" t="s">
        <v>79</v>
      </c>
      <c r="E1250" t="s">
        <v>80</v>
      </c>
      <c r="F1250" t="s">
        <v>36</v>
      </c>
      <c r="G1250" s="6">
        <v>4376.5600000000004</v>
      </c>
      <c r="H1250" s="7">
        <v>0.2</v>
      </c>
      <c r="I1250" s="6">
        <v>875.31</v>
      </c>
      <c r="J1250" s="6">
        <v>5251.87</v>
      </c>
      <c r="K1250" t="s">
        <v>2562</v>
      </c>
      <c r="L1250" t="s">
        <v>2563</v>
      </c>
    </row>
    <row r="1251" spans="1:13" ht="15" customHeight="1" x14ac:dyDescent="0.25">
      <c r="A1251">
        <v>1250</v>
      </c>
      <c r="B1251" s="5">
        <v>45813</v>
      </c>
      <c r="C1251" t="s">
        <v>27</v>
      </c>
      <c r="D1251" t="s">
        <v>55</v>
      </c>
      <c r="E1251" t="s">
        <v>56</v>
      </c>
      <c r="F1251" t="s">
        <v>87</v>
      </c>
      <c r="G1251" s="6">
        <v>2829.09</v>
      </c>
      <c r="H1251" s="7">
        <v>5.5E-2</v>
      </c>
      <c r="I1251" s="6">
        <v>155.6</v>
      </c>
      <c r="J1251" s="6">
        <v>2984.69</v>
      </c>
      <c r="K1251" t="s">
        <v>2564</v>
      </c>
      <c r="M1251" t="s">
        <v>186</v>
      </c>
    </row>
    <row r="1252" spans="1:13" ht="15" customHeight="1" x14ac:dyDescent="0.25">
      <c r="A1252">
        <v>1251</v>
      </c>
      <c r="B1252" s="5">
        <v>45924</v>
      </c>
      <c r="C1252" t="s">
        <v>33</v>
      </c>
      <c r="D1252" t="s">
        <v>34</v>
      </c>
      <c r="E1252" t="s">
        <v>35</v>
      </c>
      <c r="F1252" t="s">
        <v>76</v>
      </c>
      <c r="G1252" s="6">
        <v>3472.67</v>
      </c>
      <c r="H1252" s="7">
        <v>0.2</v>
      </c>
      <c r="I1252" s="6">
        <v>694.53</v>
      </c>
      <c r="J1252" s="6">
        <v>4167.2</v>
      </c>
      <c r="K1252" t="s">
        <v>2565</v>
      </c>
      <c r="L1252" t="s">
        <v>2566</v>
      </c>
    </row>
    <row r="1253" spans="1:13" ht="15" customHeight="1" x14ac:dyDescent="0.25">
      <c r="A1253">
        <v>1252</v>
      </c>
      <c r="B1253" s="5">
        <v>45909</v>
      </c>
      <c r="C1253" t="s">
        <v>47</v>
      </c>
      <c r="D1253" t="s">
        <v>34</v>
      </c>
      <c r="E1253" t="s">
        <v>35</v>
      </c>
      <c r="F1253" t="s">
        <v>106</v>
      </c>
      <c r="G1253" s="6">
        <v>2311.19</v>
      </c>
      <c r="H1253" s="7">
        <v>0.2</v>
      </c>
      <c r="I1253" s="6">
        <v>462.24</v>
      </c>
      <c r="J1253" s="6">
        <v>2773.43</v>
      </c>
      <c r="K1253" t="s">
        <v>2567</v>
      </c>
      <c r="L1253" t="s">
        <v>2568</v>
      </c>
    </row>
    <row r="1254" spans="1:13" ht="15" customHeight="1" x14ac:dyDescent="0.25">
      <c r="A1254">
        <v>1253</v>
      </c>
      <c r="B1254" s="5">
        <v>45674</v>
      </c>
      <c r="C1254" t="s">
        <v>27</v>
      </c>
      <c r="D1254" t="s">
        <v>172</v>
      </c>
      <c r="E1254" t="s">
        <v>173</v>
      </c>
      <c r="F1254" t="s">
        <v>87</v>
      </c>
      <c r="G1254" s="6">
        <v>4458.95</v>
      </c>
      <c r="H1254" s="7">
        <v>0.2</v>
      </c>
      <c r="I1254" s="6">
        <v>891.79</v>
      </c>
      <c r="J1254" s="6">
        <v>5350.74</v>
      </c>
      <c r="K1254" t="s">
        <v>2569</v>
      </c>
      <c r="L1254" t="s">
        <v>2570</v>
      </c>
    </row>
    <row r="1255" spans="1:13" ht="15" customHeight="1" x14ac:dyDescent="0.25">
      <c r="A1255">
        <v>1254</v>
      </c>
      <c r="B1255" s="5">
        <v>45884</v>
      </c>
      <c r="C1255" t="s">
        <v>47</v>
      </c>
      <c r="D1255" t="s">
        <v>55</v>
      </c>
      <c r="E1255" t="s">
        <v>56</v>
      </c>
      <c r="F1255" t="s">
        <v>39</v>
      </c>
      <c r="G1255" s="6">
        <v>2111.6799999999998</v>
      </c>
      <c r="H1255" s="7">
        <v>5.5E-2</v>
      </c>
      <c r="I1255" s="6">
        <v>116.14</v>
      </c>
      <c r="J1255" s="6">
        <v>2227.8200000000002</v>
      </c>
      <c r="K1255" t="s">
        <v>2571</v>
      </c>
      <c r="L1255" t="s">
        <v>2572</v>
      </c>
    </row>
    <row r="1256" spans="1:13" ht="15" customHeight="1" x14ac:dyDescent="0.25">
      <c r="A1256">
        <v>1255</v>
      </c>
      <c r="B1256" s="5">
        <v>45813</v>
      </c>
      <c r="C1256" t="s">
        <v>27</v>
      </c>
      <c r="D1256" t="s">
        <v>34</v>
      </c>
      <c r="E1256" t="s">
        <v>35</v>
      </c>
      <c r="F1256" t="s">
        <v>30</v>
      </c>
      <c r="G1256" s="6">
        <v>3990.38</v>
      </c>
      <c r="H1256" s="7">
        <v>0.2</v>
      </c>
      <c r="I1256" s="6">
        <v>798.08</v>
      </c>
      <c r="J1256" s="6">
        <v>4788.46</v>
      </c>
      <c r="K1256" t="s">
        <v>2573</v>
      </c>
      <c r="L1256" t="s">
        <v>2574</v>
      </c>
    </row>
    <row r="1257" spans="1:13" ht="15" customHeight="1" x14ac:dyDescent="0.25">
      <c r="A1257">
        <v>1256</v>
      </c>
      <c r="B1257" s="5">
        <v>45714</v>
      </c>
      <c r="C1257" t="s">
        <v>47</v>
      </c>
      <c r="D1257" t="s">
        <v>28</v>
      </c>
      <c r="E1257" t="s">
        <v>29</v>
      </c>
      <c r="F1257" t="s">
        <v>76</v>
      </c>
      <c r="G1257" s="6">
        <v>2594.34</v>
      </c>
      <c r="H1257" s="7">
        <v>2.1000000000000001E-2</v>
      </c>
      <c r="I1257" s="6">
        <v>54.48</v>
      </c>
      <c r="J1257" s="6">
        <v>2648.82</v>
      </c>
      <c r="K1257" t="s">
        <v>2575</v>
      </c>
      <c r="L1257" t="s">
        <v>2576</v>
      </c>
    </row>
    <row r="1258" spans="1:13" ht="15" customHeight="1" x14ac:dyDescent="0.25">
      <c r="A1258">
        <v>1257</v>
      </c>
      <c r="B1258" s="5">
        <v>45950</v>
      </c>
      <c r="C1258" t="s">
        <v>27</v>
      </c>
      <c r="D1258" t="s">
        <v>34</v>
      </c>
      <c r="E1258" t="s">
        <v>35</v>
      </c>
      <c r="F1258" t="s">
        <v>106</v>
      </c>
      <c r="G1258" s="6">
        <v>2156.6</v>
      </c>
      <c r="H1258" s="7">
        <v>0.2</v>
      </c>
      <c r="I1258" s="6">
        <v>431.32</v>
      </c>
      <c r="J1258" s="6">
        <v>2587.92</v>
      </c>
      <c r="K1258" t="s">
        <v>2577</v>
      </c>
      <c r="L1258" t="s">
        <v>2578</v>
      </c>
    </row>
    <row r="1259" spans="1:13" ht="15" customHeight="1" x14ac:dyDescent="0.25">
      <c r="A1259">
        <v>1258</v>
      </c>
      <c r="B1259" s="5">
        <v>45792</v>
      </c>
      <c r="C1259" t="s">
        <v>33</v>
      </c>
      <c r="D1259" t="s">
        <v>79</v>
      </c>
      <c r="E1259" t="s">
        <v>80</v>
      </c>
      <c r="F1259" t="s">
        <v>36</v>
      </c>
      <c r="G1259" s="6">
        <v>2266.5300000000002</v>
      </c>
      <c r="H1259" s="7">
        <v>0.2</v>
      </c>
      <c r="I1259" s="6">
        <v>453.31</v>
      </c>
      <c r="J1259" s="6">
        <v>2719.84</v>
      </c>
      <c r="K1259" t="s">
        <v>2579</v>
      </c>
      <c r="L1259" t="s">
        <v>2580</v>
      </c>
    </row>
    <row r="1260" spans="1:13" ht="15" customHeight="1" x14ac:dyDescent="0.25">
      <c r="A1260">
        <v>1259</v>
      </c>
      <c r="B1260" s="5">
        <v>45803</v>
      </c>
      <c r="C1260" t="s">
        <v>27</v>
      </c>
      <c r="D1260" t="s">
        <v>55</v>
      </c>
      <c r="E1260" t="s">
        <v>56</v>
      </c>
      <c r="F1260" t="s">
        <v>39</v>
      </c>
      <c r="G1260" s="6">
        <v>1496.53</v>
      </c>
      <c r="H1260" s="7">
        <v>5.5E-2</v>
      </c>
      <c r="I1260" s="6">
        <v>82.31</v>
      </c>
      <c r="J1260" s="6">
        <v>1578.84</v>
      </c>
      <c r="K1260" t="s">
        <v>2581</v>
      </c>
      <c r="M1260" t="s">
        <v>186</v>
      </c>
    </row>
    <row r="1261" spans="1:13" ht="15" customHeight="1" x14ac:dyDescent="0.25">
      <c r="A1261">
        <v>1260</v>
      </c>
      <c r="B1261" s="5">
        <v>45845</v>
      </c>
      <c r="C1261" t="s">
        <v>33</v>
      </c>
      <c r="D1261" t="s">
        <v>28</v>
      </c>
      <c r="E1261" t="s">
        <v>29</v>
      </c>
      <c r="F1261" t="s">
        <v>81</v>
      </c>
      <c r="G1261" s="6">
        <v>1622.04</v>
      </c>
      <c r="H1261" s="7">
        <v>2.1000000000000001E-2</v>
      </c>
      <c r="I1261" s="6">
        <v>34.06</v>
      </c>
      <c r="J1261" s="6">
        <v>1656.1</v>
      </c>
      <c r="K1261" t="s">
        <v>2582</v>
      </c>
      <c r="L1261" t="s">
        <v>2583</v>
      </c>
    </row>
    <row r="1262" spans="1:13" ht="15" customHeight="1" x14ac:dyDescent="0.25">
      <c r="A1262">
        <v>1261</v>
      </c>
      <c r="B1262" s="5">
        <v>45978</v>
      </c>
      <c r="C1262" t="s">
        <v>33</v>
      </c>
      <c r="D1262" t="s">
        <v>42</v>
      </c>
      <c r="E1262" t="s">
        <v>43</v>
      </c>
      <c r="F1262" t="s">
        <v>44</v>
      </c>
      <c r="G1262" s="6">
        <v>2033.64</v>
      </c>
      <c r="H1262" s="7">
        <v>0</v>
      </c>
      <c r="I1262" s="6">
        <v>0</v>
      </c>
      <c r="J1262" s="6">
        <v>2033.64</v>
      </c>
      <c r="K1262" t="s">
        <v>2584</v>
      </c>
      <c r="L1262" t="s">
        <v>2585</v>
      </c>
    </row>
    <row r="1263" spans="1:13" ht="15" customHeight="1" x14ac:dyDescent="0.25">
      <c r="A1263">
        <v>1262</v>
      </c>
      <c r="B1263" s="5">
        <v>45686</v>
      </c>
      <c r="C1263" t="s">
        <v>47</v>
      </c>
      <c r="D1263" t="s">
        <v>63</v>
      </c>
      <c r="E1263" t="s">
        <v>64</v>
      </c>
      <c r="F1263" t="s">
        <v>71</v>
      </c>
      <c r="G1263" s="6">
        <v>3002.68</v>
      </c>
      <c r="H1263" s="7">
        <v>0.2</v>
      </c>
      <c r="I1263" s="6">
        <v>600.54</v>
      </c>
      <c r="J1263" s="6">
        <v>3603.22</v>
      </c>
      <c r="K1263" t="s">
        <v>2586</v>
      </c>
      <c r="L1263" t="s">
        <v>2587</v>
      </c>
    </row>
    <row r="1264" spans="1:13" ht="15" customHeight="1" x14ac:dyDescent="0.25">
      <c r="A1264">
        <v>1263</v>
      </c>
      <c r="B1264" s="5">
        <v>45701</v>
      </c>
      <c r="C1264" t="s">
        <v>27</v>
      </c>
      <c r="D1264" t="s">
        <v>55</v>
      </c>
      <c r="E1264" t="s">
        <v>56</v>
      </c>
      <c r="F1264" t="s">
        <v>87</v>
      </c>
      <c r="G1264" s="6">
        <v>4103.92</v>
      </c>
      <c r="H1264" s="7">
        <v>5.5E-2</v>
      </c>
      <c r="I1264" s="6">
        <v>225.72</v>
      </c>
      <c r="J1264" s="6">
        <v>4329.6400000000003</v>
      </c>
      <c r="K1264" t="s">
        <v>2588</v>
      </c>
      <c r="L1264" t="s">
        <v>2589</v>
      </c>
    </row>
    <row r="1265" spans="1:13" ht="15" customHeight="1" x14ac:dyDescent="0.25">
      <c r="A1265">
        <v>1264</v>
      </c>
      <c r="B1265" s="5">
        <v>45933</v>
      </c>
      <c r="C1265" t="s">
        <v>33</v>
      </c>
      <c r="D1265" t="s">
        <v>55</v>
      </c>
      <c r="E1265" t="s">
        <v>56</v>
      </c>
      <c r="F1265" t="s">
        <v>76</v>
      </c>
      <c r="G1265" s="6">
        <v>1521.44</v>
      </c>
      <c r="H1265" s="7">
        <v>0.2</v>
      </c>
      <c r="I1265" s="6">
        <v>304.29000000000002</v>
      </c>
      <c r="J1265" s="6">
        <v>1825.73</v>
      </c>
      <c r="K1265" t="s">
        <v>2590</v>
      </c>
      <c r="L1265" t="s">
        <v>2591</v>
      </c>
      <c r="M1265" t="s">
        <v>447</v>
      </c>
    </row>
    <row r="1266" spans="1:13" ht="15" customHeight="1" x14ac:dyDescent="0.25">
      <c r="A1266">
        <v>1265</v>
      </c>
      <c r="B1266" s="5">
        <v>45873</v>
      </c>
      <c r="C1266" t="s">
        <v>47</v>
      </c>
      <c r="D1266" t="s">
        <v>172</v>
      </c>
      <c r="E1266" t="s">
        <v>173</v>
      </c>
      <c r="F1266" t="s">
        <v>81</v>
      </c>
      <c r="G1266" s="6">
        <v>1258.46</v>
      </c>
      <c r="H1266" s="7">
        <v>0.2</v>
      </c>
      <c r="I1266" s="6">
        <v>251.69</v>
      </c>
      <c r="J1266" s="6">
        <v>1510.15</v>
      </c>
      <c r="K1266" t="s">
        <v>2592</v>
      </c>
      <c r="L1266" t="s">
        <v>2593</v>
      </c>
    </row>
    <row r="1267" spans="1:13" ht="15" customHeight="1" x14ac:dyDescent="0.25">
      <c r="A1267">
        <v>1266</v>
      </c>
      <c r="B1267" s="5">
        <v>45820</v>
      </c>
      <c r="C1267" t="s">
        <v>27</v>
      </c>
      <c r="D1267" t="s">
        <v>28</v>
      </c>
      <c r="E1267" t="s">
        <v>29</v>
      </c>
      <c r="F1267" t="s">
        <v>36</v>
      </c>
      <c r="G1267" s="6">
        <v>1749.6</v>
      </c>
      <c r="H1267" s="7">
        <v>2.1000000000000001E-2</v>
      </c>
      <c r="I1267" s="6">
        <v>36.74</v>
      </c>
      <c r="J1267" s="6">
        <v>1786.34</v>
      </c>
      <c r="K1267" t="s">
        <v>2594</v>
      </c>
      <c r="L1267" t="s">
        <v>2595</v>
      </c>
    </row>
    <row r="1268" spans="1:13" ht="15" customHeight="1" x14ac:dyDescent="0.25">
      <c r="A1268">
        <v>1267</v>
      </c>
      <c r="B1268" s="5">
        <v>45908</v>
      </c>
      <c r="C1268" t="s">
        <v>27</v>
      </c>
      <c r="D1268" t="s">
        <v>28</v>
      </c>
      <c r="E1268" t="s">
        <v>29</v>
      </c>
      <c r="F1268" t="s">
        <v>120</v>
      </c>
      <c r="G1268" s="6">
        <v>522.25</v>
      </c>
      <c r="H1268" s="7">
        <v>2.1000000000000001E-2</v>
      </c>
      <c r="I1268" s="6">
        <v>10.97</v>
      </c>
      <c r="J1268" s="6">
        <v>533.22</v>
      </c>
      <c r="K1268" t="s">
        <v>2596</v>
      </c>
      <c r="L1268" t="s">
        <v>2597</v>
      </c>
    </row>
    <row r="1269" spans="1:13" ht="15" customHeight="1" x14ac:dyDescent="0.25">
      <c r="A1269">
        <v>1268</v>
      </c>
      <c r="B1269" s="5">
        <v>45999</v>
      </c>
      <c r="C1269" t="s">
        <v>47</v>
      </c>
      <c r="D1269" t="s">
        <v>79</v>
      </c>
      <c r="E1269" t="s">
        <v>80</v>
      </c>
      <c r="F1269" t="s">
        <v>84</v>
      </c>
      <c r="G1269" s="6">
        <v>1580.76</v>
      </c>
      <c r="H1269" s="7">
        <v>0.2</v>
      </c>
      <c r="I1269" s="6">
        <v>316.14999999999998</v>
      </c>
      <c r="J1269" s="6">
        <v>1896.91</v>
      </c>
      <c r="K1269" t="s">
        <v>2598</v>
      </c>
      <c r="L1269" t="s">
        <v>2599</v>
      </c>
    </row>
    <row r="1270" spans="1:13" ht="15" customHeight="1" x14ac:dyDescent="0.25">
      <c r="A1270">
        <v>1269</v>
      </c>
      <c r="B1270" s="5">
        <v>45761</v>
      </c>
      <c r="C1270" t="s">
        <v>47</v>
      </c>
      <c r="D1270" t="s">
        <v>94</v>
      </c>
      <c r="E1270" t="s">
        <v>95</v>
      </c>
      <c r="F1270" t="s">
        <v>44</v>
      </c>
      <c r="G1270" s="6">
        <v>2618.34</v>
      </c>
      <c r="H1270" s="7">
        <v>0</v>
      </c>
      <c r="I1270" s="6">
        <v>0</v>
      </c>
      <c r="J1270" s="6">
        <v>2618.34</v>
      </c>
      <c r="K1270" t="s">
        <v>2600</v>
      </c>
      <c r="L1270" t="s">
        <v>2601</v>
      </c>
    </row>
    <row r="1271" spans="1:13" ht="15" customHeight="1" x14ac:dyDescent="0.25">
      <c r="A1271">
        <v>1270</v>
      </c>
      <c r="B1271" s="5">
        <v>45932</v>
      </c>
      <c r="C1271" t="s">
        <v>33</v>
      </c>
      <c r="D1271" t="s">
        <v>42</v>
      </c>
      <c r="E1271" t="s">
        <v>43</v>
      </c>
      <c r="F1271" t="s">
        <v>44</v>
      </c>
      <c r="G1271" s="6">
        <v>2436.37</v>
      </c>
      <c r="H1271" s="7">
        <v>0</v>
      </c>
      <c r="I1271" s="6">
        <v>0</v>
      </c>
      <c r="J1271" s="6">
        <v>2436.37</v>
      </c>
      <c r="K1271" t="s">
        <v>2602</v>
      </c>
      <c r="L1271" t="s">
        <v>2603</v>
      </c>
    </row>
    <row r="1272" spans="1:13" ht="15" customHeight="1" x14ac:dyDescent="0.25">
      <c r="A1272">
        <v>1271</v>
      </c>
      <c r="B1272" s="5">
        <v>45705</v>
      </c>
      <c r="C1272" t="s">
        <v>27</v>
      </c>
      <c r="D1272" t="s">
        <v>63</v>
      </c>
      <c r="E1272" t="s">
        <v>64</v>
      </c>
      <c r="F1272" t="s">
        <v>84</v>
      </c>
      <c r="G1272" s="6">
        <v>3252.26</v>
      </c>
      <c r="H1272" s="7">
        <v>0.2</v>
      </c>
      <c r="I1272" s="6">
        <v>650.45000000000005</v>
      </c>
      <c r="J1272" s="6">
        <v>3902.71</v>
      </c>
      <c r="K1272" t="s">
        <v>2604</v>
      </c>
      <c r="L1272" t="s">
        <v>2605</v>
      </c>
    </row>
    <row r="1273" spans="1:13" ht="15" customHeight="1" x14ac:dyDescent="0.25">
      <c r="A1273">
        <v>1272</v>
      </c>
      <c r="B1273" s="5">
        <v>45692</v>
      </c>
      <c r="C1273" t="s">
        <v>27</v>
      </c>
      <c r="D1273" t="s">
        <v>55</v>
      </c>
      <c r="E1273" t="s">
        <v>56</v>
      </c>
      <c r="F1273" t="s">
        <v>106</v>
      </c>
      <c r="G1273" s="6">
        <v>2583.61</v>
      </c>
      <c r="H1273" s="7">
        <v>5.5E-2</v>
      </c>
      <c r="I1273" s="6">
        <v>142.1</v>
      </c>
      <c r="J1273" s="6">
        <v>2725.71</v>
      </c>
      <c r="K1273" t="s">
        <v>2606</v>
      </c>
      <c r="L1273" t="s">
        <v>2607</v>
      </c>
    </row>
    <row r="1274" spans="1:13" ht="15" customHeight="1" x14ac:dyDescent="0.25">
      <c r="A1274">
        <v>1273</v>
      </c>
      <c r="B1274" s="5">
        <v>45812</v>
      </c>
      <c r="C1274" t="s">
        <v>47</v>
      </c>
      <c r="D1274" t="s">
        <v>28</v>
      </c>
      <c r="E1274" t="s">
        <v>29</v>
      </c>
      <c r="F1274" t="s">
        <v>174</v>
      </c>
      <c r="G1274" s="6">
        <v>2310.5100000000002</v>
      </c>
      <c r="H1274" s="7">
        <v>2.1000000000000001E-2</v>
      </c>
      <c r="I1274" s="6">
        <v>48.52</v>
      </c>
      <c r="J1274" s="6">
        <v>2359.0300000000002</v>
      </c>
      <c r="K1274" t="s">
        <v>2608</v>
      </c>
      <c r="L1274" t="s">
        <v>2609</v>
      </c>
    </row>
    <row r="1275" spans="1:13" ht="15" customHeight="1" x14ac:dyDescent="0.25">
      <c r="A1275">
        <v>1274</v>
      </c>
      <c r="B1275" s="5">
        <v>45870</v>
      </c>
      <c r="C1275" t="s">
        <v>27</v>
      </c>
      <c r="D1275" t="s">
        <v>172</v>
      </c>
      <c r="E1275" t="s">
        <v>173</v>
      </c>
      <c r="F1275" t="s">
        <v>84</v>
      </c>
      <c r="G1275" s="6">
        <v>1858.17</v>
      </c>
      <c r="H1275" s="7">
        <v>0.2</v>
      </c>
      <c r="I1275" s="6">
        <v>371.63</v>
      </c>
      <c r="J1275" s="6">
        <v>2229.8000000000002</v>
      </c>
      <c r="K1275" t="s">
        <v>2610</v>
      </c>
      <c r="L1275" t="s">
        <v>2611</v>
      </c>
    </row>
    <row r="1276" spans="1:13" ht="15" customHeight="1" x14ac:dyDescent="0.25">
      <c r="A1276">
        <v>1275</v>
      </c>
      <c r="B1276" s="5">
        <v>45938</v>
      </c>
      <c r="C1276" t="s">
        <v>47</v>
      </c>
      <c r="D1276" t="s">
        <v>34</v>
      </c>
      <c r="E1276" t="s">
        <v>35</v>
      </c>
      <c r="F1276" t="s">
        <v>39</v>
      </c>
      <c r="G1276" s="6">
        <v>878.26</v>
      </c>
      <c r="H1276" s="7">
        <v>0.2</v>
      </c>
      <c r="I1276" s="6">
        <v>175.65</v>
      </c>
      <c r="J1276" s="6">
        <v>1053.9100000000001</v>
      </c>
      <c r="K1276" t="s">
        <v>2612</v>
      </c>
      <c r="L1276" t="s">
        <v>2613</v>
      </c>
    </row>
    <row r="1277" spans="1:13" ht="15" customHeight="1" x14ac:dyDescent="0.25">
      <c r="A1277">
        <v>1276</v>
      </c>
      <c r="B1277" s="5">
        <v>45953</v>
      </c>
      <c r="C1277" t="s">
        <v>27</v>
      </c>
      <c r="D1277" t="s">
        <v>172</v>
      </c>
      <c r="E1277" t="s">
        <v>173</v>
      </c>
      <c r="F1277" t="s">
        <v>120</v>
      </c>
      <c r="G1277" s="6">
        <v>2286.48</v>
      </c>
      <c r="H1277" s="7">
        <v>0.2</v>
      </c>
      <c r="I1277" s="6">
        <v>457.3</v>
      </c>
      <c r="J1277" s="6">
        <v>2743.78</v>
      </c>
      <c r="K1277" t="s">
        <v>2614</v>
      </c>
      <c r="L1277" t="s">
        <v>2615</v>
      </c>
    </row>
    <row r="1278" spans="1:13" ht="15" customHeight="1" x14ac:dyDescent="0.25">
      <c r="A1278">
        <v>1277</v>
      </c>
      <c r="B1278" s="5">
        <v>45930</v>
      </c>
      <c r="C1278" t="s">
        <v>27</v>
      </c>
      <c r="D1278" t="s">
        <v>100</v>
      </c>
      <c r="E1278" t="s">
        <v>101</v>
      </c>
      <c r="F1278" t="s">
        <v>44</v>
      </c>
      <c r="G1278" s="6">
        <v>3846.66</v>
      </c>
      <c r="H1278" s="7">
        <v>0</v>
      </c>
      <c r="I1278" s="6">
        <v>0</v>
      </c>
      <c r="J1278" s="6">
        <v>3846.66</v>
      </c>
      <c r="K1278" t="s">
        <v>2616</v>
      </c>
      <c r="L1278" t="s">
        <v>2617</v>
      </c>
    </row>
    <row r="1279" spans="1:13" ht="15" customHeight="1" x14ac:dyDescent="0.25">
      <c r="A1279">
        <v>1278</v>
      </c>
      <c r="B1279" s="5">
        <v>45688</v>
      </c>
      <c r="C1279" t="s">
        <v>27</v>
      </c>
      <c r="D1279" t="s">
        <v>42</v>
      </c>
      <c r="E1279" t="s">
        <v>43</v>
      </c>
      <c r="F1279" t="s">
        <v>44</v>
      </c>
      <c r="G1279" s="6">
        <v>2674.26</v>
      </c>
      <c r="H1279" s="7">
        <v>0</v>
      </c>
      <c r="I1279" s="6">
        <v>0</v>
      </c>
      <c r="J1279" s="6">
        <v>2674.26</v>
      </c>
      <c r="K1279" t="s">
        <v>2618</v>
      </c>
      <c r="L1279" t="s">
        <v>2619</v>
      </c>
    </row>
    <row r="1280" spans="1:13" ht="15" customHeight="1" x14ac:dyDescent="0.25">
      <c r="A1280">
        <v>1279</v>
      </c>
      <c r="B1280" s="5">
        <v>46008</v>
      </c>
      <c r="C1280" t="s">
        <v>33</v>
      </c>
      <c r="D1280" t="s">
        <v>28</v>
      </c>
      <c r="E1280" t="s">
        <v>29</v>
      </c>
      <c r="F1280" t="s">
        <v>36</v>
      </c>
      <c r="G1280" s="6">
        <v>3463.64</v>
      </c>
      <c r="H1280" s="7">
        <v>2.1000000000000001E-2</v>
      </c>
      <c r="I1280" s="6">
        <v>72.739999999999995</v>
      </c>
      <c r="J1280" s="6">
        <v>3536.38</v>
      </c>
      <c r="K1280" t="s">
        <v>2620</v>
      </c>
      <c r="L1280" t="s">
        <v>2621</v>
      </c>
    </row>
    <row r="1281" spans="1:12" ht="15" customHeight="1" x14ac:dyDescent="0.25">
      <c r="A1281">
        <v>1280</v>
      </c>
      <c r="B1281" s="5">
        <v>45982</v>
      </c>
      <c r="C1281" t="s">
        <v>47</v>
      </c>
      <c r="D1281" t="s">
        <v>42</v>
      </c>
      <c r="E1281" t="s">
        <v>43</v>
      </c>
      <c r="F1281" t="s">
        <v>44</v>
      </c>
      <c r="G1281" s="6">
        <v>2789.85</v>
      </c>
      <c r="H1281" s="7">
        <v>0</v>
      </c>
      <c r="I1281" s="6">
        <v>0</v>
      </c>
      <c r="J1281" s="6">
        <v>2789.85</v>
      </c>
      <c r="K1281" t="s">
        <v>2622</v>
      </c>
      <c r="L1281" t="s">
        <v>2623</v>
      </c>
    </row>
    <row r="1282" spans="1:12" ht="15" customHeight="1" x14ac:dyDescent="0.25">
      <c r="A1282">
        <v>1281</v>
      </c>
      <c r="B1282" s="5">
        <v>45789</v>
      </c>
      <c r="C1282" t="s">
        <v>47</v>
      </c>
      <c r="D1282" t="s">
        <v>181</v>
      </c>
      <c r="E1282" t="s">
        <v>182</v>
      </c>
      <c r="F1282" t="s">
        <v>71</v>
      </c>
      <c r="G1282" s="6">
        <v>3115.9</v>
      </c>
      <c r="H1282" s="7">
        <v>0.2</v>
      </c>
      <c r="I1282" s="6">
        <v>623.17999999999995</v>
      </c>
      <c r="J1282" s="6">
        <v>3739.08</v>
      </c>
      <c r="K1282" t="s">
        <v>2624</v>
      </c>
      <c r="L1282" t="s">
        <v>2625</v>
      </c>
    </row>
    <row r="1283" spans="1:12" ht="15" customHeight="1" x14ac:dyDescent="0.25">
      <c r="A1283">
        <v>1282</v>
      </c>
      <c r="B1283" s="5">
        <v>45756</v>
      </c>
      <c r="C1283" t="s">
        <v>33</v>
      </c>
      <c r="D1283" t="s">
        <v>28</v>
      </c>
      <c r="E1283" t="s">
        <v>29</v>
      </c>
      <c r="F1283" t="s">
        <v>174</v>
      </c>
      <c r="G1283" s="6">
        <v>202.45</v>
      </c>
      <c r="H1283" s="7">
        <v>2.1000000000000001E-2</v>
      </c>
      <c r="I1283" s="6">
        <v>4.25</v>
      </c>
      <c r="J1283" s="6">
        <v>206.7</v>
      </c>
      <c r="K1283" t="s">
        <v>2626</v>
      </c>
      <c r="L1283" t="s">
        <v>2627</v>
      </c>
    </row>
    <row r="1284" spans="1:12" ht="15" customHeight="1" x14ac:dyDescent="0.25">
      <c r="A1284">
        <v>1283</v>
      </c>
      <c r="B1284" s="5">
        <v>45881</v>
      </c>
      <c r="C1284" t="s">
        <v>47</v>
      </c>
      <c r="D1284" t="s">
        <v>172</v>
      </c>
      <c r="E1284" t="s">
        <v>173</v>
      </c>
      <c r="F1284" t="s">
        <v>39</v>
      </c>
      <c r="G1284" s="6">
        <v>1945.32</v>
      </c>
      <c r="H1284" s="7">
        <v>0.2</v>
      </c>
      <c r="I1284" s="6">
        <v>389.06</v>
      </c>
      <c r="J1284" s="6">
        <v>2334.38</v>
      </c>
      <c r="K1284" t="s">
        <v>2628</v>
      </c>
      <c r="L1284" t="s">
        <v>2629</v>
      </c>
    </row>
    <row r="1285" spans="1:12" ht="15" customHeight="1" x14ac:dyDescent="0.25">
      <c r="A1285">
        <v>1284</v>
      </c>
      <c r="B1285" s="5">
        <v>45672</v>
      </c>
      <c r="C1285" t="s">
        <v>33</v>
      </c>
      <c r="D1285" t="s">
        <v>55</v>
      </c>
      <c r="E1285" t="s">
        <v>56</v>
      </c>
      <c r="F1285" t="s">
        <v>174</v>
      </c>
      <c r="G1285" s="6">
        <v>1222.1099999999999</v>
      </c>
      <c r="H1285" s="7">
        <v>5.5E-2</v>
      </c>
      <c r="I1285" s="6">
        <v>67.22</v>
      </c>
      <c r="J1285" s="6">
        <v>1289.33</v>
      </c>
      <c r="K1285" t="s">
        <v>2630</v>
      </c>
      <c r="L1285" t="s">
        <v>2631</v>
      </c>
    </row>
    <row r="1286" spans="1:12" ht="15" customHeight="1" x14ac:dyDescent="0.25">
      <c r="A1286">
        <v>1285</v>
      </c>
      <c r="B1286" s="5">
        <v>45679</v>
      </c>
      <c r="C1286" t="s">
        <v>27</v>
      </c>
      <c r="D1286" t="s">
        <v>28</v>
      </c>
      <c r="E1286" t="s">
        <v>29</v>
      </c>
      <c r="F1286" t="s">
        <v>76</v>
      </c>
      <c r="G1286" s="6">
        <v>4339.9399999999996</v>
      </c>
      <c r="H1286" s="7">
        <v>2.1000000000000001E-2</v>
      </c>
      <c r="I1286" s="6">
        <v>91.14</v>
      </c>
      <c r="J1286" s="6">
        <v>4431.08</v>
      </c>
      <c r="K1286" t="s">
        <v>2632</v>
      </c>
      <c r="L1286" t="s">
        <v>2633</v>
      </c>
    </row>
    <row r="1287" spans="1:12" ht="15" customHeight="1" x14ac:dyDescent="0.25">
      <c r="A1287">
        <v>1286</v>
      </c>
      <c r="B1287" s="5">
        <v>45700</v>
      </c>
      <c r="C1287" t="s">
        <v>33</v>
      </c>
      <c r="D1287" t="s">
        <v>28</v>
      </c>
      <c r="E1287" t="s">
        <v>29</v>
      </c>
      <c r="F1287" t="s">
        <v>174</v>
      </c>
      <c r="G1287" s="6">
        <v>1467.46</v>
      </c>
      <c r="H1287" s="7">
        <v>2.1000000000000001E-2</v>
      </c>
      <c r="I1287" s="6">
        <v>30.82</v>
      </c>
      <c r="J1287" s="6">
        <v>1498.28</v>
      </c>
      <c r="K1287" t="s">
        <v>2634</v>
      </c>
      <c r="L1287" t="s">
        <v>2635</v>
      </c>
    </row>
    <row r="1288" spans="1:12" ht="15" customHeight="1" x14ac:dyDescent="0.25">
      <c r="A1288">
        <v>1287</v>
      </c>
      <c r="B1288" s="5">
        <v>46001</v>
      </c>
      <c r="C1288" t="s">
        <v>47</v>
      </c>
      <c r="D1288" t="s">
        <v>100</v>
      </c>
      <c r="E1288" t="s">
        <v>101</v>
      </c>
      <c r="F1288" t="s">
        <v>44</v>
      </c>
      <c r="G1288" s="6">
        <v>2016.74</v>
      </c>
      <c r="H1288" s="7">
        <v>0</v>
      </c>
      <c r="I1288" s="6">
        <v>0</v>
      </c>
      <c r="J1288" s="6">
        <v>2016.74</v>
      </c>
      <c r="K1288" t="s">
        <v>2636</v>
      </c>
      <c r="L1288" t="s">
        <v>2637</v>
      </c>
    </row>
    <row r="1289" spans="1:12" ht="15" customHeight="1" x14ac:dyDescent="0.25">
      <c r="A1289">
        <v>1288</v>
      </c>
      <c r="B1289" s="5">
        <v>45778</v>
      </c>
      <c r="C1289" t="s">
        <v>27</v>
      </c>
      <c r="D1289" t="s">
        <v>42</v>
      </c>
      <c r="E1289" t="s">
        <v>43</v>
      </c>
      <c r="F1289" t="s">
        <v>44</v>
      </c>
      <c r="G1289" s="6">
        <v>3562.75</v>
      </c>
      <c r="H1289" s="7">
        <v>0</v>
      </c>
      <c r="I1289" s="6">
        <v>0</v>
      </c>
      <c r="J1289" s="6">
        <v>3562.75</v>
      </c>
      <c r="K1289" t="s">
        <v>2638</v>
      </c>
      <c r="L1289" t="s">
        <v>2639</v>
      </c>
    </row>
    <row r="1290" spans="1:12" ht="15" customHeight="1" x14ac:dyDescent="0.25">
      <c r="A1290">
        <v>1289</v>
      </c>
      <c r="B1290" s="5">
        <v>45926</v>
      </c>
      <c r="C1290" t="s">
        <v>27</v>
      </c>
      <c r="D1290" t="s">
        <v>34</v>
      </c>
      <c r="E1290" t="s">
        <v>35</v>
      </c>
      <c r="F1290" t="s">
        <v>87</v>
      </c>
      <c r="G1290" s="6">
        <v>1192.99</v>
      </c>
      <c r="H1290" s="7">
        <v>0.2</v>
      </c>
      <c r="I1290" s="6">
        <v>238.6</v>
      </c>
      <c r="J1290" s="6">
        <v>1431.59</v>
      </c>
      <c r="K1290" t="s">
        <v>2640</v>
      </c>
      <c r="L1290" t="s">
        <v>2641</v>
      </c>
    </row>
    <row r="1291" spans="1:12" ht="15" customHeight="1" x14ac:dyDescent="0.25">
      <c r="A1291">
        <v>1290</v>
      </c>
      <c r="B1291" s="5">
        <v>45818</v>
      </c>
      <c r="C1291" t="s">
        <v>27</v>
      </c>
      <c r="D1291" t="s">
        <v>28</v>
      </c>
      <c r="E1291" t="s">
        <v>29</v>
      </c>
      <c r="F1291" t="s">
        <v>84</v>
      </c>
      <c r="G1291" s="6">
        <v>1535.44</v>
      </c>
      <c r="H1291" s="7">
        <v>2.1000000000000001E-2</v>
      </c>
      <c r="I1291" s="6">
        <v>32.24</v>
      </c>
      <c r="J1291" s="6">
        <v>1567.68</v>
      </c>
      <c r="K1291" t="s">
        <v>2642</v>
      </c>
      <c r="L1291" t="s">
        <v>2643</v>
      </c>
    </row>
    <row r="1292" spans="1:12" ht="15" customHeight="1" x14ac:dyDescent="0.25">
      <c r="A1292">
        <v>1291</v>
      </c>
      <c r="B1292" s="5">
        <v>45778</v>
      </c>
      <c r="C1292" t="s">
        <v>47</v>
      </c>
      <c r="D1292" t="s">
        <v>42</v>
      </c>
      <c r="E1292" t="s">
        <v>43</v>
      </c>
      <c r="F1292" t="s">
        <v>44</v>
      </c>
      <c r="G1292" s="6">
        <v>2323.2199999999998</v>
      </c>
      <c r="H1292" s="7">
        <v>0</v>
      </c>
      <c r="I1292" s="6">
        <v>0</v>
      </c>
      <c r="J1292" s="6">
        <v>2323.2199999999998</v>
      </c>
      <c r="K1292" t="s">
        <v>2644</v>
      </c>
      <c r="L1292" t="s">
        <v>2645</v>
      </c>
    </row>
    <row r="1293" spans="1:12" ht="15" customHeight="1" x14ac:dyDescent="0.25">
      <c r="A1293">
        <v>1292</v>
      </c>
      <c r="B1293" s="5">
        <v>45798</v>
      </c>
      <c r="C1293" t="s">
        <v>33</v>
      </c>
      <c r="D1293" t="s">
        <v>28</v>
      </c>
      <c r="E1293" t="s">
        <v>29</v>
      </c>
      <c r="F1293" t="s">
        <v>174</v>
      </c>
      <c r="G1293" s="6">
        <v>2022.48</v>
      </c>
      <c r="H1293" s="7">
        <v>2.1000000000000001E-2</v>
      </c>
      <c r="I1293" s="6">
        <v>42.47</v>
      </c>
      <c r="J1293" s="6">
        <v>2064.9499999999998</v>
      </c>
      <c r="K1293" t="s">
        <v>2646</v>
      </c>
      <c r="L1293" t="s">
        <v>2647</v>
      </c>
    </row>
    <row r="1294" spans="1:12" ht="15" customHeight="1" x14ac:dyDescent="0.25">
      <c r="A1294">
        <v>1293</v>
      </c>
      <c r="B1294" s="5">
        <v>45849</v>
      </c>
      <c r="C1294" t="s">
        <v>33</v>
      </c>
      <c r="D1294" t="s">
        <v>79</v>
      </c>
      <c r="E1294" t="s">
        <v>80</v>
      </c>
      <c r="F1294" t="s">
        <v>87</v>
      </c>
      <c r="G1294" s="6">
        <v>3172.31</v>
      </c>
      <c r="H1294" s="7">
        <v>0.2</v>
      </c>
      <c r="I1294" s="6">
        <v>634.46</v>
      </c>
      <c r="J1294" s="6">
        <v>3806.77</v>
      </c>
      <c r="K1294" t="s">
        <v>2648</v>
      </c>
      <c r="L1294" t="s">
        <v>2649</v>
      </c>
    </row>
    <row r="1295" spans="1:12" ht="15" customHeight="1" x14ac:dyDescent="0.25">
      <c r="A1295">
        <v>1294</v>
      </c>
      <c r="B1295" s="5">
        <v>46007</v>
      </c>
      <c r="C1295" t="s">
        <v>27</v>
      </c>
      <c r="D1295" t="s">
        <v>63</v>
      </c>
      <c r="E1295" t="s">
        <v>64</v>
      </c>
      <c r="F1295" t="s">
        <v>174</v>
      </c>
      <c r="G1295" s="6">
        <v>1168.8499999999999</v>
      </c>
      <c r="H1295" s="7">
        <v>0.2</v>
      </c>
      <c r="I1295" s="6">
        <v>233.77</v>
      </c>
      <c r="J1295" s="6">
        <v>1402.62</v>
      </c>
      <c r="K1295" t="s">
        <v>2650</v>
      </c>
      <c r="L1295" t="s">
        <v>2651</v>
      </c>
    </row>
    <row r="1296" spans="1:12" ht="15" customHeight="1" x14ac:dyDescent="0.25">
      <c r="A1296">
        <v>1295</v>
      </c>
      <c r="B1296" s="5">
        <v>45846</v>
      </c>
      <c r="C1296" t="s">
        <v>33</v>
      </c>
      <c r="D1296" t="s">
        <v>55</v>
      </c>
      <c r="E1296" t="s">
        <v>56</v>
      </c>
      <c r="F1296" t="s">
        <v>39</v>
      </c>
      <c r="G1296" s="6">
        <v>3710.43</v>
      </c>
      <c r="H1296" s="7">
        <v>5.5E-2</v>
      </c>
      <c r="I1296" s="6">
        <v>204.07</v>
      </c>
      <c r="J1296" s="6">
        <v>3914.5</v>
      </c>
      <c r="K1296" t="s">
        <v>2652</v>
      </c>
      <c r="L1296" t="s">
        <v>2653</v>
      </c>
    </row>
    <row r="1297" spans="1:12" ht="15" customHeight="1" x14ac:dyDescent="0.25">
      <c r="A1297">
        <v>1296</v>
      </c>
      <c r="B1297" s="5">
        <v>45685</v>
      </c>
      <c r="C1297" t="s">
        <v>27</v>
      </c>
      <c r="D1297" t="s">
        <v>28</v>
      </c>
      <c r="E1297" t="s">
        <v>29</v>
      </c>
      <c r="F1297" t="s">
        <v>120</v>
      </c>
      <c r="G1297" s="6">
        <v>3132.82</v>
      </c>
      <c r="H1297" s="7">
        <v>2.1000000000000001E-2</v>
      </c>
      <c r="I1297" s="6">
        <v>65.790000000000006</v>
      </c>
      <c r="J1297" s="6">
        <v>3198.61</v>
      </c>
      <c r="K1297" t="s">
        <v>2654</v>
      </c>
      <c r="L1297" t="s">
        <v>2655</v>
      </c>
    </row>
    <row r="1298" spans="1:12" ht="15" customHeight="1" x14ac:dyDescent="0.25">
      <c r="A1298">
        <v>1297</v>
      </c>
      <c r="B1298" s="5">
        <v>45985</v>
      </c>
      <c r="C1298" t="s">
        <v>47</v>
      </c>
      <c r="D1298" t="s">
        <v>172</v>
      </c>
      <c r="E1298" t="s">
        <v>173</v>
      </c>
      <c r="F1298" t="s">
        <v>50</v>
      </c>
      <c r="G1298" s="6">
        <v>4316.5</v>
      </c>
      <c r="H1298" s="7">
        <v>0.2</v>
      </c>
      <c r="I1298" s="6">
        <v>863.3</v>
      </c>
      <c r="J1298" s="6">
        <v>5179.8</v>
      </c>
      <c r="K1298" t="s">
        <v>2656</v>
      </c>
      <c r="L1298" t="s">
        <v>2657</v>
      </c>
    </row>
    <row r="1299" spans="1:12" ht="15" customHeight="1" x14ac:dyDescent="0.25">
      <c r="A1299">
        <v>1298</v>
      </c>
      <c r="B1299" s="5">
        <v>45779</v>
      </c>
      <c r="C1299" t="s">
        <v>27</v>
      </c>
      <c r="D1299" t="s">
        <v>28</v>
      </c>
      <c r="E1299" t="s">
        <v>29</v>
      </c>
      <c r="F1299" t="s">
        <v>36</v>
      </c>
      <c r="G1299" s="6">
        <v>3870.8</v>
      </c>
      <c r="H1299" s="7">
        <v>2.1000000000000001E-2</v>
      </c>
      <c r="I1299" s="6">
        <v>81.290000000000006</v>
      </c>
      <c r="J1299" s="6">
        <v>3952.09</v>
      </c>
      <c r="K1299" t="s">
        <v>2658</v>
      </c>
      <c r="L1299" t="s">
        <v>2659</v>
      </c>
    </row>
    <row r="1300" spans="1:12" ht="15" customHeight="1" x14ac:dyDescent="0.25">
      <c r="A1300">
        <v>1299</v>
      </c>
      <c r="B1300" s="5">
        <v>45812</v>
      </c>
      <c r="C1300" t="s">
        <v>47</v>
      </c>
      <c r="D1300" t="s">
        <v>100</v>
      </c>
      <c r="E1300" t="s">
        <v>101</v>
      </c>
      <c r="F1300" t="s">
        <v>44</v>
      </c>
      <c r="G1300" s="6">
        <v>3774.5</v>
      </c>
      <c r="H1300" s="7">
        <v>0</v>
      </c>
      <c r="I1300" s="6">
        <v>0</v>
      </c>
      <c r="J1300" s="6">
        <v>3774.5</v>
      </c>
      <c r="K1300" t="s">
        <v>2660</v>
      </c>
      <c r="L1300" t="s">
        <v>2661</v>
      </c>
    </row>
    <row r="1301" spans="1:12" ht="15" customHeight="1" x14ac:dyDescent="0.25">
      <c r="A1301">
        <v>1300</v>
      </c>
      <c r="B1301" s="5">
        <v>45740</v>
      </c>
      <c r="C1301" t="s">
        <v>47</v>
      </c>
      <c r="D1301" t="s">
        <v>28</v>
      </c>
      <c r="E1301" t="s">
        <v>29</v>
      </c>
      <c r="F1301" t="s">
        <v>120</v>
      </c>
      <c r="G1301" s="6">
        <v>4128.24</v>
      </c>
      <c r="H1301" s="7">
        <v>2.1000000000000001E-2</v>
      </c>
      <c r="I1301" s="6">
        <v>86.69</v>
      </c>
      <c r="J1301" s="6">
        <v>4214.93</v>
      </c>
      <c r="K1301" t="s">
        <v>2662</v>
      </c>
      <c r="L1301" t="s">
        <v>2663</v>
      </c>
    </row>
    <row r="1302" spans="1:12" ht="15" customHeight="1" x14ac:dyDescent="0.25">
      <c r="A1302">
        <v>1301</v>
      </c>
      <c r="B1302" s="5">
        <v>45798</v>
      </c>
      <c r="C1302" t="s">
        <v>27</v>
      </c>
      <c r="D1302" t="s">
        <v>63</v>
      </c>
      <c r="E1302" t="s">
        <v>64</v>
      </c>
      <c r="F1302" t="s">
        <v>76</v>
      </c>
      <c r="G1302" s="6">
        <v>3909.69</v>
      </c>
      <c r="H1302" s="7">
        <v>0.2</v>
      </c>
      <c r="I1302" s="6">
        <v>781.94</v>
      </c>
      <c r="J1302" s="6">
        <v>4691.63</v>
      </c>
      <c r="K1302" t="s">
        <v>2664</v>
      </c>
      <c r="L1302" t="s">
        <v>2665</v>
      </c>
    </row>
    <row r="1303" spans="1:12" ht="15" customHeight="1" x14ac:dyDescent="0.25">
      <c r="A1303">
        <v>1302</v>
      </c>
      <c r="B1303" s="5">
        <v>45828</v>
      </c>
      <c r="C1303" t="s">
        <v>27</v>
      </c>
      <c r="D1303" t="s">
        <v>63</v>
      </c>
      <c r="E1303" t="s">
        <v>64</v>
      </c>
      <c r="F1303" t="s">
        <v>87</v>
      </c>
      <c r="G1303" s="6">
        <v>3250.85</v>
      </c>
      <c r="H1303" s="7">
        <v>0.2</v>
      </c>
      <c r="I1303" s="6">
        <v>650.16999999999996</v>
      </c>
      <c r="J1303" s="6">
        <v>3901.02</v>
      </c>
      <c r="K1303" t="s">
        <v>2666</v>
      </c>
      <c r="L1303" t="s">
        <v>2667</v>
      </c>
    </row>
    <row r="1304" spans="1:12" ht="15" customHeight="1" x14ac:dyDescent="0.25">
      <c r="A1304">
        <v>1303</v>
      </c>
      <c r="B1304" s="5">
        <v>45917</v>
      </c>
      <c r="C1304" t="s">
        <v>33</v>
      </c>
      <c r="D1304" t="s">
        <v>42</v>
      </c>
      <c r="E1304" t="s">
        <v>43</v>
      </c>
      <c r="F1304" t="s">
        <v>44</v>
      </c>
      <c r="G1304" s="6">
        <v>2810.09</v>
      </c>
      <c r="H1304" s="7">
        <v>0</v>
      </c>
      <c r="I1304" s="6">
        <v>0</v>
      </c>
      <c r="J1304" s="6">
        <v>2810.09</v>
      </c>
      <c r="K1304" t="s">
        <v>2668</v>
      </c>
      <c r="L1304" t="s">
        <v>2669</v>
      </c>
    </row>
    <row r="1305" spans="1:12" ht="15" customHeight="1" x14ac:dyDescent="0.25">
      <c r="A1305">
        <v>1304</v>
      </c>
      <c r="B1305" s="5">
        <v>45890</v>
      </c>
      <c r="C1305" t="s">
        <v>27</v>
      </c>
      <c r="D1305" t="s">
        <v>42</v>
      </c>
      <c r="E1305" t="s">
        <v>43</v>
      </c>
      <c r="F1305" t="s">
        <v>44</v>
      </c>
      <c r="G1305" s="6">
        <v>3628.74</v>
      </c>
      <c r="H1305" s="7">
        <v>0</v>
      </c>
      <c r="I1305" s="6">
        <v>0</v>
      </c>
      <c r="J1305" s="6">
        <v>3628.74</v>
      </c>
      <c r="K1305" t="s">
        <v>2670</v>
      </c>
      <c r="L1305" t="s">
        <v>2671</v>
      </c>
    </row>
    <row r="1306" spans="1:12" ht="15" customHeight="1" x14ac:dyDescent="0.25">
      <c r="A1306">
        <v>1305</v>
      </c>
      <c r="B1306" s="5">
        <v>45986</v>
      </c>
      <c r="C1306" t="s">
        <v>27</v>
      </c>
      <c r="D1306" t="s">
        <v>28</v>
      </c>
      <c r="E1306" t="s">
        <v>29</v>
      </c>
      <c r="F1306" t="s">
        <v>36</v>
      </c>
      <c r="G1306" s="6">
        <v>681.53</v>
      </c>
      <c r="H1306" s="7">
        <v>2.1000000000000001E-2</v>
      </c>
      <c r="I1306" s="6">
        <v>14.31</v>
      </c>
      <c r="J1306" s="6">
        <v>695.84</v>
      </c>
      <c r="K1306" t="s">
        <v>2672</v>
      </c>
      <c r="L1306" t="s">
        <v>2673</v>
      </c>
    </row>
    <row r="1307" spans="1:12" ht="15" customHeight="1" x14ac:dyDescent="0.25">
      <c r="A1307">
        <v>1306</v>
      </c>
      <c r="B1307" s="5">
        <v>45952</v>
      </c>
      <c r="C1307" t="s">
        <v>27</v>
      </c>
      <c r="D1307" t="s">
        <v>55</v>
      </c>
      <c r="E1307" t="s">
        <v>56</v>
      </c>
      <c r="F1307" t="s">
        <v>30</v>
      </c>
      <c r="G1307" s="6">
        <v>443.47</v>
      </c>
      <c r="H1307" s="7">
        <v>5.5E-2</v>
      </c>
      <c r="I1307" s="6">
        <v>24.39</v>
      </c>
      <c r="J1307" s="6">
        <v>467.86</v>
      </c>
      <c r="K1307" t="s">
        <v>2674</v>
      </c>
      <c r="L1307" t="s">
        <v>2675</v>
      </c>
    </row>
    <row r="1308" spans="1:12" ht="15" customHeight="1" x14ac:dyDescent="0.25">
      <c r="A1308">
        <v>1307</v>
      </c>
      <c r="B1308" s="5">
        <v>46009</v>
      </c>
      <c r="C1308" t="s">
        <v>27</v>
      </c>
      <c r="D1308" t="s">
        <v>42</v>
      </c>
      <c r="E1308" t="s">
        <v>43</v>
      </c>
      <c r="F1308" t="s">
        <v>44</v>
      </c>
      <c r="G1308" s="6">
        <v>4054.6</v>
      </c>
      <c r="H1308" s="7">
        <v>0</v>
      </c>
      <c r="I1308" s="6">
        <v>0</v>
      </c>
      <c r="J1308" s="6">
        <v>4054.6</v>
      </c>
      <c r="K1308" t="s">
        <v>2676</v>
      </c>
      <c r="L1308" t="s">
        <v>2677</v>
      </c>
    </row>
    <row r="1309" spans="1:12" ht="15" customHeight="1" x14ac:dyDescent="0.25">
      <c r="A1309">
        <v>1308</v>
      </c>
      <c r="B1309" s="5">
        <v>45726</v>
      </c>
      <c r="C1309" t="s">
        <v>47</v>
      </c>
      <c r="D1309" t="s">
        <v>100</v>
      </c>
      <c r="E1309" t="s">
        <v>101</v>
      </c>
      <c r="F1309" t="s">
        <v>44</v>
      </c>
      <c r="G1309" s="6">
        <v>3449.92</v>
      </c>
      <c r="H1309" s="7">
        <v>0</v>
      </c>
      <c r="I1309" s="6">
        <v>0</v>
      </c>
      <c r="J1309" s="6">
        <v>3449.92</v>
      </c>
      <c r="K1309" t="s">
        <v>2678</v>
      </c>
      <c r="L1309" t="s">
        <v>2679</v>
      </c>
    </row>
    <row r="1310" spans="1:12" ht="15" customHeight="1" x14ac:dyDescent="0.25">
      <c r="A1310">
        <v>1309</v>
      </c>
      <c r="B1310" s="5">
        <v>45701</v>
      </c>
      <c r="C1310" t="s">
        <v>47</v>
      </c>
      <c r="D1310" t="s">
        <v>42</v>
      </c>
      <c r="E1310" t="s">
        <v>43</v>
      </c>
      <c r="F1310" t="s">
        <v>44</v>
      </c>
      <c r="G1310" s="6">
        <v>2236.5300000000002</v>
      </c>
      <c r="H1310" s="7">
        <v>0</v>
      </c>
      <c r="I1310" s="6">
        <v>0</v>
      </c>
      <c r="J1310" s="6">
        <v>2236.5300000000002</v>
      </c>
      <c r="K1310" t="s">
        <v>2680</v>
      </c>
      <c r="L1310" t="s">
        <v>2681</v>
      </c>
    </row>
    <row r="1311" spans="1:12" ht="15" customHeight="1" x14ac:dyDescent="0.25">
      <c r="A1311">
        <v>1310</v>
      </c>
      <c r="B1311" s="5">
        <v>45943</v>
      </c>
      <c r="C1311" t="s">
        <v>27</v>
      </c>
      <c r="D1311" t="s">
        <v>55</v>
      </c>
      <c r="E1311" t="s">
        <v>56</v>
      </c>
      <c r="F1311" t="s">
        <v>120</v>
      </c>
      <c r="G1311" s="6">
        <v>2940.21</v>
      </c>
      <c r="H1311" s="7">
        <v>5.5E-2</v>
      </c>
      <c r="I1311" s="6">
        <v>161.71</v>
      </c>
      <c r="J1311" s="6">
        <v>3101.92</v>
      </c>
      <c r="K1311" t="s">
        <v>2682</v>
      </c>
      <c r="L1311" t="s">
        <v>2683</v>
      </c>
    </row>
    <row r="1312" spans="1:12" ht="15" customHeight="1" x14ac:dyDescent="0.25">
      <c r="A1312">
        <v>1311</v>
      </c>
      <c r="B1312" s="5">
        <v>45792</v>
      </c>
      <c r="C1312" t="s">
        <v>33</v>
      </c>
      <c r="D1312" t="s">
        <v>94</v>
      </c>
      <c r="E1312" t="s">
        <v>95</v>
      </c>
      <c r="F1312" t="s">
        <v>44</v>
      </c>
      <c r="G1312" s="6">
        <v>921.89</v>
      </c>
      <c r="H1312" s="7">
        <v>0</v>
      </c>
      <c r="I1312" s="6">
        <v>0</v>
      </c>
      <c r="J1312" s="6">
        <v>921.89</v>
      </c>
      <c r="K1312" t="s">
        <v>2684</v>
      </c>
      <c r="L1312" t="s">
        <v>2685</v>
      </c>
    </row>
    <row r="1313" spans="1:13" ht="15" customHeight="1" x14ac:dyDescent="0.25">
      <c r="A1313">
        <v>1312</v>
      </c>
      <c r="B1313" s="5">
        <v>45791</v>
      </c>
      <c r="C1313" t="s">
        <v>27</v>
      </c>
      <c r="D1313" t="s">
        <v>63</v>
      </c>
      <c r="E1313" t="s">
        <v>64</v>
      </c>
      <c r="F1313" t="s">
        <v>50</v>
      </c>
      <c r="G1313" s="6">
        <v>739.69</v>
      </c>
      <c r="H1313" s="7">
        <v>0.2</v>
      </c>
      <c r="I1313" s="6">
        <v>147.94</v>
      </c>
      <c r="J1313" s="6">
        <v>887.63</v>
      </c>
      <c r="K1313" t="s">
        <v>2686</v>
      </c>
      <c r="L1313" t="s">
        <v>2687</v>
      </c>
    </row>
    <row r="1314" spans="1:13" ht="15" customHeight="1" x14ac:dyDescent="0.25">
      <c r="A1314">
        <v>1313</v>
      </c>
      <c r="B1314" s="5">
        <v>45880</v>
      </c>
      <c r="C1314" t="s">
        <v>27</v>
      </c>
      <c r="D1314" t="s">
        <v>28</v>
      </c>
      <c r="E1314" t="s">
        <v>29</v>
      </c>
      <c r="F1314" t="s">
        <v>76</v>
      </c>
      <c r="G1314" s="6">
        <v>3498.25</v>
      </c>
      <c r="H1314" s="7">
        <v>2.1000000000000001E-2</v>
      </c>
      <c r="I1314" s="6">
        <v>73.459999999999994</v>
      </c>
      <c r="J1314" s="6">
        <v>3571.71</v>
      </c>
      <c r="K1314" t="s">
        <v>2688</v>
      </c>
      <c r="L1314" t="s">
        <v>2689</v>
      </c>
    </row>
    <row r="1315" spans="1:13" ht="15" customHeight="1" x14ac:dyDescent="0.25">
      <c r="A1315">
        <v>1314</v>
      </c>
      <c r="B1315" s="5">
        <v>45772</v>
      </c>
      <c r="C1315" t="s">
        <v>27</v>
      </c>
      <c r="D1315" t="s">
        <v>79</v>
      </c>
      <c r="E1315" t="s">
        <v>80</v>
      </c>
      <c r="F1315" t="s">
        <v>71</v>
      </c>
      <c r="G1315" s="6">
        <v>3233.95</v>
      </c>
      <c r="H1315" s="7">
        <v>0.2</v>
      </c>
      <c r="I1315" s="6">
        <v>646.79</v>
      </c>
      <c r="J1315" s="6">
        <v>3880.74</v>
      </c>
      <c r="K1315" t="s">
        <v>2690</v>
      </c>
      <c r="L1315" t="s">
        <v>2691</v>
      </c>
    </row>
    <row r="1316" spans="1:13" ht="15" customHeight="1" x14ac:dyDescent="0.25">
      <c r="A1316">
        <v>1315</v>
      </c>
      <c r="B1316" s="5">
        <v>45911</v>
      </c>
      <c r="C1316" t="s">
        <v>47</v>
      </c>
      <c r="D1316" t="s">
        <v>55</v>
      </c>
      <c r="E1316" t="s">
        <v>56</v>
      </c>
      <c r="F1316" t="s">
        <v>36</v>
      </c>
      <c r="G1316" s="6">
        <v>1768.76</v>
      </c>
      <c r="H1316" s="7">
        <v>5.5E-2</v>
      </c>
      <c r="I1316" s="6">
        <v>97.28</v>
      </c>
      <c r="J1316" s="6">
        <v>1866.04</v>
      </c>
      <c r="K1316" t="s">
        <v>2692</v>
      </c>
      <c r="L1316" t="s">
        <v>2693</v>
      </c>
    </row>
    <row r="1317" spans="1:13" ht="15" customHeight="1" x14ac:dyDescent="0.25">
      <c r="A1317">
        <v>1316</v>
      </c>
      <c r="B1317" s="5">
        <v>45754</v>
      </c>
      <c r="C1317" t="s">
        <v>33</v>
      </c>
      <c r="D1317" t="s">
        <v>172</v>
      </c>
      <c r="E1317" t="s">
        <v>173</v>
      </c>
      <c r="F1317" t="s">
        <v>36</v>
      </c>
      <c r="G1317" s="6">
        <v>1929.02</v>
      </c>
      <c r="H1317" s="7">
        <v>0.2</v>
      </c>
      <c r="I1317" s="6">
        <v>385.8</v>
      </c>
      <c r="J1317" s="6">
        <v>2314.8200000000002</v>
      </c>
      <c r="K1317" t="s">
        <v>2694</v>
      </c>
      <c r="L1317" t="s">
        <v>2695</v>
      </c>
    </row>
    <row r="1318" spans="1:13" ht="15" customHeight="1" x14ac:dyDescent="0.25">
      <c r="A1318">
        <v>1317</v>
      </c>
      <c r="B1318" s="5">
        <v>45792</v>
      </c>
      <c r="C1318" t="s">
        <v>33</v>
      </c>
      <c r="D1318" t="s">
        <v>28</v>
      </c>
      <c r="E1318" t="s">
        <v>29</v>
      </c>
      <c r="F1318" t="s">
        <v>76</v>
      </c>
      <c r="G1318" s="6">
        <v>1120.8499999999999</v>
      </c>
      <c r="H1318" s="7">
        <v>2.1000000000000001E-2</v>
      </c>
      <c r="I1318" s="6">
        <v>23.54</v>
      </c>
      <c r="J1318" s="6">
        <v>1144.3900000000001</v>
      </c>
      <c r="K1318" t="s">
        <v>2696</v>
      </c>
      <c r="L1318" t="s">
        <v>2697</v>
      </c>
    </row>
    <row r="1319" spans="1:13" ht="15" customHeight="1" x14ac:dyDescent="0.25">
      <c r="A1319">
        <v>1318</v>
      </c>
      <c r="B1319" s="5">
        <v>45989</v>
      </c>
      <c r="C1319" t="s">
        <v>47</v>
      </c>
      <c r="D1319" t="s">
        <v>172</v>
      </c>
      <c r="E1319" t="s">
        <v>173</v>
      </c>
      <c r="F1319" t="s">
        <v>39</v>
      </c>
      <c r="G1319" s="6">
        <v>2105.09</v>
      </c>
      <c r="H1319" s="7">
        <v>0.2</v>
      </c>
      <c r="I1319" s="6">
        <v>421.02</v>
      </c>
      <c r="J1319" s="6">
        <v>2526.11</v>
      </c>
      <c r="K1319" t="s">
        <v>2698</v>
      </c>
      <c r="M1319" t="s">
        <v>186</v>
      </c>
    </row>
    <row r="1320" spans="1:13" ht="15" customHeight="1" x14ac:dyDescent="0.25">
      <c r="A1320">
        <v>1319</v>
      </c>
      <c r="B1320" s="5">
        <v>45861</v>
      </c>
      <c r="C1320" t="s">
        <v>33</v>
      </c>
      <c r="D1320" t="s">
        <v>100</v>
      </c>
      <c r="E1320" t="s">
        <v>101</v>
      </c>
      <c r="F1320" t="s">
        <v>44</v>
      </c>
      <c r="G1320" s="6">
        <v>3512.01</v>
      </c>
      <c r="H1320" s="7">
        <v>0</v>
      </c>
      <c r="I1320" s="6">
        <v>0</v>
      </c>
      <c r="J1320" s="6">
        <v>3512.01</v>
      </c>
      <c r="K1320" t="s">
        <v>2699</v>
      </c>
      <c r="L1320" t="s">
        <v>2700</v>
      </c>
    </row>
    <row r="1321" spans="1:13" ht="15" customHeight="1" x14ac:dyDescent="0.25">
      <c r="A1321">
        <v>1320</v>
      </c>
      <c r="B1321" s="5">
        <v>45789</v>
      </c>
      <c r="C1321" t="s">
        <v>47</v>
      </c>
      <c r="D1321" t="s">
        <v>42</v>
      </c>
      <c r="E1321" t="s">
        <v>43</v>
      </c>
      <c r="F1321" t="s">
        <v>44</v>
      </c>
      <c r="G1321" s="6">
        <v>3136.8</v>
      </c>
      <c r="H1321" s="7">
        <v>0</v>
      </c>
      <c r="I1321" s="6">
        <v>0</v>
      </c>
      <c r="J1321" s="6">
        <v>3136.8</v>
      </c>
      <c r="K1321" t="s">
        <v>2701</v>
      </c>
      <c r="L1321" t="s">
        <v>2702</v>
      </c>
    </row>
    <row r="1322" spans="1:13" ht="15" customHeight="1" x14ac:dyDescent="0.25">
      <c r="A1322">
        <v>1321</v>
      </c>
      <c r="B1322" s="5">
        <v>45839</v>
      </c>
      <c r="C1322" t="s">
        <v>47</v>
      </c>
      <c r="D1322" t="s">
        <v>100</v>
      </c>
      <c r="E1322" t="s">
        <v>101</v>
      </c>
      <c r="F1322" t="s">
        <v>44</v>
      </c>
      <c r="G1322" s="6">
        <v>4054.37</v>
      </c>
      <c r="H1322" s="7">
        <v>0</v>
      </c>
      <c r="I1322" s="6">
        <v>0</v>
      </c>
      <c r="J1322" s="6">
        <v>4054.37</v>
      </c>
      <c r="K1322" t="s">
        <v>2703</v>
      </c>
      <c r="L1322" t="s">
        <v>2704</v>
      </c>
    </row>
    <row r="1323" spans="1:13" ht="15" customHeight="1" x14ac:dyDescent="0.25">
      <c r="A1323">
        <v>1322</v>
      </c>
      <c r="B1323" s="5">
        <v>45681</v>
      </c>
      <c r="C1323" t="s">
        <v>27</v>
      </c>
      <c r="D1323" t="s">
        <v>42</v>
      </c>
      <c r="E1323" t="s">
        <v>43</v>
      </c>
      <c r="F1323" t="s">
        <v>44</v>
      </c>
      <c r="G1323" s="6">
        <v>3010.9</v>
      </c>
      <c r="H1323" s="7">
        <v>0</v>
      </c>
      <c r="I1323" s="6">
        <v>0</v>
      </c>
      <c r="J1323" s="6">
        <v>3010.9</v>
      </c>
      <c r="K1323" t="s">
        <v>2705</v>
      </c>
      <c r="L1323" t="s">
        <v>2706</v>
      </c>
    </row>
    <row r="1324" spans="1:13" ht="15" customHeight="1" x14ac:dyDescent="0.25">
      <c r="A1324">
        <v>1323</v>
      </c>
      <c r="B1324" s="5">
        <v>46001</v>
      </c>
      <c r="C1324" t="s">
        <v>47</v>
      </c>
      <c r="D1324" t="s">
        <v>94</v>
      </c>
      <c r="E1324" t="s">
        <v>95</v>
      </c>
      <c r="F1324" t="s">
        <v>44</v>
      </c>
      <c r="G1324" s="6">
        <v>2920.14</v>
      </c>
      <c r="H1324" s="7">
        <v>0</v>
      </c>
      <c r="I1324" s="6">
        <v>0</v>
      </c>
      <c r="J1324" s="6">
        <v>2920.14</v>
      </c>
      <c r="K1324" t="s">
        <v>2707</v>
      </c>
      <c r="L1324" t="s">
        <v>2708</v>
      </c>
    </row>
    <row r="1325" spans="1:13" ht="15" customHeight="1" x14ac:dyDescent="0.25">
      <c r="A1325">
        <v>1324</v>
      </c>
      <c r="B1325" s="5">
        <v>45791</v>
      </c>
      <c r="C1325" t="s">
        <v>33</v>
      </c>
      <c r="D1325" t="s">
        <v>172</v>
      </c>
      <c r="E1325" t="s">
        <v>173</v>
      </c>
      <c r="F1325" t="s">
        <v>76</v>
      </c>
      <c r="G1325" s="6">
        <v>830.81</v>
      </c>
      <c r="H1325" s="7">
        <v>0.2</v>
      </c>
      <c r="I1325" s="6">
        <v>166.16</v>
      </c>
      <c r="J1325" s="6">
        <v>996.97</v>
      </c>
      <c r="K1325" t="s">
        <v>2709</v>
      </c>
      <c r="L1325" t="s">
        <v>2710</v>
      </c>
    </row>
    <row r="1326" spans="1:13" ht="15" customHeight="1" x14ac:dyDescent="0.25">
      <c r="A1326">
        <v>1325</v>
      </c>
      <c r="B1326" s="5">
        <v>45820</v>
      </c>
      <c r="C1326" t="s">
        <v>47</v>
      </c>
      <c r="D1326" t="s">
        <v>28</v>
      </c>
      <c r="E1326" t="s">
        <v>29</v>
      </c>
      <c r="F1326" t="s">
        <v>36</v>
      </c>
      <c r="G1326" s="6">
        <v>3219.33</v>
      </c>
      <c r="H1326" s="7">
        <v>2.1000000000000001E-2</v>
      </c>
      <c r="I1326" s="6">
        <v>67.61</v>
      </c>
      <c r="J1326" s="6">
        <v>3286.94</v>
      </c>
      <c r="K1326" t="s">
        <v>2711</v>
      </c>
      <c r="L1326" t="s">
        <v>2712</v>
      </c>
    </row>
    <row r="1327" spans="1:13" ht="15" customHeight="1" x14ac:dyDescent="0.25">
      <c r="A1327">
        <v>1326</v>
      </c>
      <c r="B1327" s="5">
        <v>45680</v>
      </c>
      <c r="C1327" t="s">
        <v>47</v>
      </c>
      <c r="D1327" t="s">
        <v>28</v>
      </c>
      <c r="E1327" t="s">
        <v>29</v>
      </c>
      <c r="F1327" t="s">
        <v>76</v>
      </c>
      <c r="G1327" s="6">
        <v>4405.04</v>
      </c>
      <c r="H1327" s="7">
        <v>2.1000000000000001E-2</v>
      </c>
      <c r="I1327" s="6">
        <v>92.51</v>
      </c>
      <c r="J1327" s="6">
        <v>4497.55</v>
      </c>
      <c r="K1327" t="s">
        <v>2713</v>
      </c>
      <c r="L1327" t="s">
        <v>2714</v>
      </c>
    </row>
    <row r="1328" spans="1:13" ht="15" customHeight="1" x14ac:dyDescent="0.25">
      <c r="A1328">
        <v>1327</v>
      </c>
      <c r="B1328" s="5">
        <v>45792</v>
      </c>
      <c r="C1328" t="s">
        <v>47</v>
      </c>
      <c r="D1328" t="s">
        <v>42</v>
      </c>
      <c r="E1328" t="s">
        <v>43</v>
      </c>
      <c r="F1328" t="s">
        <v>44</v>
      </c>
      <c r="G1328" s="6">
        <v>3627.75</v>
      </c>
      <c r="H1328" s="7">
        <v>0</v>
      </c>
      <c r="I1328" s="6">
        <v>0</v>
      </c>
      <c r="J1328" s="6">
        <v>3627.75</v>
      </c>
      <c r="K1328" t="s">
        <v>2715</v>
      </c>
      <c r="L1328" t="s">
        <v>2716</v>
      </c>
    </row>
    <row r="1329" spans="1:12" ht="15" customHeight="1" x14ac:dyDescent="0.25">
      <c r="A1329">
        <v>1328</v>
      </c>
      <c r="B1329" s="5">
        <v>45742</v>
      </c>
      <c r="C1329" t="s">
        <v>27</v>
      </c>
      <c r="D1329" t="s">
        <v>55</v>
      </c>
      <c r="E1329" t="s">
        <v>56</v>
      </c>
      <c r="F1329" t="s">
        <v>76</v>
      </c>
      <c r="G1329" s="6">
        <v>1474.7</v>
      </c>
      <c r="H1329" s="7">
        <v>5.5E-2</v>
      </c>
      <c r="I1329" s="6">
        <v>81.11</v>
      </c>
      <c r="J1329" s="6">
        <v>1555.81</v>
      </c>
      <c r="K1329" t="s">
        <v>2717</v>
      </c>
      <c r="L1329" t="s">
        <v>2718</v>
      </c>
    </row>
    <row r="1330" spans="1:12" ht="15" customHeight="1" x14ac:dyDescent="0.25">
      <c r="A1330">
        <v>1329</v>
      </c>
      <c r="B1330" s="5">
        <v>45994</v>
      </c>
      <c r="C1330" t="s">
        <v>33</v>
      </c>
      <c r="D1330" t="s">
        <v>172</v>
      </c>
      <c r="E1330" t="s">
        <v>173</v>
      </c>
      <c r="F1330" t="s">
        <v>76</v>
      </c>
      <c r="G1330" s="6">
        <v>2894</v>
      </c>
      <c r="H1330" s="7">
        <v>0.2</v>
      </c>
      <c r="I1330" s="6">
        <v>578.79999999999995</v>
      </c>
      <c r="J1330" s="6">
        <v>3472.8</v>
      </c>
      <c r="K1330" t="s">
        <v>2719</v>
      </c>
      <c r="L1330" t="s">
        <v>2720</v>
      </c>
    </row>
    <row r="1331" spans="1:12" ht="15" customHeight="1" x14ac:dyDescent="0.25">
      <c r="A1331">
        <v>1330</v>
      </c>
      <c r="B1331" s="5">
        <v>45775</v>
      </c>
      <c r="C1331" t="s">
        <v>33</v>
      </c>
      <c r="D1331" t="s">
        <v>28</v>
      </c>
      <c r="E1331" t="s">
        <v>29</v>
      </c>
      <c r="F1331" t="s">
        <v>76</v>
      </c>
      <c r="G1331" s="6">
        <v>889.48</v>
      </c>
      <c r="H1331" s="7">
        <v>2.1000000000000001E-2</v>
      </c>
      <c r="I1331" s="6">
        <v>18.68</v>
      </c>
      <c r="J1331" s="6">
        <v>908.16</v>
      </c>
      <c r="K1331" t="s">
        <v>2721</v>
      </c>
      <c r="L1331" t="s">
        <v>2722</v>
      </c>
    </row>
    <row r="1332" spans="1:12" ht="15" customHeight="1" x14ac:dyDescent="0.25">
      <c r="A1332">
        <v>1331</v>
      </c>
      <c r="B1332" s="5">
        <v>45881</v>
      </c>
      <c r="C1332" t="s">
        <v>33</v>
      </c>
      <c r="D1332" t="s">
        <v>42</v>
      </c>
      <c r="E1332" t="s">
        <v>43</v>
      </c>
      <c r="F1332" t="s">
        <v>44</v>
      </c>
      <c r="G1332" s="6">
        <v>3948.42</v>
      </c>
      <c r="H1332" s="7">
        <v>0</v>
      </c>
      <c r="I1332" s="6">
        <v>0</v>
      </c>
      <c r="J1332" s="6">
        <v>3948.42</v>
      </c>
      <c r="K1332" t="s">
        <v>2723</v>
      </c>
      <c r="L1332" t="s">
        <v>2724</v>
      </c>
    </row>
    <row r="1333" spans="1:12" ht="15" customHeight="1" x14ac:dyDescent="0.25">
      <c r="A1333">
        <v>1332</v>
      </c>
      <c r="B1333" s="5">
        <v>46021</v>
      </c>
      <c r="C1333" t="s">
        <v>33</v>
      </c>
      <c r="D1333" t="s">
        <v>79</v>
      </c>
      <c r="E1333" t="s">
        <v>80</v>
      </c>
      <c r="F1333" t="s">
        <v>76</v>
      </c>
      <c r="G1333" s="6">
        <v>2558.98</v>
      </c>
      <c r="H1333" s="7">
        <v>0.2</v>
      </c>
      <c r="I1333" s="6">
        <v>511.8</v>
      </c>
      <c r="J1333" s="6">
        <v>3070.78</v>
      </c>
      <c r="K1333" t="s">
        <v>2725</v>
      </c>
      <c r="L1333" t="s">
        <v>2726</v>
      </c>
    </row>
    <row r="1334" spans="1:12" ht="15" customHeight="1" x14ac:dyDescent="0.25">
      <c r="A1334">
        <v>1333</v>
      </c>
      <c r="B1334" s="5">
        <v>45733</v>
      </c>
      <c r="C1334" t="s">
        <v>33</v>
      </c>
      <c r="D1334" t="s">
        <v>42</v>
      </c>
      <c r="E1334" t="s">
        <v>43</v>
      </c>
      <c r="F1334" t="s">
        <v>44</v>
      </c>
      <c r="G1334" s="6">
        <v>2024.59</v>
      </c>
      <c r="H1334" s="7">
        <v>0</v>
      </c>
      <c r="I1334" s="6">
        <v>0</v>
      </c>
      <c r="J1334" s="6">
        <v>2024.59</v>
      </c>
      <c r="K1334" t="s">
        <v>2727</v>
      </c>
      <c r="L1334" t="s">
        <v>2728</v>
      </c>
    </row>
    <row r="1335" spans="1:12" ht="15" customHeight="1" x14ac:dyDescent="0.25">
      <c r="A1335">
        <v>1334</v>
      </c>
      <c r="B1335" s="5">
        <v>45918</v>
      </c>
      <c r="C1335" t="s">
        <v>33</v>
      </c>
      <c r="D1335" t="s">
        <v>42</v>
      </c>
      <c r="E1335" t="s">
        <v>43</v>
      </c>
      <c r="F1335" t="s">
        <v>44</v>
      </c>
      <c r="G1335" s="6">
        <v>3151.79</v>
      </c>
      <c r="H1335" s="7">
        <v>0</v>
      </c>
      <c r="I1335" s="6">
        <v>0</v>
      </c>
      <c r="J1335" s="6">
        <v>3151.79</v>
      </c>
      <c r="K1335" t="s">
        <v>2729</v>
      </c>
      <c r="L1335" t="s">
        <v>2730</v>
      </c>
    </row>
    <row r="1336" spans="1:12" ht="15" customHeight="1" x14ac:dyDescent="0.25">
      <c r="A1336">
        <v>1335</v>
      </c>
      <c r="B1336" s="5">
        <v>45660</v>
      </c>
      <c r="C1336" t="s">
        <v>27</v>
      </c>
      <c r="D1336" t="s">
        <v>28</v>
      </c>
      <c r="E1336" t="s">
        <v>29</v>
      </c>
      <c r="F1336" t="s">
        <v>84</v>
      </c>
      <c r="G1336" s="6">
        <v>2404.9899999999998</v>
      </c>
      <c r="H1336" s="7">
        <v>2.1000000000000001E-2</v>
      </c>
      <c r="I1336" s="6">
        <v>50.5</v>
      </c>
      <c r="J1336" s="6">
        <v>2455.4899999999998</v>
      </c>
      <c r="K1336" t="s">
        <v>2731</v>
      </c>
      <c r="L1336" t="s">
        <v>2732</v>
      </c>
    </row>
    <row r="1337" spans="1:12" ht="15" customHeight="1" x14ac:dyDescent="0.25">
      <c r="A1337">
        <v>1336</v>
      </c>
      <c r="B1337" s="5">
        <v>45784</v>
      </c>
      <c r="C1337" t="s">
        <v>47</v>
      </c>
      <c r="D1337" t="s">
        <v>100</v>
      </c>
      <c r="E1337" t="s">
        <v>101</v>
      </c>
      <c r="F1337" t="s">
        <v>44</v>
      </c>
      <c r="G1337" s="6">
        <v>3424.58</v>
      </c>
      <c r="H1337" s="7">
        <v>0</v>
      </c>
      <c r="I1337" s="6">
        <v>0</v>
      </c>
      <c r="J1337" s="6">
        <v>3424.58</v>
      </c>
      <c r="K1337" t="s">
        <v>2733</v>
      </c>
      <c r="L1337" t="s">
        <v>2734</v>
      </c>
    </row>
    <row r="1338" spans="1:12" ht="15" customHeight="1" x14ac:dyDescent="0.25">
      <c r="A1338">
        <v>1337</v>
      </c>
      <c r="B1338" s="5">
        <v>46006</v>
      </c>
      <c r="C1338" t="s">
        <v>33</v>
      </c>
      <c r="D1338" t="s">
        <v>55</v>
      </c>
      <c r="E1338" t="s">
        <v>56</v>
      </c>
      <c r="F1338" t="s">
        <v>50</v>
      </c>
      <c r="G1338" s="6">
        <v>619.20000000000005</v>
      </c>
      <c r="H1338" s="7">
        <v>5.5E-2</v>
      </c>
      <c r="I1338" s="6">
        <v>34.06</v>
      </c>
      <c r="J1338" s="6">
        <v>653.26</v>
      </c>
      <c r="K1338" t="s">
        <v>2735</v>
      </c>
      <c r="L1338" t="s">
        <v>2736</v>
      </c>
    </row>
    <row r="1339" spans="1:12" ht="15" customHeight="1" x14ac:dyDescent="0.25">
      <c r="A1339">
        <v>1338</v>
      </c>
      <c r="B1339" s="5">
        <v>45736</v>
      </c>
      <c r="C1339" t="s">
        <v>33</v>
      </c>
      <c r="D1339" t="s">
        <v>42</v>
      </c>
      <c r="E1339" t="s">
        <v>43</v>
      </c>
      <c r="F1339" t="s">
        <v>44</v>
      </c>
      <c r="G1339" s="6">
        <v>2904.56</v>
      </c>
      <c r="H1339" s="7">
        <v>0</v>
      </c>
      <c r="I1339" s="6">
        <v>0</v>
      </c>
      <c r="J1339" s="6">
        <v>2904.56</v>
      </c>
      <c r="K1339" t="s">
        <v>2737</v>
      </c>
      <c r="L1339" t="s">
        <v>2738</v>
      </c>
    </row>
    <row r="1340" spans="1:12" ht="15" customHeight="1" x14ac:dyDescent="0.25">
      <c r="A1340">
        <v>1339</v>
      </c>
      <c r="B1340" s="5">
        <v>45979</v>
      </c>
      <c r="C1340" t="s">
        <v>27</v>
      </c>
      <c r="D1340" t="s">
        <v>79</v>
      </c>
      <c r="E1340" t="s">
        <v>80</v>
      </c>
      <c r="F1340" t="s">
        <v>84</v>
      </c>
      <c r="G1340" s="6">
        <v>4301.99</v>
      </c>
      <c r="H1340" s="7">
        <v>0.2</v>
      </c>
      <c r="I1340" s="6">
        <v>860.4</v>
      </c>
      <c r="J1340" s="6">
        <v>5162.3900000000003</v>
      </c>
      <c r="K1340" t="s">
        <v>2739</v>
      </c>
      <c r="L1340" t="s">
        <v>2740</v>
      </c>
    </row>
    <row r="1341" spans="1:12" ht="15" customHeight="1" x14ac:dyDescent="0.25">
      <c r="A1341">
        <v>1340</v>
      </c>
      <c r="B1341" s="5">
        <v>45680</v>
      </c>
      <c r="C1341" t="s">
        <v>33</v>
      </c>
      <c r="D1341" t="s">
        <v>55</v>
      </c>
      <c r="E1341" t="s">
        <v>56</v>
      </c>
      <c r="F1341" t="s">
        <v>76</v>
      </c>
      <c r="G1341" s="6">
        <v>2980.28</v>
      </c>
      <c r="H1341" s="7">
        <v>5.5E-2</v>
      </c>
      <c r="I1341" s="6">
        <v>163.92</v>
      </c>
      <c r="J1341" s="6">
        <v>3144.2</v>
      </c>
      <c r="K1341" t="s">
        <v>2741</v>
      </c>
      <c r="L1341" t="s">
        <v>2742</v>
      </c>
    </row>
    <row r="1342" spans="1:12" ht="15" customHeight="1" x14ac:dyDescent="0.25">
      <c r="A1342">
        <v>1341</v>
      </c>
      <c r="B1342" s="5">
        <v>45987</v>
      </c>
      <c r="C1342" t="s">
        <v>27</v>
      </c>
      <c r="D1342" t="s">
        <v>94</v>
      </c>
      <c r="E1342" t="s">
        <v>95</v>
      </c>
      <c r="F1342" t="s">
        <v>44</v>
      </c>
      <c r="G1342" s="6">
        <v>2495.37</v>
      </c>
      <c r="H1342" s="7">
        <v>0</v>
      </c>
      <c r="I1342" s="6">
        <v>0</v>
      </c>
      <c r="J1342" s="6">
        <v>2495.37</v>
      </c>
      <c r="K1342" t="s">
        <v>2743</v>
      </c>
      <c r="L1342" t="s">
        <v>2744</v>
      </c>
    </row>
    <row r="1343" spans="1:12" ht="15" customHeight="1" x14ac:dyDescent="0.25">
      <c r="A1343">
        <v>1342</v>
      </c>
      <c r="B1343" s="5">
        <v>45966</v>
      </c>
      <c r="C1343" t="s">
        <v>33</v>
      </c>
      <c r="D1343" t="s">
        <v>172</v>
      </c>
      <c r="E1343" t="s">
        <v>173</v>
      </c>
      <c r="F1343" t="s">
        <v>36</v>
      </c>
      <c r="G1343" s="6">
        <v>1765.75</v>
      </c>
      <c r="H1343" s="7">
        <v>0.2</v>
      </c>
      <c r="I1343" s="6">
        <v>353.15</v>
      </c>
      <c r="J1343" s="6">
        <v>2118.9</v>
      </c>
      <c r="K1343" t="s">
        <v>2745</v>
      </c>
      <c r="L1343" t="s">
        <v>2746</v>
      </c>
    </row>
    <row r="1344" spans="1:12" ht="15" customHeight="1" x14ac:dyDescent="0.25">
      <c r="A1344">
        <v>1343</v>
      </c>
      <c r="B1344" s="5">
        <v>45862</v>
      </c>
      <c r="C1344" t="s">
        <v>33</v>
      </c>
      <c r="D1344" t="s">
        <v>55</v>
      </c>
      <c r="E1344" t="s">
        <v>56</v>
      </c>
      <c r="F1344" t="s">
        <v>71</v>
      </c>
      <c r="G1344" s="6">
        <v>474.21</v>
      </c>
      <c r="H1344" s="7">
        <v>5.5E-2</v>
      </c>
      <c r="I1344" s="6">
        <v>26.08</v>
      </c>
      <c r="J1344" s="6">
        <v>500.29</v>
      </c>
      <c r="K1344" t="s">
        <v>2747</v>
      </c>
      <c r="L1344" t="s">
        <v>2748</v>
      </c>
    </row>
    <row r="1345" spans="1:12" ht="15" customHeight="1" x14ac:dyDescent="0.25">
      <c r="A1345">
        <v>1344</v>
      </c>
      <c r="B1345" s="5">
        <v>45803</v>
      </c>
      <c r="C1345" t="s">
        <v>47</v>
      </c>
      <c r="D1345" t="s">
        <v>42</v>
      </c>
      <c r="E1345" t="s">
        <v>43</v>
      </c>
      <c r="F1345" t="s">
        <v>44</v>
      </c>
      <c r="G1345" s="6">
        <v>4090.64</v>
      </c>
      <c r="H1345" s="7">
        <v>0</v>
      </c>
      <c r="I1345" s="6">
        <v>0</v>
      </c>
      <c r="J1345" s="6">
        <v>4090.64</v>
      </c>
      <c r="K1345" t="s">
        <v>2749</v>
      </c>
      <c r="L1345" t="s">
        <v>2750</v>
      </c>
    </row>
    <row r="1346" spans="1:12" ht="15" customHeight="1" x14ac:dyDescent="0.25">
      <c r="A1346">
        <v>1345</v>
      </c>
      <c r="B1346" s="5">
        <v>46008</v>
      </c>
      <c r="C1346" t="s">
        <v>33</v>
      </c>
      <c r="D1346" t="s">
        <v>55</v>
      </c>
      <c r="E1346" t="s">
        <v>56</v>
      </c>
      <c r="F1346" t="s">
        <v>50</v>
      </c>
      <c r="G1346" s="6">
        <v>2747.53</v>
      </c>
      <c r="H1346" s="7">
        <v>5.5E-2</v>
      </c>
      <c r="I1346" s="6">
        <v>151.11000000000001</v>
      </c>
      <c r="J1346" s="6">
        <v>2898.64</v>
      </c>
      <c r="K1346" t="s">
        <v>2751</v>
      </c>
      <c r="L1346" t="s">
        <v>2752</v>
      </c>
    </row>
    <row r="1347" spans="1:12" ht="15" customHeight="1" x14ac:dyDescent="0.25">
      <c r="A1347">
        <v>1346</v>
      </c>
      <c r="B1347" s="5">
        <v>45908</v>
      </c>
      <c r="C1347" t="s">
        <v>33</v>
      </c>
      <c r="D1347" t="s">
        <v>42</v>
      </c>
      <c r="E1347" t="s">
        <v>43</v>
      </c>
      <c r="F1347" t="s">
        <v>44</v>
      </c>
      <c r="G1347" s="6">
        <v>2731.41</v>
      </c>
      <c r="H1347" s="7">
        <v>0</v>
      </c>
      <c r="I1347" s="6">
        <v>0</v>
      </c>
      <c r="J1347" s="6">
        <v>2731.41</v>
      </c>
      <c r="K1347" t="s">
        <v>2753</v>
      </c>
      <c r="L1347" t="s">
        <v>2754</v>
      </c>
    </row>
    <row r="1348" spans="1:12" ht="15" customHeight="1" x14ac:dyDescent="0.25">
      <c r="A1348">
        <v>1347</v>
      </c>
      <c r="B1348" s="5">
        <v>45874</v>
      </c>
      <c r="C1348" t="s">
        <v>27</v>
      </c>
      <c r="D1348" t="s">
        <v>172</v>
      </c>
      <c r="E1348" t="s">
        <v>173</v>
      </c>
      <c r="F1348" t="s">
        <v>84</v>
      </c>
      <c r="G1348" s="6">
        <v>3664.6</v>
      </c>
      <c r="H1348" s="7">
        <v>0.2</v>
      </c>
      <c r="I1348" s="6">
        <v>732.92</v>
      </c>
      <c r="J1348" s="6">
        <v>4397.5200000000004</v>
      </c>
      <c r="K1348" t="s">
        <v>2755</v>
      </c>
      <c r="L1348" t="s">
        <v>2756</v>
      </c>
    </row>
    <row r="1349" spans="1:12" ht="15" customHeight="1" x14ac:dyDescent="0.25">
      <c r="A1349">
        <v>1348</v>
      </c>
      <c r="B1349" s="5">
        <v>45705</v>
      </c>
      <c r="C1349" t="s">
        <v>47</v>
      </c>
      <c r="D1349" t="s">
        <v>181</v>
      </c>
      <c r="E1349" t="s">
        <v>182</v>
      </c>
      <c r="F1349" t="s">
        <v>50</v>
      </c>
      <c r="G1349" s="6">
        <v>258.74</v>
      </c>
      <c r="H1349" s="7">
        <v>0.2</v>
      </c>
      <c r="I1349" s="6">
        <v>51.75</v>
      </c>
      <c r="J1349" s="6">
        <v>310.49</v>
      </c>
      <c r="K1349" t="s">
        <v>2757</v>
      </c>
      <c r="L1349" t="s">
        <v>2758</v>
      </c>
    </row>
    <row r="1350" spans="1:12" ht="15" customHeight="1" x14ac:dyDescent="0.25">
      <c r="A1350">
        <v>1349</v>
      </c>
      <c r="B1350" s="5">
        <v>46009</v>
      </c>
      <c r="C1350" t="s">
        <v>27</v>
      </c>
      <c r="D1350" t="s">
        <v>55</v>
      </c>
      <c r="E1350" t="s">
        <v>56</v>
      </c>
      <c r="F1350" t="s">
        <v>76</v>
      </c>
      <c r="G1350" s="6">
        <v>3234.27</v>
      </c>
      <c r="H1350" s="7">
        <v>5.5E-2</v>
      </c>
      <c r="I1350" s="6">
        <v>177.88</v>
      </c>
      <c r="J1350" s="6">
        <v>3412.15</v>
      </c>
      <c r="K1350" t="s">
        <v>2759</v>
      </c>
      <c r="L1350" t="s">
        <v>2760</v>
      </c>
    </row>
    <row r="1351" spans="1:12" ht="15" customHeight="1" x14ac:dyDescent="0.25">
      <c r="A1351">
        <v>1350</v>
      </c>
      <c r="B1351" s="5">
        <v>45700</v>
      </c>
      <c r="C1351" t="s">
        <v>27</v>
      </c>
      <c r="D1351" t="s">
        <v>181</v>
      </c>
      <c r="E1351" t="s">
        <v>182</v>
      </c>
      <c r="F1351" t="s">
        <v>36</v>
      </c>
      <c r="G1351" s="6">
        <v>1364.91</v>
      </c>
      <c r="H1351" s="7">
        <v>0.2</v>
      </c>
      <c r="I1351" s="6">
        <v>272.98</v>
      </c>
      <c r="J1351" s="6">
        <v>1637.89</v>
      </c>
      <c r="K1351" t="s">
        <v>2761</v>
      </c>
      <c r="L1351" t="s">
        <v>2762</v>
      </c>
    </row>
    <row r="1352" spans="1:12" ht="15" customHeight="1" x14ac:dyDescent="0.25">
      <c r="A1352">
        <v>1351</v>
      </c>
      <c r="B1352" s="5">
        <v>45723</v>
      </c>
      <c r="C1352" t="s">
        <v>47</v>
      </c>
      <c r="D1352" t="s">
        <v>55</v>
      </c>
      <c r="E1352" t="s">
        <v>56</v>
      </c>
      <c r="F1352" t="s">
        <v>174</v>
      </c>
      <c r="G1352" s="6">
        <v>3104.67</v>
      </c>
      <c r="H1352" s="7">
        <v>5.5E-2</v>
      </c>
      <c r="I1352" s="6">
        <v>170.76</v>
      </c>
      <c r="J1352" s="6">
        <v>3275.43</v>
      </c>
      <c r="K1352" t="s">
        <v>2763</v>
      </c>
      <c r="L1352" t="s">
        <v>2764</v>
      </c>
    </row>
    <row r="1353" spans="1:12" ht="15" customHeight="1" x14ac:dyDescent="0.25">
      <c r="A1353">
        <v>1352</v>
      </c>
      <c r="B1353" s="5">
        <v>45940</v>
      </c>
      <c r="C1353" t="s">
        <v>33</v>
      </c>
      <c r="D1353" t="s">
        <v>172</v>
      </c>
      <c r="E1353" t="s">
        <v>173</v>
      </c>
      <c r="F1353" t="s">
        <v>39</v>
      </c>
      <c r="G1353" s="6">
        <v>418.27</v>
      </c>
      <c r="H1353" s="7">
        <v>0.2</v>
      </c>
      <c r="I1353" s="6">
        <v>83.65</v>
      </c>
      <c r="J1353" s="6">
        <v>501.92</v>
      </c>
      <c r="K1353" t="s">
        <v>2765</v>
      </c>
      <c r="L1353" t="s">
        <v>2766</v>
      </c>
    </row>
    <row r="1354" spans="1:12" ht="15" customHeight="1" x14ac:dyDescent="0.25">
      <c r="A1354">
        <v>1353</v>
      </c>
      <c r="B1354" s="5">
        <v>45869</v>
      </c>
      <c r="C1354" t="s">
        <v>33</v>
      </c>
      <c r="D1354" t="s">
        <v>172</v>
      </c>
      <c r="E1354" t="s">
        <v>173</v>
      </c>
      <c r="F1354" t="s">
        <v>120</v>
      </c>
      <c r="G1354" s="6">
        <v>497.62</v>
      </c>
      <c r="H1354" s="7">
        <v>0.2</v>
      </c>
      <c r="I1354" s="6">
        <v>99.52</v>
      </c>
      <c r="J1354" s="6">
        <v>597.14</v>
      </c>
      <c r="K1354" t="s">
        <v>2767</v>
      </c>
      <c r="L1354" t="s">
        <v>2768</v>
      </c>
    </row>
    <row r="1355" spans="1:12" ht="15" customHeight="1" x14ac:dyDescent="0.25">
      <c r="A1355">
        <v>1354</v>
      </c>
      <c r="B1355" s="5">
        <v>45839</v>
      </c>
      <c r="C1355" t="s">
        <v>27</v>
      </c>
      <c r="D1355" t="s">
        <v>42</v>
      </c>
      <c r="E1355" t="s">
        <v>43</v>
      </c>
      <c r="F1355" t="s">
        <v>44</v>
      </c>
      <c r="G1355" s="6">
        <v>1996.25</v>
      </c>
      <c r="H1355" s="7">
        <v>0</v>
      </c>
      <c r="I1355" s="6">
        <v>0</v>
      </c>
      <c r="J1355" s="6">
        <v>1996.25</v>
      </c>
      <c r="K1355" t="s">
        <v>2769</v>
      </c>
      <c r="L1355" t="s">
        <v>2770</v>
      </c>
    </row>
    <row r="1356" spans="1:12" ht="15" customHeight="1" x14ac:dyDescent="0.25">
      <c r="A1356">
        <v>1355</v>
      </c>
      <c r="B1356" s="5">
        <v>45996</v>
      </c>
      <c r="C1356" t="s">
        <v>33</v>
      </c>
      <c r="D1356" t="s">
        <v>28</v>
      </c>
      <c r="E1356" t="s">
        <v>29</v>
      </c>
      <c r="F1356" t="s">
        <v>30</v>
      </c>
      <c r="G1356" s="6">
        <v>2125.92</v>
      </c>
      <c r="H1356" s="7">
        <v>2.1000000000000001E-2</v>
      </c>
      <c r="I1356" s="6">
        <v>44.64</v>
      </c>
      <c r="J1356" s="6">
        <v>2170.56</v>
      </c>
      <c r="K1356" t="s">
        <v>2771</v>
      </c>
      <c r="L1356" t="s">
        <v>2772</v>
      </c>
    </row>
    <row r="1357" spans="1:12" ht="15" customHeight="1" x14ac:dyDescent="0.25">
      <c r="A1357">
        <v>1356</v>
      </c>
      <c r="B1357" s="5">
        <v>45810</v>
      </c>
      <c r="C1357" t="s">
        <v>47</v>
      </c>
      <c r="D1357" t="s">
        <v>28</v>
      </c>
      <c r="E1357" t="s">
        <v>29</v>
      </c>
      <c r="F1357" t="s">
        <v>81</v>
      </c>
      <c r="G1357" s="6">
        <v>1467.64</v>
      </c>
      <c r="H1357" s="7">
        <v>2.1000000000000001E-2</v>
      </c>
      <c r="I1357" s="6">
        <v>30.82</v>
      </c>
      <c r="J1357" s="6">
        <v>1498.46</v>
      </c>
      <c r="K1357" t="s">
        <v>2773</v>
      </c>
      <c r="L1357" t="s">
        <v>2774</v>
      </c>
    </row>
    <row r="1358" spans="1:12" ht="15" customHeight="1" x14ac:dyDescent="0.25">
      <c r="A1358">
        <v>1357</v>
      </c>
      <c r="B1358" s="5">
        <v>45793</v>
      </c>
      <c r="C1358" t="s">
        <v>27</v>
      </c>
      <c r="D1358" t="s">
        <v>79</v>
      </c>
      <c r="E1358" t="s">
        <v>80</v>
      </c>
      <c r="F1358" t="s">
        <v>30</v>
      </c>
      <c r="G1358" s="6">
        <v>1588.7</v>
      </c>
      <c r="H1358" s="7">
        <v>0.2</v>
      </c>
      <c r="I1358" s="6">
        <v>317.74</v>
      </c>
      <c r="J1358" s="6">
        <v>1906.44</v>
      </c>
      <c r="K1358" t="s">
        <v>2775</v>
      </c>
      <c r="L1358" t="s">
        <v>2776</v>
      </c>
    </row>
    <row r="1359" spans="1:12" ht="15" customHeight="1" x14ac:dyDescent="0.25">
      <c r="A1359">
        <v>1358</v>
      </c>
      <c r="B1359" s="5">
        <v>45967</v>
      </c>
      <c r="C1359" t="s">
        <v>33</v>
      </c>
      <c r="D1359" t="s">
        <v>28</v>
      </c>
      <c r="E1359" t="s">
        <v>29</v>
      </c>
      <c r="F1359" t="s">
        <v>120</v>
      </c>
      <c r="G1359" s="6">
        <v>1226.18</v>
      </c>
      <c r="H1359" s="7">
        <v>2.1000000000000001E-2</v>
      </c>
      <c r="I1359" s="6">
        <v>25.75</v>
      </c>
      <c r="J1359" s="6">
        <v>1251.93</v>
      </c>
      <c r="K1359" t="s">
        <v>2777</v>
      </c>
      <c r="L1359" t="s">
        <v>2778</v>
      </c>
    </row>
    <row r="1360" spans="1:12" ht="15" customHeight="1" x14ac:dyDescent="0.25">
      <c r="A1360">
        <v>1359</v>
      </c>
      <c r="B1360" s="5">
        <v>45660</v>
      </c>
      <c r="C1360" t="s">
        <v>47</v>
      </c>
      <c r="D1360" t="s">
        <v>172</v>
      </c>
      <c r="E1360" t="s">
        <v>173</v>
      </c>
      <c r="F1360" t="s">
        <v>39</v>
      </c>
      <c r="G1360" s="6">
        <v>1825.61</v>
      </c>
      <c r="H1360" s="7">
        <v>0.2</v>
      </c>
      <c r="I1360" s="6">
        <v>365.12</v>
      </c>
      <c r="J1360" s="6">
        <v>2190.73</v>
      </c>
      <c r="K1360" t="s">
        <v>2779</v>
      </c>
      <c r="L1360" t="s">
        <v>2780</v>
      </c>
    </row>
    <row r="1361" spans="1:12" ht="15" customHeight="1" x14ac:dyDescent="0.25">
      <c r="A1361">
        <v>1360</v>
      </c>
      <c r="B1361" s="5">
        <v>45994</v>
      </c>
      <c r="C1361" t="s">
        <v>27</v>
      </c>
      <c r="D1361" t="s">
        <v>79</v>
      </c>
      <c r="E1361" t="s">
        <v>80</v>
      </c>
      <c r="F1361" t="s">
        <v>84</v>
      </c>
      <c r="G1361" s="6">
        <v>4348.8500000000004</v>
      </c>
      <c r="H1361" s="7">
        <v>0.2</v>
      </c>
      <c r="I1361" s="6">
        <v>869.77</v>
      </c>
      <c r="J1361" s="6">
        <v>5218.62</v>
      </c>
      <c r="K1361" t="s">
        <v>2781</v>
      </c>
      <c r="L1361" t="s">
        <v>2782</v>
      </c>
    </row>
    <row r="1362" spans="1:12" ht="15" customHeight="1" x14ac:dyDescent="0.25">
      <c r="A1362">
        <v>1361</v>
      </c>
      <c r="B1362" s="5">
        <v>45973</v>
      </c>
      <c r="C1362" t="s">
        <v>47</v>
      </c>
      <c r="D1362" t="s">
        <v>55</v>
      </c>
      <c r="E1362" t="s">
        <v>56</v>
      </c>
      <c r="F1362" t="s">
        <v>120</v>
      </c>
      <c r="G1362" s="6">
        <v>1674.42</v>
      </c>
      <c r="H1362" s="7">
        <v>5.5E-2</v>
      </c>
      <c r="I1362" s="6">
        <v>92.09</v>
      </c>
      <c r="J1362" s="6">
        <v>1766.51</v>
      </c>
      <c r="K1362" t="s">
        <v>2783</v>
      </c>
      <c r="L1362" t="s">
        <v>2784</v>
      </c>
    </row>
    <row r="1363" spans="1:12" ht="15" customHeight="1" x14ac:dyDescent="0.25">
      <c r="A1363">
        <v>1362</v>
      </c>
      <c r="B1363" s="5">
        <v>45812</v>
      </c>
      <c r="C1363" t="s">
        <v>27</v>
      </c>
      <c r="D1363" t="s">
        <v>63</v>
      </c>
      <c r="E1363" t="s">
        <v>64</v>
      </c>
      <c r="F1363" t="s">
        <v>30</v>
      </c>
      <c r="G1363" s="6">
        <v>467.35</v>
      </c>
      <c r="H1363" s="7">
        <v>0.2</v>
      </c>
      <c r="I1363" s="6">
        <v>93.47</v>
      </c>
      <c r="J1363" s="6">
        <v>560.82000000000005</v>
      </c>
      <c r="K1363" t="s">
        <v>2785</v>
      </c>
      <c r="L1363" t="s">
        <v>2786</v>
      </c>
    </row>
    <row r="1364" spans="1:12" ht="15" customHeight="1" x14ac:dyDescent="0.25">
      <c r="A1364">
        <v>1363</v>
      </c>
      <c r="B1364" s="5">
        <v>45666</v>
      </c>
      <c r="C1364" t="s">
        <v>33</v>
      </c>
      <c r="D1364" t="s">
        <v>28</v>
      </c>
      <c r="E1364" t="s">
        <v>29</v>
      </c>
      <c r="F1364" t="s">
        <v>71</v>
      </c>
      <c r="G1364" s="6">
        <v>3156.46</v>
      </c>
      <c r="H1364" s="7">
        <v>2.1000000000000001E-2</v>
      </c>
      <c r="I1364" s="6">
        <v>66.290000000000006</v>
      </c>
      <c r="J1364" s="6">
        <v>3222.75</v>
      </c>
      <c r="K1364" t="s">
        <v>2787</v>
      </c>
      <c r="L1364" t="s">
        <v>2788</v>
      </c>
    </row>
    <row r="1365" spans="1:12" ht="15" customHeight="1" x14ac:dyDescent="0.25">
      <c r="A1365">
        <v>1364</v>
      </c>
      <c r="B1365" s="5">
        <v>45881</v>
      </c>
      <c r="C1365" t="s">
        <v>33</v>
      </c>
      <c r="D1365" t="s">
        <v>79</v>
      </c>
      <c r="E1365" t="s">
        <v>80</v>
      </c>
      <c r="F1365" t="s">
        <v>106</v>
      </c>
      <c r="G1365" s="6">
        <v>3802.04</v>
      </c>
      <c r="H1365" s="7">
        <v>0.2</v>
      </c>
      <c r="I1365" s="6">
        <v>760.41</v>
      </c>
      <c r="J1365" s="6">
        <v>4562.45</v>
      </c>
      <c r="K1365" t="s">
        <v>2789</v>
      </c>
      <c r="L1365" t="s">
        <v>2790</v>
      </c>
    </row>
    <row r="1366" spans="1:12" ht="15" customHeight="1" x14ac:dyDescent="0.25">
      <c r="A1366">
        <v>1365</v>
      </c>
      <c r="B1366" s="5">
        <v>45895</v>
      </c>
      <c r="C1366" t="s">
        <v>33</v>
      </c>
      <c r="D1366" t="s">
        <v>55</v>
      </c>
      <c r="E1366" t="s">
        <v>56</v>
      </c>
      <c r="F1366" t="s">
        <v>36</v>
      </c>
      <c r="G1366" s="6">
        <v>734.89</v>
      </c>
      <c r="H1366" s="7">
        <v>5.5E-2</v>
      </c>
      <c r="I1366" s="6">
        <v>40.42</v>
      </c>
      <c r="J1366" s="6">
        <v>775.31</v>
      </c>
      <c r="K1366" t="s">
        <v>2791</v>
      </c>
      <c r="L1366" t="s">
        <v>2792</v>
      </c>
    </row>
    <row r="1367" spans="1:12" ht="15" customHeight="1" x14ac:dyDescent="0.25">
      <c r="A1367">
        <v>1366</v>
      </c>
      <c r="B1367" s="5">
        <v>45736</v>
      </c>
      <c r="C1367" t="s">
        <v>33</v>
      </c>
      <c r="D1367" t="s">
        <v>28</v>
      </c>
      <c r="E1367" t="s">
        <v>29</v>
      </c>
      <c r="F1367" t="s">
        <v>76</v>
      </c>
      <c r="G1367" s="6">
        <v>3345.41</v>
      </c>
      <c r="H1367" s="7">
        <v>2.1000000000000001E-2</v>
      </c>
      <c r="I1367" s="6">
        <v>70.25</v>
      </c>
      <c r="J1367" s="6">
        <v>3415.66</v>
      </c>
      <c r="K1367" t="s">
        <v>2793</v>
      </c>
      <c r="L1367" t="s">
        <v>2794</v>
      </c>
    </row>
    <row r="1368" spans="1:12" ht="15" customHeight="1" x14ac:dyDescent="0.25">
      <c r="A1368">
        <v>1367</v>
      </c>
      <c r="B1368" s="5">
        <v>45888</v>
      </c>
      <c r="C1368" t="s">
        <v>47</v>
      </c>
      <c r="D1368" t="s">
        <v>28</v>
      </c>
      <c r="E1368" t="s">
        <v>29</v>
      </c>
      <c r="F1368" t="s">
        <v>71</v>
      </c>
      <c r="G1368" s="6">
        <v>2666.7</v>
      </c>
      <c r="H1368" s="7">
        <v>2.1000000000000001E-2</v>
      </c>
      <c r="I1368" s="6">
        <v>56</v>
      </c>
      <c r="J1368" s="6">
        <v>2722.7</v>
      </c>
      <c r="K1368" t="s">
        <v>2795</v>
      </c>
      <c r="L1368" t="s">
        <v>2796</v>
      </c>
    </row>
    <row r="1369" spans="1:12" ht="15" customHeight="1" x14ac:dyDescent="0.25">
      <c r="A1369">
        <v>1368</v>
      </c>
      <c r="B1369" s="5">
        <v>45684</v>
      </c>
      <c r="C1369" t="s">
        <v>27</v>
      </c>
      <c r="D1369" t="s">
        <v>42</v>
      </c>
      <c r="E1369" t="s">
        <v>43</v>
      </c>
      <c r="F1369" t="s">
        <v>44</v>
      </c>
      <c r="G1369" s="6">
        <v>2046.39</v>
      </c>
      <c r="H1369" s="7">
        <v>0</v>
      </c>
      <c r="I1369" s="6">
        <v>0</v>
      </c>
      <c r="J1369" s="6">
        <v>2046.39</v>
      </c>
      <c r="K1369" t="s">
        <v>2797</v>
      </c>
      <c r="L1369" t="s">
        <v>2798</v>
      </c>
    </row>
    <row r="1370" spans="1:12" ht="15" customHeight="1" x14ac:dyDescent="0.25">
      <c r="A1370">
        <v>1369</v>
      </c>
      <c r="B1370" s="5">
        <v>45870</v>
      </c>
      <c r="C1370" t="s">
        <v>27</v>
      </c>
      <c r="D1370" t="s">
        <v>79</v>
      </c>
      <c r="E1370" t="s">
        <v>80</v>
      </c>
      <c r="F1370" t="s">
        <v>81</v>
      </c>
      <c r="G1370" s="6">
        <v>3830.88</v>
      </c>
      <c r="H1370" s="7">
        <v>0.2</v>
      </c>
      <c r="I1370" s="6">
        <v>766.18</v>
      </c>
      <c r="J1370" s="6">
        <v>4597.0600000000004</v>
      </c>
      <c r="K1370" t="s">
        <v>2799</v>
      </c>
      <c r="L1370" t="s">
        <v>2800</v>
      </c>
    </row>
    <row r="1371" spans="1:12" ht="15" customHeight="1" x14ac:dyDescent="0.25">
      <c r="A1371">
        <v>1370</v>
      </c>
      <c r="B1371" s="5">
        <v>45806</v>
      </c>
      <c r="C1371" t="s">
        <v>27</v>
      </c>
      <c r="D1371" t="s">
        <v>42</v>
      </c>
      <c r="E1371" t="s">
        <v>43</v>
      </c>
      <c r="F1371" t="s">
        <v>44</v>
      </c>
      <c r="G1371" s="6">
        <v>2759.23</v>
      </c>
      <c r="H1371" s="7">
        <v>0</v>
      </c>
      <c r="I1371" s="6">
        <v>0</v>
      </c>
      <c r="J1371" s="6">
        <v>2759.23</v>
      </c>
      <c r="K1371" t="s">
        <v>2801</v>
      </c>
      <c r="L1371" t="s">
        <v>2802</v>
      </c>
    </row>
    <row r="1372" spans="1:12" ht="15" customHeight="1" x14ac:dyDescent="0.25">
      <c r="A1372">
        <v>1371</v>
      </c>
      <c r="B1372" s="5">
        <v>45776</v>
      </c>
      <c r="C1372" t="s">
        <v>27</v>
      </c>
      <c r="D1372" t="s">
        <v>42</v>
      </c>
      <c r="E1372" t="s">
        <v>43</v>
      </c>
      <c r="F1372" t="s">
        <v>44</v>
      </c>
      <c r="G1372" s="6">
        <v>3067.94</v>
      </c>
      <c r="H1372" s="7">
        <v>0</v>
      </c>
      <c r="I1372" s="6">
        <v>0</v>
      </c>
      <c r="J1372" s="6">
        <v>3067.94</v>
      </c>
      <c r="K1372" t="s">
        <v>2803</v>
      </c>
      <c r="L1372" t="s">
        <v>2804</v>
      </c>
    </row>
    <row r="1373" spans="1:12" ht="15" customHeight="1" x14ac:dyDescent="0.25">
      <c r="A1373">
        <v>1372</v>
      </c>
      <c r="B1373" s="5">
        <v>45989</v>
      </c>
      <c r="C1373" t="s">
        <v>27</v>
      </c>
      <c r="D1373" t="s">
        <v>55</v>
      </c>
      <c r="E1373" t="s">
        <v>56</v>
      </c>
      <c r="F1373" t="s">
        <v>76</v>
      </c>
      <c r="G1373" s="6">
        <v>1923.75</v>
      </c>
      <c r="H1373" s="7">
        <v>5.5E-2</v>
      </c>
      <c r="I1373" s="6">
        <v>105.81</v>
      </c>
      <c r="J1373" s="6">
        <v>2029.56</v>
      </c>
      <c r="K1373" t="s">
        <v>2805</v>
      </c>
      <c r="L1373" t="s">
        <v>2806</v>
      </c>
    </row>
    <row r="1374" spans="1:12" ht="15" customHeight="1" x14ac:dyDescent="0.25">
      <c r="A1374">
        <v>1373</v>
      </c>
      <c r="B1374" s="5">
        <v>45988</v>
      </c>
      <c r="C1374" t="s">
        <v>47</v>
      </c>
      <c r="D1374" t="s">
        <v>181</v>
      </c>
      <c r="E1374" t="s">
        <v>182</v>
      </c>
      <c r="F1374" t="s">
        <v>81</v>
      </c>
      <c r="G1374" s="6">
        <v>1612.7</v>
      </c>
      <c r="H1374" s="7">
        <v>0.2</v>
      </c>
      <c r="I1374" s="6">
        <v>322.54000000000002</v>
      </c>
      <c r="J1374" s="6">
        <v>1935.24</v>
      </c>
      <c r="K1374" t="s">
        <v>2807</v>
      </c>
      <c r="L1374" t="s">
        <v>2808</v>
      </c>
    </row>
    <row r="1375" spans="1:12" ht="15" customHeight="1" x14ac:dyDescent="0.25">
      <c r="A1375">
        <v>1374</v>
      </c>
      <c r="B1375" s="5">
        <v>45756</v>
      </c>
      <c r="C1375" t="s">
        <v>33</v>
      </c>
      <c r="D1375" t="s">
        <v>28</v>
      </c>
      <c r="E1375" t="s">
        <v>29</v>
      </c>
      <c r="F1375" t="s">
        <v>76</v>
      </c>
      <c r="G1375" s="6">
        <v>2154.04</v>
      </c>
      <c r="H1375" s="7">
        <v>2.1000000000000001E-2</v>
      </c>
      <c r="I1375" s="6">
        <v>45.23</v>
      </c>
      <c r="J1375" s="6">
        <v>2199.27</v>
      </c>
      <c r="K1375" t="s">
        <v>2809</v>
      </c>
      <c r="L1375" t="s">
        <v>2810</v>
      </c>
    </row>
    <row r="1376" spans="1:12" ht="15" customHeight="1" x14ac:dyDescent="0.25">
      <c r="A1376">
        <v>1375</v>
      </c>
      <c r="B1376" s="5">
        <v>46008</v>
      </c>
      <c r="C1376" t="s">
        <v>27</v>
      </c>
      <c r="D1376" t="s">
        <v>28</v>
      </c>
      <c r="E1376" t="s">
        <v>29</v>
      </c>
      <c r="F1376" t="s">
        <v>84</v>
      </c>
      <c r="G1376" s="6">
        <v>1579.06</v>
      </c>
      <c r="H1376" s="7">
        <v>2.1000000000000001E-2</v>
      </c>
      <c r="I1376" s="6">
        <v>33.159999999999997</v>
      </c>
      <c r="J1376" s="6">
        <v>1612.22</v>
      </c>
      <c r="K1376" t="s">
        <v>2811</v>
      </c>
      <c r="L1376" t="s">
        <v>2812</v>
      </c>
    </row>
    <row r="1377" spans="1:12" ht="15" customHeight="1" x14ac:dyDescent="0.25">
      <c r="A1377">
        <v>1376</v>
      </c>
      <c r="B1377" s="5">
        <v>46022</v>
      </c>
      <c r="C1377" t="s">
        <v>27</v>
      </c>
      <c r="D1377" t="s">
        <v>34</v>
      </c>
      <c r="E1377" t="s">
        <v>35</v>
      </c>
      <c r="F1377" t="s">
        <v>36</v>
      </c>
      <c r="G1377" s="6">
        <v>1805.44</v>
      </c>
      <c r="H1377" s="7">
        <v>0.2</v>
      </c>
      <c r="I1377" s="6">
        <v>361.09</v>
      </c>
      <c r="J1377" s="6">
        <v>2166.5300000000002</v>
      </c>
      <c r="K1377" t="s">
        <v>2813</v>
      </c>
      <c r="L1377" t="s">
        <v>2814</v>
      </c>
    </row>
    <row r="1378" spans="1:12" ht="15" customHeight="1" x14ac:dyDescent="0.25">
      <c r="A1378">
        <v>1377</v>
      </c>
      <c r="B1378" s="5">
        <v>45842</v>
      </c>
      <c r="C1378" t="s">
        <v>27</v>
      </c>
      <c r="D1378" t="s">
        <v>34</v>
      </c>
      <c r="E1378" t="s">
        <v>35</v>
      </c>
      <c r="F1378" t="s">
        <v>30</v>
      </c>
      <c r="G1378" s="6">
        <v>3598.2</v>
      </c>
      <c r="H1378" s="7">
        <v>0.2</v>
      </c>
      <c r="I1378" s="6">
        <v>719.64</v>
      </c>
      <c r="J1378" s="6">
        <v>4317.84</v>
      </c>
      <c r="K1378" t="s">
        <v>2815</v>
      </c>
      <c r="L1378" t="s">
        <v>2816</v>
      </c>
    </row>
    <row r="1379" spans="1:12" ht="15" customHeight="1" x14ac:dyDescent="0.25">
      <c r="A1379">
        <v>1378</v>
      </c>
      <c r="B1379" s="5">
        <v>45702</v>
      </c>
      <c r="C1379" t="s">
        <v>33</v>
      </c>
      <c r="D1379" t="s">
        <v>55</v>
      </c>
      <c r="E1379" t="s">
        <v>56</v>
      </c>
      <c r="F1379" t="s">
        <v>30</v>
      </c>
      <c r="G1379" s="6">
        <v>3028.39</v>
      </c>
      <c r="H1379" s="7">
        <v>5.5E-2</v>
      </c>
      <c r="I1379" s="6">
        <v>166.56</v>
      </c>
      <c r="J1379" s="6">
        <v>3194.95</v>
      </c>
      <c r="K1379" t="s">
        <v>2817</v>
      </c>
      <c r="L1379" t="s">
        <v>2818</v>
      </c>
    </row>
    <row r="1380" spans="1:12" ht="15" customHeight="1" x14ac:dyDescent="0.25">
      <c r="A1380">
        <v>1379</v>
      </c>
      <c r="B1380" s="5">
        <v>45909</v>
      </c>
      <c r="C1380" t="s">
        <v>33</v>
      </c>
      <c r="D1380" t="s">
        <v>28</v>
      </c>
      <c r="E1380" t="s">
        <v>29</v>
      </c>
      <c r="F1380" t="s">
        <v>36</v>
      </c>
      <c r="G1380" s="6">
        <v>525.99</v>
      </c>
      <c r="H1380" s="7">
        <v>2.1000000000000001E-2</v>
      </c>
      <c r="I1380" s="6">
        <v>11.05</v>
      </c>
      <c r="J1380" s="6">
        <v>537.04</v>
      </c>
      <c r="K1380" t="s">
        <v>2819</v>
      </c>
      <c r="L1380" t="s">
        <v>2820</v>
      </c>
    </row>
    <row r="1381" spans="1:12" ht="15" customHeight="1" x14ac:dyDescent="0.25">
      <c r="A1381">
        <v>1380</v>
      </c>
      <c r="B1381" s="5">
        <v>45943</v>
      </c>
      <c r="C1381" t="s">
        <v>47</v>
      </c>
      <c r="D1381" t="s">
        <v>55</v>
      </c>
      <c r="E1381" t="s">
        <v>56</v>
      </c>
      <c r="F1381" t="s">
        <v>39</v>
      </c>
      <c r="G1381" s="6">
        <v>287.95999999999998</v>
      </c>
      <c r="H1381" s="7">
        <v>5.5E-2</v>
      </c>
      <c r="I1381" s="6">
        <v>15.84</v>
      </c>
      <c r="J1381" s="6">
        <v>303.8</v>
      </c>
      <c r="K1381" t="s">
        <v>2821</v>
      </c>
      <c r="L1381" t="s">
        <v>2822</v>
      </c>
    </row>
    <row r="1382" spans="1:12" ht="15" customHeight="1" x14ac:dyDescent="0.25">
      <c r="A1382">
        <v>1381</v>
      </c>
      <c r="B1382" s="5">
        <v>45747</v>
      </c>
      <c r="C1382" t="s">
        <v>47</v>
      </c>
      <c r="D1382" t="s">
        <v>55</v>
      </c>
      <c r="E1382" t="s">
        <v>56</v>
      </c>
      <c r="F1382" t="s">
        <v>106</v>
      </c>
      <c r="G1382" s="6">
        <v>3739.53</v>
      </c>
      <c r="H1382" s="7">
        <v>5.5E-2</v>
      </c>
      <c r="I1382" s="6">
        <v>205.67</v>
      </c>
      <c r="J1382" s="6">
        <v>3945.2</v>
      </c>
      <c r="K1382" t="s">
        <v>2823</v>
      </c>
      <c r="L1382" t="s">
        <v>2824</v>
      </c>
    </row>
    <row r="1383" spans="1:12" ht="15" customHeight="1" x14ac:dyDescent="0.25">
      <c r="A1383">
        <v>1382</v>
      </c>
      <c r="B1383" s="5">
        <v>45716</v>
      </c>
      <c r="C1383" t="s">
        <v>33</v>
      </c>
      <c r="D1383" t="s">
        <v>55</v>
      </c>
      <c r="E1383" t="s">
        <v>56</v>
      </c>
      <c r="F1383" t="s">
        <v>87</v>
      </c>
      <c r="G1383" s="6">
        <v>2809.63</v>
      </c>
      <c r="H1383" s="7">
        <v>5.5E-2</v>
      </c>
      <c r="I1383" s="6">
        <v>154.53</v>
      </c>
      <c r="J1383" s="6">
        <v>2964.16</v>
      </c>
      <c r="K1383" t="s">
        <v>2825</v>
      </c>
      <c r="L1383" t="s">
        <v>2826</v>
      </c>
    </row>
    <row r="1384" spans="1:12" ht="15" customHeight="1" x14ac:dyDescent="0.25">
      <c r="A1384">
        <v>1383</v>
      </c>
      <c r="B1384" s="5">
        <v>45832</v>
      </c>
      <c r="C1384" t="s">
        <v>33</v>
      </c>
      <c r="D1384" t="s">
        <v>79</v>
      </c>
      <c r="E1384" t="s">
        <v>80</v>
      </c>
      <c r="F1384" t="s">
        <v>39</v>
      </c>
      <c r="G1384" s="6">
        <v>3549.2</v>
      </c>
      <c r="H1384" s="7">
        <v>0.2</v>
      </c>
      <c r="I1384" s="6">
        <v>709.84</v>
      </c>
      <c r="J1384" s="6">
        <v>4259.04</v>
      </c>
      <c r="K1384" t="s">
        <v>2827</v>
      </c>
      <c r="L1384" t="s">
        <v>2828</v>
      </c>
    </row>
    <row r="1385" spans="1:12" ht="15" customHeight="1" x14ac:dyDescent="0.25">
      <c r="A1385">
        <v>1384</v>
      </c>
      <c r="B1385" s="5">
        <v>45735</v>
      </c>
      <c r="C1385" t="s">
        <v>27</v>
      </c>
      <c r="D1385" t="s">
        <v>55</v>
      </c>
      <c r="E1385" t="s">
        <v>56</v>
      </c>
      <c r="F1385" t="s">
        <v>106</v>
      </c>
      <c r="G1385" s="6">
        <v>3852.06</v>
      </c>
      <c r="H1385" s="7">
        <v>5.5E-2</v>
      </c>
      <c r="I1385" s="6">
        <v>211.86</v>
      </c>
      <c r="J1385" s="6">
        <v>4063.92</v>
      </c>
      <c r="K1385" t="s">
        <v>2829</v>
      </c>
      <c r="L1385" t="s">
        <v>2830</v>
      </c>
    </row>
    <row r="1386" spans="1:12" ht="15" customHeight="1" x14ac:dyDescent="0.25">
      <c r="A1386">
        <v>1385</v>
      </c>
      <c r="B1386" s="5">
        <v>45882</v>
      </c>
      <c r="C1386" t="s">
        <v>27</v>
      </c>
      <c r="D1386" t="s">
        <v>28</v>
      </c>
      <c r="E1386" t="s">
        <v>29</v>
      </c>
      <c r="F1386" t="s">
        <v>87</v>
      </c>
      <c r="G1386" s="6">
        <v>3611.52</v>
      </c>
      <c r="H1386" s="7">
        <v>2.1000000000000001E-2</v>
      </c>
      <c r="I1386" s="6">
        <v>75.84</v>
      </c>
      <c r="J1386" s="6">
        <v>3687.36</v>
      </c>
      <c r="K1386" t="s">
        <v>2831</v>
      </c>
      <c r="L1386" t="s">
        <v>2832</v>
      </c>
    </row>
    <row r="1387" spans="1:12" ht="15" customHeight="1" x14ac:dyDescent="0.25">
      <c r="A1387">
        <v>1386</v>
      </c>
      <c r="B1387" s="5">
        <v>45945</v>
      </c>
      <c r="C1387" t="s">
        <v>27</v>
      </c>
      <c r="D1387" t="s">
        <v>172</v>
      </c>
      <c r="E1387" t="s">
        <v>173</v>
      </c>
      <c r="F1387" t="s">
        <v>87</v>
      </c>
      <c r="G1387" s="6">
        <v>265.5</v>
      </c>
      <c r="H1387" s="7">
        <v>0.2</v>
      </c>
      <c r="I1387" s="6">
        <v>53.1</v>
      </c>
      <c r="J1387" s="6">
        <v>318.60000000000002</v>
      </c>
      <c r="K1387" t="s">
        <v>2833</v>
      </c>
      <c r="L1387" t="s">
        <v>2834</v>
      </c>
    </row>
    <row r="1388" spans="1:12" ht="15" customHeight="1" x14ac:dyDescent="0.25">
      <c r="A1388">
        <v>1387</v>
      </c>
      <c r="B1388" s="5">
        <v>45763</v>
      </c>
      <c r="C1388" t="s">
        <v>27</v>
      </c>
      <c r="D1388" t="s">
        <v>28</v>
      </c>
      <c r="E1388" t="s">
        <v>29</v>
      </c>
      <c r="F1388" t="s">
        <v>30</v>
      </c>
      <c r="G1388" s="6">
        <v>4106.5600000000004</v>
      </c>
      <c r="H1388" s="7">
        <v>2.1000000000000001E-2</v>
      </c>
      <c r="I1388" s="6">
        <v>86.24</v>
      </c>
      <c r="J1388" s="6">
        <v>4192.8</v>
      </c>
      <c r="K1388" t="s">
        <v>2835</v>
      </c>
      <c r="L1388" t="s">
        <v>2836</v>
      </c>
    </row>
    <row r="1389" spans="1:12" ht="15" customHeight="1" x14ac:dyDescent="0.25">
      <c r="A1389">
        <v>1388</v>
      </c>
      <c r="B1389" s="5">
        <v>45917</v>
      </c>
      <c r="C1389" t="s">
        <v>47</v>
      </c>
      <c r="D1389" t="s">
        <v>42</v>
      </c>
      <c r="E1389" t="s">
        <v>43</v>
      </c>
      <c r="F1389" t="s">
        <v>44</v>
      </c>
      <c r="G1389" s="6">
        <v>3889.18</v>
      </c>
      <c r="H1389" s="7">
        <v>0</v>
      </c>
      <c r="I1389" s="6">
        <v>0</v>
      </c>
      <c r="J1389" s="6">
        <v>3889.18</v>
      </c>
      <c r="K1389" t="s">
        <v>2837</v>
      </c>
      <c r="L1389" t="s">
        <v>2838</v>
      </c>
    </row>
    <row r="1390" spans="1:12" ht="15" customHeight="1" x14ac:dyDescent="0.25">
      <c r="A1390">
        <v>1389</v>
      </c>
      <c r="B1390" s="5">
        <v>45728</v>
      </c>
      <c r="C1390" t="s">
        <v>27</v>
      </c>
      <c r="D1390" t="s">
        <v>55</v>
      </c>
      <c r="E1390" t="s">
        <v>56</v>
      </c>
      <c r="F1390" t="s">
        <v>71</v>
      </c>
      <c r="G1390" s="6">
        <v>623.59</v>
      </c>
      <c r="H1390" s="7">
        <v>5.5E-2</v>
      </c>
      <c r="I1390" s="6">
        <v>34.299999999999997</v>
      </c>
      <c r="J1390" s="6">
        <v>657.89</v>
      </c>
      <c r="K1390" t="s">
        <v>2839</v>
      </c>
      <c r="L1390" t="s">
        <v>2840</v>
      </c>
    </row>
    <row r="1391" spans="1:12" ht="15" customHeight="1" x14ac:dyDescent="0.25">
      <c r="A1391">
        <v>1390</v>
      </c>
      <c r="B1391" s="5">
        <v>45783</v>
      </c>
      <c r="C1391" t="s">
        <v>47</v>
      </c>
      <c r="D1391" t="s">
        <v>42</v>
      </c>
      <c r="E1391" t="s">
        <v>43</v>
      </c>
      <c r="F1391" t="s">
        <v>44</v>
      </c>
      <c r="G1391" s="6">
        <v>2936.79</v>
      </c>
      <c r="H1391" s="7">
        <v>0</v>
      </c>
      <c r="I1391" s="6">
        <v>0</v>
      </c>
      <c r="J1391" s="6">
        <v>2936.79</v>
      </c>
      <c r="K1391" t="s">
        <v>2841</v>
      </c>
      <c r="L1391" t="s">
        <v>2842</v>
      </c>
    </row>
    <row r="1392" spans="1:12" ht="15" customHeight="1" x14ac:dyDescent="0.25">
      <c r="A1392">
        <v>1391</v>
      </c>
      <c r="B1392" s="5">
        <v>45848</v>
      </c>
      <c r="C1392" t="s">
        <v>27</v>
      </c>
      <c r="D1392" t="s">
        <v>28</v>
      </c>
      <c r="E1392" t="s">
        <v>29</v>
      </c>
      <c r="F1392" t="s">
        <v>36</v>
      </c>
      <c r="G1392" s="6">
        <v>3241.18</v>
      </c>
      <c r="H1392" s="7">
        <v>2.1000000000000001E-2</v>
      </c>
      <c r="I1392" s="6">
        <v>68.06</v>
      </c>
      <c r="J1392" s="6">
        <v>3309.24</v>
      </c>
      <c r="K1392" t="s">
        <v>2843</v>
      </c>
      <c r="L1392" t="s">
        <v>2844</v>
      </c>
    </row>
    <row r="1393" spans="1:13" ht="15" customHeight="1" x14ac:dyDescent="0.25">
      <c r="A1393">
        <v>1392</v>
      </c>
      <c r="B1393" s="5">
        <v>45735</v>
      </c>
      <c r="C1393" t="s">
        <v>27</v>
      </c>
      <c r="D1393" t="s">
        <v>34</v>
      </c>
      <c r="E1393" t="s">
        <v>35</v>
      </c>
      <c r="F1393" t="s">
        <v>106</v>
      </c>
      <c r="G1393" s="6">
        <v>3409.17</v>
      </c>
      <c r="H1393" s="7">
        <v>0.2</v>
      </c>
      <c r="I1393" s="6">
        <v>681.83</v>
      </c>
      <c r="J1393" s="6">
        <v>4091</v>
      </c>
      <c r="K1393" t="s">
        <v>2845</v>
      </c>
      <c r="L1393" t="s">
        <v>2846</v>
      </c>
    </row>
    <row r="1394" spans="1:13" ht="15" customHeight="1" x14ac:dyDescent="0.25">
      <c r="A1394">
        <v>1393</v>
      </c>
      <c r="B1394" s="5">
        <v>45877</v>
      </c>
      <c r="C1394" t="s">
        <v>33</v>
      </c>
      <c r="D1394" t="s">
        <v>28</v>
      </c>
      <c r="E1394" t="s">
        <v>29</v>
      </c>
      <c r="F1394" t="s">
        <v>36</v>
      </c>
      <c r="G1394" s="6">
        <v>1907.27</v>
      </c>
      <c r="H1394" s="7">
        <v>2.1000000000000001E-2</v>
      </c>
      <c r="I1394" s="6">
        <v>40.049999999999997</v>
      </c>
      <c r="J1394" s="6">
        <v>1947.32</v>
      </c>
      <c r="K1394" t="s">
        <v>2847</v>
      </c>
      <c r="L1394" t="s">
        <v>2848</v>
      </c>
    </row>
    <row r="1395" spans="1:13" ht="15" customHeight="1" x14ac:dyDescent="0.25">
      <c r="A1395">
        <v>1394</v>
      </c>
      <c r="B1395" s="5">
        <v>45673</v>
      </c>
      <c r="C1395" t="s">
        <v>27</v>
      </c>
      <c r="D1395" t="s">
        <v>42</v>
      </c>
      <c r="E1395" t="s">
        <v>43</v>
      </c>
      <c r="F1395" t="s">
        <v>44</v>
      </c>
      <c r="G1395" s="6">
        <v>3648.36</v>
      </c>
      <c r="H1395" s="7">
        <v>0</v>
      </c>
      <c r="I1395" s="6">
        <v>0</v>
      </c>
      <c r="J1395" s="6">
        <v>3648.36</v>
      </c>
      <c r="K1395" t="s">
        <v>2849</v>
      </c>
      <c r="L1395" t="s">
        <v>2850</v>
      </c>
    </row>
    <row r="1396" spans="1:13" ht="15" customHeight="1" x14ac:dyDescent="0.25">
      <c r="A1396">
        <v>1395</v>
      </c>
      <c r="B1396" s="5">
        <v>45701</v>
      </c>
      <c r="C1396" t="s">
        <v>27</v>
      </c>
      <c r="D1396" t="s">
        <v>100</v>
      </c>
      <c r="E1396" t="s">
        <v>101</v>
      </c>
      <c r="F1396" t="s">
        <v>44</v>
      </c>
      <c r="G1396" s="6">
        <v>2763.96</v>
      </c>
      <c r="H1396" s="7">
        <v>0</v>
      </c>
      <c r="I1396" s="6">
        <v>0</v>
      </c>
      <c r="J1396" s="6">
        <v>2763.96</v>
      </c>
      <c r="K1396" t="s">
        <v>2851</v>
      </c>
      <c r="L1396" t="s">
        <v>2852</v>
      </c>
    </row>
    <row r="1397" spans="1:13" ht="15" customHeight="1" x14ac:dyDescent="0.25">
      <c r="A1397">
        <v>1396</v>
      </c>
      <c r="B1397" s="5">
        <v>45859</v>
      </c>
      <c r="C1397" t="s">
        <v>33</v>
      </c>
      <c r="D1397" t="s">
        <v>79</v>
      </c>
      <c r="E1397" t="s">
        <v>80</v>
      </c>
      <c r="F1397" t="s">
        <v>120</v>
      </c>
      <c r="G1397" s="6">
        <v>3435.63</v>
      </c>
      <c r="H1397" s="7">
        <v>0.2</v>
      </c>
      <c r="I1397" s="6">
        <v>687.13</v>
      </c>
      <c r="J1397" s="6">
        <v>4122.76</v>
      </c>
      <c r="K1397" t="s">
        <v>2853</v>
      </c>
      <c r="L1397" t="s">
        <v>2854</v>
      </c>
    </row>
    <row r="1398" spans="1:13" ht="15" customHeight="1" x14ac:dyDescent="0.25">
      <c r="A1398">
        <v>1397</v>
      </c>
      <c r="B1398" s="5">
        <v>45687</v>
      </c>
      <c r="C1398" t="s">
        <v>33</v>
      </c>
      <c r="D1398" t="s">
        <v>100</v>
      </c>
      <c r="E1398" t="s">
        <v>101</v>
      </c>
      <c r="F1398" t="s">
        <v>44</v>
      </c>
      <c r="G1398" s="6">
        <v>4152.1099999999997</v>
      </c>
      <c r="H1398" s="7">
        <v>0</v>
      </c>
      <c r="I1398" s="6">
        <v>0</v>
      </c>
      <c r="J1398" s="6">
        <v>4152.1099999999997</v>
      </c>
      <c r="K1398" t="s">
        <v>2855</v>
      </c>
      <c r="L1398" t="s">
        <v>2856</v>
      </c>
    </row>
    <row r="1399" spans="1:13" ht="15" customHeight="1" x14ac:dyDescent="0.25">
      <c r="A1399">
        <v>1398</v>
      </c>
      <c r="B1399" s="5">
        <v>45863</v>
      </c>
      <c r="C1399" t="s">
        <v>27</v>
      </c>
      <c r="D1399" t="s">
        <v>100</v>
      </c>
      <c r="E1399" t="s">
        <v>101</v>
      </c>
      <c r="F1399" t="s">
        <v>44</v>
      </c>
      <c r="G1399" s="6">
        <v>3481.9</v>
      </c>
      <c r="H1399" s="7">
        <v>0</v>
      </c>
      <c r="I1399" s="6">
        <v>0</v>
      </c>
      <c r="J1399" s="6">
        <v>3481.9</v>
      </c>
      <c r="K1399" t="s">
        <v>2857</v>
      </c>
      <c r="L1399" t="s">
        <v>2858</v>
      </c>
    </row>
    <row r="1400" spans="1:13" ht="15" customHeight="1" x14ac:dyDescent="0.25">
      <c r="A1400">
        <v>1399</v>
      </c>
      <c r="B1400" s="5">
        <v>45834</v>
      </c>
      <c r="C1400" t="s">
        <v>27</v>
      </c>
      <c r="D1400" t="s">
        <v>42</v>
      </c>
      <c r="E1400" t="s">
        <v>43</v>
      </c>
      <c r="F1400" t="s">
        <v>44</v>
      </c>
      <c r="G1400" s="6">
        <v>2471.4699999999998</v>
      </c>
      <c r="H1400" s="7">
        <v>0</v>
      </c>
      <c r="I1400" s="6">
        <v>0</v>
      </c>
      <c r="J1400" s="6">
        <v>2471.4699999999998</v>
      </c>
      <c r="K1400" t="s">
        <v>2859</v>
      </c>
      <c r="L1400" t="s">
        <v>2860</v>
      </c>
    </row>
    <row r="1401" spans="1:13" ht="15" customHeight="1" x14ac:dyDescent="0.25">
      <c r="A1401">
        <v>1400</v>
      </c>
      <c r="B1401" s="5">
        <v>46016</v>
      </c>
      <c r="C1401" t="s">
        <v>27</v>
      </c>
      <c r="D1401" t="s">
        <v>100</v>
      </c>
      <c r="E1401" t="s">
        <v>101</v>
      </c>
      <c r="F1401" t="s">
        <v>44</v>
      </c>
      <c r="G1401" s="6">
        <v>3345.31</v>
      </c>
      <c r="H1401" s="7">
        <v>0</v>
      </c>
      <c r="I1401" s="6">
        <v>0</v>
      </c>
      <c r="J1401" s="6">
        <v>3345.31</v>
      </c>
      <c r="K1401" t="s">
        <v>2861</v>
      </c>
      <c r="L1401" t="s">
        <v>2862</v>
      </c>
      <c r="M1401" t="s">
        <v>286</v>
      </c>
    </row>
    <row r="1402" spans="1:13" ht="15" customHeight="1" x14ac:dyDescent="0.25">
      <c r="A1402">
        <v>1401</v>
      </c>
      <c r="B1402" s="5">
        <v>45884</v>
      </c>
      <c r="C1402" t="s">
        <v>27</v>
      </c>
      <c r="D1402" t="s">
        <v>42</v>
      </c>
      <c r="E1402" t="s">
        <v>43</v>
      </c>
      <c r="F1402" t="s">
        <v>44</v>
      </c>
      <c r="G1402" s="6">
        <v>3930.42</v>
      </c>
      <c r="H1402" s="7">
        <v>0</v>
      </c>
      <c r="I1402" s="6">
        <v>0</v>
      </c>
      <c r="J1402" s="6">
        <v>3930.42</v>
      </c>
      <c r="K1402" t="s">
        <v>2863</v>
      </c>
      <c r="L1402" t="s">
        <v>2864</v>
      </c>
    </row>
    <row r="1403" spans="1:13" ht="15" customHeight="1" x14ac:dyDescent="0.25">
      <c r="A1403">
        <v>1402</v>
      </c>
      <c r="B1403" s="5">
        <v>45812</v>
      </c>
      <c r="C1403" t="s">
        <v>27</v>
      </c>
      <c r="D1403" t="s">
        <v>63</v>
      </c>
      <c r="E1403" t="s">
        <v>64</v>
      </c>
      <c r="F1403" t="s">
        <v>106</v>
      </c>
      <c r="G1403" s="6">
        <v>452.52</v>
      </c>
      <c r="H1403" s="7">
        <v>0.2</v>
      </c>
      <c r="I1403" s="6">
        <v>90.5</v>
      </c>
      <c r="J1403" s="6">
        <v>543.02</v>
      </c>
      <c r="K1403" t="s">
        <v>2865</v>
      </c>
      <c r="L1403" t="s">
        <v>2866</v>
      </c>
    </row>
    <row r="1404" spans="1:13" ht="15" customHeight="1" x14ac:dyDescent="0.25">
      <c r="A1404">
        <v>1403</v>
      </c>
      <c r="B1404" s="5">
        <v>45722</v>
      </c>
      <c r="C1404" t="s">
        <v>47</v>
      </c>
      <c r="D1404" t="s">
        <v>42</v>
      </c>
      <c r="E1404" t="s">
        <v>43</v>
      </c>
      <c r="F1404" t="s">
        <v>44</v>
      </c>
      <c r="G1404" s="6">
        <v>3097.9</v>
      </c>
      <c r="H1404" s="7">
        <v>0</v>
      </c>
      <c r="I1404" s="6">
        <v>0</v>
      </c>
      <c r="J1404" s="6">
        <v>3097.9</v>
      </c>
      <c r="K1404" t="s">
        <v>2867</v>
      </c>
      <c r="L1404" t="s">
        <v>2868</v>
      </c>
    </row>
    <row r="1405" spans="1:13" ht="15" customHeight="1" x14ac:dyDescent="0.25">
      <c r="A1405">
        <v>1404</v>
      </c>
      <c r="B1405" s="5">
        <v>45817</v>
      </c>
      <c r="C1405" t="s">
        <v>33</v>
      </c>
      <c r="D1405" t="s">
        <v>172</v>
      </c>
      <c r="E1405" t="s">
        <v>173</v>
      </c>
      <c r="F1405" t="s">
        <v>120</v>
      </c>
      <c r="G1405" s="6">
        <v>2384.3000000000002</v>
      </c>
      <c r="H1405" s="7">
        <v>0.2</v>
      </c>
      <c r="I1405" s="6">
        <v>476.86</v>
      </c>
      <c r="J1405" s="6">
        <v>2861.16</v>
      </c>
      <c r="K1405" t="s">
        <v>2869</v>
      </c>
      <c r="L1405" t="s">
        <v>2870</v>
      </c>
    </row>
    <row r="1406" spans="1:13" ht="15" customHeight="1" x14ac:dyDescent="0.25">
      <c r="A1406">
        <v>1405</v>
      </c>
      <c r="B1406" s="5">
        <v>45961</v>
      </c>
      <c r="C1406" t="s">
        <v>33</v>
      </c>
      <c r="D1406" t="s">
        <v>28</v>
      </c>
      <c r="E1406" t="s">
        <v>29</v>
      </c>
      <c r="F1406" t="s">
        <v>174</v>
      </c>
      <c r="G1406" s="6">
        <v>1223.4100000000001</v>
      </c>
      <c r="H1406" s="7">
        <v>2.1000000000000001E-2</v>
      </c>
      <c r="I1406" s="6">
        <v>25.69</v>
      </c>
      <c r="J1406" s="6">
        <v>1249.0999999999999</v>
      </c>
      <c r="K1406" t="s">
        <v>2871</v>
      </c>
      <c r="L1406" t="s">
        <v>2872</v>
      </c>
    </row>
    <row r="1407" spans="1:13" ht="15" customHeight="1" x14ac:dyDescent="0.25">
      <c r="A1407">
        <v>1406</v>
      </c>
      <c r="B1407" s="5">
        <v>45714</v>
      </c>
      <c r="C1407" t="s">
        <v>47</v>
      </c>
      <c r="D1407" t="s">
        <v>115</v>
      </c>
      <c r="E1407" t="s">
        <v>116</v>
      </c>
      <c r="F1407" t="s">
        <v>44</v>
      </c>
      <c r="G1407" s="6">
        <v>2603.96</v>
      </c>
      <c r="H1407" s="7">
        <v>0</v>
      </c>
      <c r="I1407" s="6">
        <v>0</v>
      </c>
      <c r="J1407" s="6">
        <v>2603.96</v>
      </c>
      <c r="K1407" t="s">
        <v>2873</v>
      </c>
      <c r="L1407" t="s">
        <v>2874</v>
      </c>
      <c r="M1407" t="s">
        <v>119</v>
      </c>
    </row>
    <row r="1408" spans="1:13" ht="15" customHeight="1" x14ac:dyDescent="0.25">
      <c r="A1408">
        <v>1407</v>
      </c>
      <c r="B1408" s="5">
        <v>45721</v>
      </c>
      <c r="C1408" t="s">
        <v>27</v>
      </c>
      <c r="D1408" t="s">
        <v>79</v>
      </c>
      <c r="E1408" t="s">
        <v>80</v>
      </c>
      <c r="F1408" t="s">
        <v>120</v>
      </c>
      <c r="G1408" s="6">
        <v>290.98</v>
      </c>
      <c r="H1408" s="7">
        <v>0.2</v>
      </c>
      <c r="I1408" s="6">
        <v>58.2</v>
      </c>
      <c r="J1408" s="6">
        <v>349.18</v>
      </c>
      <c r="K1408" t="s">
        <v>2875</v>
      </c>
      <c r="L1408" t="s">
        <v>2876</v>
      </c>
    </row>
    <row r="1409" spans="1:13" ht="15" customHeight="1" x14ac:dyDescent="0.25">
      <c r="A1409">
        <v>1408</v>
      </c>
      <c r="B1409" s="5">
        <v>45660</v>
      </c>
      <c r="C1409" t="s">
        <v>47</v>
      </c>
      <c r="D1409" t="s">
        <v>55</v>
      </c>
      <c r="E1409" t="s">
        <v>56</v>
      </c>
      <c r="F1409" t="s">
        <v>71</v>
      </c>
      <c r="G1409" s="6">
        <v>16408.509999999998</v>
      </c>
      <c r="H1409" s="7">
        <v>5.5E-2</v>
      </c>
      <c r="I1409" s="6">
        <v>902.47</v>
      </c>
      <c r="J1409" s="6">
        <v>17310.98</v>
      </c>
      <c r="K1409" t="s">
        <v>2877</v>
      </c>
      <c r="L1409" t="s">
        <v>2878</v>
      </c>
      <c r="M1409" t="s">
        <v>580</v>
      </c>
    </row>
    <row r="1410" spans="1:13" ht="15" customHeight="1" x14ac:dyDescent="0.25">
      <c r="A1410">
        <v>1409</v>
      </c>
      <c r="B1410" s="5">
        <v>45947</v>
      </c>
      <c r="C1410" t="s">
        <v>27</v>
      </c>
      <c r="D1410" t="s">
        <v>94</v>
      </c>
      <c r="E1410" t="s">
        <v>95</v>
      </c>
      <c r="F1410" t="s">
        <v>44</v>
      </c>
      <c r="G1410" s="6">
        <v>2843.85</v>
      </c>
      <c r="H1410" s="7">
        <v>0</v>
      </c>
      <c r="I1410" s="6">
        <v>0</v>
      </c>
      <c r="J1410" s="6">
        <v>2843.85</v>
      </c>
      <c r="K1410" t="s">
        <v>2879</v>
      </c>
      <c r="L1410" t="s">
        <v>2752</v>
      </c>
    </row>
    <row r="1411" spans="1:13" ht="15" customHeight="1" x14ac:dyDescent="0.25">
      <c r="A1411">
        <v>1410</v>
      </c>
      <c r="B1411" s="5">
        <v>45777</v>
      </c>
      <c r="C1411" t="s">
        <v>27</v>
      </c>
      <c r="D1411" t="s">
        <v>42</v>
      </c>
      <c r="E1411" t="s">
        <v>43</v>
      </c>
      <c r="F1411" t="s">
        <v>44</v>
      </c>
      <c r="G1411" s="6">
        <v>2482.89</v>
      </c>
      <c r="H1411" s="7">
        <v>0</v>
      </c>
      <c r="I1411" s="6">
        <v>0</v>
      </c>
      <c r="J1411" s="6">
        <v>2482.89</v>
      </c>
      <c r="K1411" t="s">
        <v>2880</v>
      </c>
      <c r="L1411" t="s">
        <v>2881</v>
      </c>
    </row>
    <row r="1412" spans="1:13" ht="15" customHeight="1" x14ac:dyDescent="0.25">
      <c r="A1412">
        <v>1411</v>
      </c>
      <c r="B1412" s="5">
        <v>45729</v>
      </c>
      <c r="C1412" t="s">
        <v>27</v>
      </c>
      <c r="D1412" t="s">
        <v>172</v>
      </c>
      <c r="E1412" t="s">
        <v>173</v>
      </c>
      <c r="F1412" t="s">
        <v>106</v>
      </c>
      <c r="G1412" s="6">
        <v>3237.43</v>
      </c>
      <c r="H1412" s="7">
        <v>0.2</v>
      </c>
      <c r="I1412" s="6">
        <v>647.49</v>
      </c>
      <c r="J1412" s="6">
        <v>3884.92</v>
      </c>
      <c r="K1412" t="s">
        <v>2882</v>
      </c>
      <c r="L1412" t="s">
        <v>2883</v>
      </c>
    </row>
    <row r="1413" spans="1:13" ht="15" customHeight="1" x14ac:dyDescent="0.25">
      <c r="A1413">
        <v>1412</v>
      </c>
      <c r="B1413" s="5">
        <v>45922</v>
      </c>
      <c r="C1413" t="s">
        <v>33</v>
      </c>
      <c r="D1413" t="s">
        <v>28</v>
      </c>
      <c r="E1413" t="s">
        <v>29</v>
      </c>
      <c r="F1413" t="s">
        <v>50</v>
      </c>
      <c r="G1413" s="6">
        <v>2654.07</v>
      </c>
      <c r="H1413" s="7">
        <v>2.1000000000000001E-2</v>
      </c>
      <c r="I1413" s="6">
        <v>55.74</v>
      </c>
      <c r="J1413" s="6">
        <v>2709.81</v>
      </c>
      <c r="K1413" t="s">
        <v>2884</v>
      </c>
      <c r="L1413" t="s">
        <v>2885</v>
      </c>
    </row>
    <row r="1414" spans="1:13" ht="15" customHeight="1" x14ac:dyDescent="0.25">
      <c r="A1414">
        <v>1413</v>
      </c>
      <c r="B1414" s="5">
        <v>45875</v>
      </c>
      <c r="C1414" t="s">
        <v>33</v>
      </c>
      <c r="D1414" t="s">
        <v>28</v>
      </c>
      <c r="E1414" t="s">
        <v>29</v>
      </c>
      <c r="F1414" t="s">
        <v>87</v>
      </c>
      <c r="G1414" s="6">
        <v>3741.69</v>
      </c>
      <c r="H1414" s="7">
        <v>2.1000000000000001E-2</v>
      </c>
      <c r="I1414" s="6">
        <v>78.58</v>
      </c>
      <c r="J1414" s="6">
        <v>3820.27</v>
      </c>
      <c r="K1414" t="s">
        <v>2886</v>
      </c>
      <c r="L1414" t="s">
        <v>2887</v>
      </c>
    </row>
    <row r="1415" spans="1:13" ht="15" customHeight="1" x14ac:dyDescent="0.25">
      <c r="A1415">
        <v>1414</v>
      </c>
      <c r="B1415" s="5">
        <v>45901</v>
      </c>
      <c r="C1415" t="s">
        <v>33</v>
      </c>
      <c r="D1415" t="s">
        <v>63</v>
      </c>
      <c r="E1415" t="s">
        <v>64</v>
      </c>
      <c r="F1415" t="s">
        <v>87</v>
      </c>
      <c r="G1415" s="6">
        <v>1029.3499999999999</v>
      </c>
      <c r="H1415" s="7">
        <v>0.2</v>
      </c>
      <c r="I1415" s="6">
        <v>205.87</v>
      </c>
      <c r="J1415" s="6">
        <v>1235.22</v>
      </c>
      <c r="K1415" t="s">
        <v>2888</v>
      </c>
      <c r="L1415" t="s">
        <v>2889</v>
      </c>
    </row>
    <row r="1416" spans="1:13" ht="15" customHeight="1" x14ac:dyDescent="0.25">
      <c r="A1416">
        <v>1415</v>
      </c>
      <c r="B1416" s="5">
        <v>45959</v>
      </c>
      <c r="C1416" t="s">
        <v>27</v>
      </c>
      <c r="D1416" t="s">
        <v>172</v>
      </c>
      <c r="E1416" t="s">
        <v>173</v>
      </c>
      <c r="F1416" t="s">
        <v>36</v>
      </c>
      <c r="G1416" s="6">
        <v>2550.64</v>
      </c>
      <c r="H1416" s="7">
        <v>0.2</v>
      </c>
      <c r="I1416" s="6">
        <v>510.13</v>
      </c>
      <c r="J1416" s="6">
        <v>3060.77</v>
      </c>
      <c r="K1416" t="s">
        <v>2890</v>
      </c>
      <c r="L1416" t="s">
        <v>2891</v>
      </c>
    </row>
    <row r="1417" spans="1:13" ht="15" customHeight="1" x14ac:dyDescent="0.25">
      <c r="A1417">
        <v>1416</v>
      </c>
      <c r="B1417" s="5">
        <v>45874</v>
      </c>
      <c r="C1417" t="s">
        <v>27</v>
      </c>
      <c r="D1417" t="s">
        <v>79</v>
      </c>
      <c r="E1417" t="s">
        <v>80</v>
      </c>
      <c r="F1417" t="s">
        <v>81</v>
      </c>
      <c r="G1417" s="6">
        <v>4484.58</v>
      </c>
      <c r="H1417" s="7">
        <v>0.2</v>
      </c>
      <c r="I1417" s="6">
        <v>896.92</v>
      </c>
      <c r="J1417" s="6">
        <v>5381.5</v>
      </c>
      <c r="K1417" t="s">
        <v>2892</v>
      </c>
      <c r="L1417" t="s">
        <v>2893</v>
      </c>
    </row>
    <row r="1418" spans="1:13" ht="15" customHeight="1" x14ac:dyDescent="0.25">
      <c r="A1418">
        <v>1417</v>
      </c>
      <c r="B1418" s="5">
        <v>45741</v>
      </c>
      <c r="C1418" t="s">
        <v>27</v>
      </c>
      <c r="D1418" t="s">
        <v>94</v>
      </c>
      <c r="E1418" t="s">
        <v>95</v>
      </c>
      <c r="F1418" t="s">
        <v>44</v>
      </c>
      <c r="G1418" s="6">
        <v>817.81</v>
      </c>
      <c r="H1418" s="7">
        <v>0</v>
      </c>
      <c r="I1418" s="6">
        <v>0</v>
      </c>
      <c r="J1418" s="6">
        <v>817.81</v>
      </c>
      <c r="K1418" t="s">
        <v>2894</v>
      </c>
      <c r="L1418" t="s">
        <v>2895</v>
      </c>
    </row>
    <row r="1419" spans="1:13" ht="15" customHeight="1" x14ac:dyDescent="0.25">
      <c r="A1419">
        <v>1418</v>
      </c>
      <c r="B1419" s="5">
        <v>46013</v>
      </c>
      <c r="C1419" t="s">
        <v>47</v>
      </c>
      <c r="D1419" t="s">
        <v>28</v>
      </c>
      <c r="E1419" t="s">
        <v>29</v>
      </c>
      <c r="F1419" t="s">
        <v>76</v>
      </c>
      <c r="G1419" s="6">
        <v>1019.88</v>
      </c>
      <c r="H1419" s="7">
        <v>2.1000000000000001E-2</v>
      </c>
      <c r="I1419" s="6">
        <v>21.42</v>
      </c>
      <c r="J1419" s="6">
        <v>1041.3</v>
      </c>
      <c r="K1419" t="s">
        <v>2896</v>
      </c>
      <c r="L1419" t="s">
        <v>2897</v>
      </c>
    </row>
    <row r="1420" spans="1:13" ht="15" customHeight="1" x14ac:dyDescent="0.25">
      <c r="A1420">
        <v>1419</v>
      </c>
      <c r="B1420" s="5">
        <v>45944</v>
      </c>
      <c r="C1420" t="s">
        <v>27</v>
      </c>
      <c r="D1420" t="s">
        <v>28</v>
      </c>
      <c r="E1420" t="s">
        <v>29</v>
      </c>
      <c r="F1420" t="s">
        <v>87</v>
      </c>
      <c r="G1420" s="6">
        <v>16321.78</v>
      </c>
      <c r="H1420" s="7">
        <v>2.1000000000000001E-2</v>
      </c>
      <c r="I1420" s="6">
        <v>342.76</v>
      </c>
      <c r="J1420" s="6">
        <v>16664.54</v>
      </c>
      <c r="K1420" t="s">
        <v>2898</v>
      </c>
      <c r="L1420" t="s">
        <v>2899</v>
      </c>
      <c r="M1420" t="s">
        <v>580</v>
      </c>
    </row>
    <row r="1421" spans="1:13" ht="15" customHeight="1" x14ac:dyDescent="0.25">
      <c r="A1421">
        <v>1420</v>
      </c>
      <c r="B1421" s="5">
        <v>45847</v>
      </c>
      <c r="C1421" t="s">
        <v>47</v>
      </c>
      <c r="D1421" t="s">
        <v>28</v>
      </c>
      <c r="E1421" t="s">
        <v>29</v>
      </c>
      <c r="F1421" t="s">
        <v>39</v>
      </c>
      <c r="G1421" s="6">
        <v>2607.1999999999998</v>
      </c>
      <c r="H1421" s="7">
        <v>2.1000000000000001E-2</v>
      </c>
      <c r="I1421" s="6">
        <v>54.75</v>
      </c>
      <c r="J1421" s="6">
        <v>2661.95</v>
      </c>
      <c r="K1421" t="s">
        <v>2900</v>
      </c>
      <c r="L1421" t="s">
        <v>2901</v>
      </c>
    </row>
    <row r="1422" spans="1:13" ht="15" customHeight="1" x14ac:dyDescent="0.25">
      <c r="A1422">
        <v>1421</v>
      </c>
      <c r="B1422" s="5">
        <v>45814</v>
      </c>
      <c r="C1422" t="s">
        <v>33</v>
      </c>
      <c r="D1422" t="s">
        <v>28</v>
      </c>
      <c r="E1422" t="s">
        <v>29</v>
      </c>
      <c r="F1422" t="s">
        <v>174</v>
      </c>
      <c r="G1422" s="6">
        <v>4460.3100000000004</v>
      </c>
      <c r="H1422" s="7">
        <v>2.1000000000000001E-2</v>
      </c>
      <c r="I1422" s="6">
        <v>93.67</v>
      </c>
      <c r="J1422" s="6">
        <v>4553.9799999999996</v>
      </c>
      <c r="K1422" t="s">
        <v>2902</v>
      </c>
      <c r="L1422" t="s">
        <v>2903</v>
      </c>
    </row>
    <row r="1423" spans="1:13" ht="15" customHeight="1" x14ac:dyDescent="0.25">
      <c r="A1423">
        <v>1422</v>
      </c>
      <c r="B1423" s="5">
        <v>45730</v>
      </c>
      <c r="C1423" t="s">
        <v>47</v>
      </c>
      <c r="D1423" t="s">
        <v>28</v>
      </c>
      <c r="E1423" t="s">
        <v>29</v>
      </c>
      <c r="F1423" t="s">
        <v>36</v>
      </c>
      <c r="G1423" s="6">
        <v>3544.36</v>
      </c>
      <c r="H1423" s="7">
        <v>2.1000000000000001E-2</v>
      </c>
      <c r="I1423" s="6">
        <v>74.430000000000007</v>
      </c>
      <c r="J1423" s="6">
        <v>3618.79</v>
      </c>
      <c r="K1423" t="s">
        <v>2904</v>
      </c>
      <c r="L1423" t="s">
        <v>2905</v>
      </c>
    </row>
    <row r="1424" spans="1:13" ht="15" customHeight="1" x14ac:dyDescent="0.25">
      <c r="A1424">
        <v>1423</v>
      </c>
      <c r="B1424" s="5">
        <v>45768</v>
      </c>
      <c r="C1424" t="s">
        <v>47</v>
      </c>
      <c r="D1424" t="s">
        <v>100</v>
      </c>
      <c r="E1424" t="s">
        <v>101</v>
      </c>
      <c r="F1424" t="s">
        <v>44</v>
      </c>
      <c r="G1424" s="6">
        <v>3575.18</v>
      </c>
      <c r="H1424" s="7">
        <v>0</v>
      </c>
      <c r="I1424" s="6">
        <v>0</v>
      </c>
      <c r="J1424" s="6">
        <v>3575.18</v>
      </c>
      <c r="K1424" t="s">
        <v>2906</v>
      </c>
      <c r="L1424" t="s">
        <v>2907</v>
      </c>
    </row>
    <row r="1425" spans="1:12" ht="15" customHeight="1" x14ac:dyDescent="0.25">
      <c r="A1425">
        <v>1424</v>
      </c>
      <c r="B1425" s="5">
        <v>45692</v>
      </c>
      <c r="C1425" t="s">
        <v>33</v>
      </c>
      <c r="D1425" t="s">
        <v>172</v>
      </c>
      <c r="E1425" t="s">
        <v>173</v>
      </c>
      <c r="F1425" t="s">
        <v>36</v>
      </c>
      <c r="G1425" s="6">
        <v>3927.29</v>
      </c>
      <c r="H1425" s="7">
        <v>0.2</v>
      </c>
      <c r="I1425" s="6">
        <v>785.46</v>
      </c>
      <c r="J1425" s="6">
        <v>4712.75</v>
      </c>
      <c r="K1425" t="s">
        <v>2908</v>
      </c>
      <c r="L1425" t="s">
        <v>2909</v>
      </c>
    </row>
    <row r="1426" spans="1:12" ht="15" customHeight="1" x14ac:dyDescent="0.25">
      <c r="A1426">
        <v>1425</v>
      </c>
      <c r="B1426" s="5">
        <v>45889</v>
      </c>
      <c r="C1426" t="s">
        <v>27</v>
      </c>
      <c r="D1426" t="s">
        <v>55</v>
      </c>
      <c r="E1426" t="s">
        <v>56</v>
      </c>
      <c r="F1426" t="s">
        <v>36</v>
      </c>
      <c r="G1426" s="6">
        <v>4059.27</v>
      </c>
      <c r="H1426" s="7">
        <v>5.5E-2</v>
      </c>
      <c r="I1426" s="6">
        <v>223.26</v>
      </c>
      <c r="J1426" s="6">
        <v>4282.53</v>
      </c>
      <c r="K1426" t="s">
        <v>2910</v>
      </c>
      <c r="L1426" t="s">
        <v>2911</v>
      </c>
    </row>
    <row r="1427" spans="1:12" ht="15" customHeight="1" x14ac:dyDescent="0.25">
      <c r="A1427">
        <v>1426</v>
      </c>
      <c r="B1427" s="5">
        <v>45728</v>
      </c>
      <c r="C1427" t="s">
        <v>27</v>
      </c>
      <c r="D1427" t="s">
        <v>42</v>
      </c>
      <c r="E1427" t="s">
        <v>43</v>
      </c>
      <c r="F1427" t="s">
        <v>44</v>
      </c>
      <c r="G1427" s="6">
        <v>2906.25</v>
      </c>
      <c r="H1427" s="7">
        <v>0</v>
      </c>
      <c r="I1427" s="6">
        <v>0</v>
      </c>
      <c r="J1427" s="6">
        <v>2906.25</v>
      </c>
      <c r="K1427" t="s">
        <v>2912</v>
      </c>
      <c r="L1427" t="s">
        <v>2913</v>
      </c>
    </row>
    <row r="1428" spans="1:12" ht="15" customHeight="1" x14ac:dyDescent="0.25">
      <c r="A1428">
        <v>1427</v>
      </c>
      <c r="B1428" s="5">
        <v>45824</v>
      </c>
      <c r="C1428" t="s">
        <v>27</v>
      </c>
      <c r="D1428" t="s">
        <v>79</v>
      </c>
      <c r="E1428" t="s">
        <v>80</v>
      </c>
      <c r="F1428" t="s">
        <v>84</v>
      </c>
      <c r="G1428" s="6">
        <v>474.77</v>
      </c>
      <c r="H1428" s="7">
        <v>0.2</v>
      </c>
      <c r="I1428" s="6">
        <v>94.95</v>
      </c>
      <c r="J1428" s="6">
        <v>569.72</v>
      </c>
      <c r="K1428" t="s">
        <v>2914</v>
      </c>
      <c r="L1428" t="s">
        <v>2915</v>
      </c>
    </row>
    <row r="1429" spans="1:12" ht="15" customHeight="1" x14ac:dyDescent="0.25">
      <c r="A1429">
        <v>1428</v>
      </c>
      <c r="B1429" s="5">
        <v>45777</v>
      </c>
      <c r="C1429" t="s">
        <v>27</v>
      </c>
      <c r="D1429" t="s">
        <v>63</v>
      </c>
      <c r="E1429" t="s">
        <v>64</v>
      </c>
      <c r="F1429" t="s">
        <v>50</v>
      </c>
      <c r="G1429" s="6">
        <v>4059.08</v>
      </c>
      <c r="H1429" s="7">
        <v>0.2</v>
      </c>
      <c r="I1429" s="6">
        <v>811.82</v>
      </c>
      <c r="J1429" s="6">
        <v>4870.8999999999996</v>
      </c>
      <c r="K1429" t="s">
        <v>2916</v>
      </c>
      <c r="L1429" t="s">
        <v>2917</v>
      </c>
    </row>
    <row r="1430" spans="1:12" ht="15" customHeight="1" x14ac:dyDescent="0.25">
      <c r="A1430">
        <v>1429</v>
      </c>
      <c r="B1430" s="5">
        <v>45884</v>
      </c>
      <c r="C1430" t="s">
        <v>33</v>
      </c>
      <c r="D1430" t="s">
        <v>100</v>
      </c>
      <c r="E1430" t="s">
        <v>101</v>
      </c>
      <c r="F1430" t="s">
        <v>44</v>
      </c>
      <c r="G1430" s="6">
        <v>3350.2</v>
      </c>
      <c r="H1430" s="7">
        <v>0</v>
      </c>
      <c r="I1430" s="6">
        <v>0</v>
      </c>
      <c r="J1430" s="6">
        <v>3350.2</v>
      </c>
      <c r="K1430" t="s">
        <v>2918</v>
      </c>
      <c r="L1430" t="s">
        <v>2919</v>
      </c>
    </row>
    <row r="1431" spans="1:12" ht="15" customHeight="1" x14ac:dyDescent="0.25">
      <c r="A1431">
        <v>1430</v>
      </c>
      <c r="B1431" s="5">
        <v>45980</v>
      </c>
      <c r="C1431" t="s">
        <v>27</v>
      </c>
      <c r="D1431" t="s">
        <v>28</v>
      </c>
      <c r="E1431" t="s">
        <v>29</v>
      </c>
      <c r="F1431" t="s">
        <v>81</v>
      </c>
      <c r="G1431" s="6">
        <v>3599.02</v>
      </c>
      <c r="H1431" s="7">
        <v>2.1000000000000001E-2</v>
      </c>
      <c r="I1431" s="6">
        <v>75.58</v>
      </c>
      <c r="J1431" s="6">
        <v>3674.6</v>
      </c>
      <c r="K1431" t="s">
        <v>2920</v>
      </c>
      <c r="L1431" t="s">
        <v>2921</v>
      </c>
    </row>
    <row r="1432" spans="1:12" ht="15" customHeight="1" x14ac:dyDescent="0.25">
      <c r="A1432">
        <v>1431</v>
      </c>
      <c r="B1432" s="5">
        <v>45987</v>
      </c>
      <c r="C1432" t="s">
        <v>27</v>
      </c>
      <c r="D1432" t="s">
        <v>181</v>
      </c>
      <c r="E1432" t="s">
        <v>182</v>
      </c>
      <c r="F1432" t="s">
        <v>71</v>
      </c>
      <c r="G1432" s="6">
        <v>2552.34</v>
      </c>
      <c r="H1432" s="7">
        <v>0.2</v>
      </c>
      <c r="I1432" s="6">
        <v>510.47</v>
      </c>
      <c r="J1432" s="6">
        <v>3062.81</v>
      </c>
      <c r="K1432" t="s">
        <v>2922</v>
      </c>
      <c r="L1432" t="s">
        <v>2923</v>
      </c>
    </row>
    <row r="1433" spans="1:12" ht="15" customHeight="1" x14ac:dyDescent="0.25">
      <c r="A1433">
        <v>1432</v>
      </c>
      <c r="B1433" s="5">
        <v>45685</v>
      </c>
      <c r="C1433" t="s">
        <v>27</v>
      </c>
      <c r="D1433" t="s">
        <v>172</v>
      </c>
      <c r="E1433" t="s">
        <v>173</v>
      </c>
      <c r="F1433" t="s">
        <v>106</v>
      </c>
      <c r="G1433" s="6">
        <v>4311.2299999999996</v>
      </c>
      <c r="H1433" s="7">
        <v>0.2</v>
      </c>
      <c r="I1433" s="6">
        <v>862.25</v>
      </c>
      <c r="J1433" s="6">
        <v>5173.4799999999996</v>
      </c>
      <c r="K1433" t="s">
        <v>2924</v>
      </c>
      <c r="L1433" t="s">
        <v>2925</v>
      </c>
    </row>
    <row r="1434" spans="1:12" ht="15" customHeight="1" x14ac:dyDescent="0.25">
      <c r="A1434">
        <v>1433</v>
      </c>
      <c r="B1434" s="5">
        <v>45667</v>
      </c>
      <c r="C1434" t="s">
        <v>47</v>
      </c>
      <c r="D1434" t="s">
        <v>79</v>
      </c>
      <c r="E1434" t="s">
        <v>80</v>
      </c>
      <c r="F1434" t="s">
        <v>106</v>
      </c>
      <c r="G1434" s="6">
        <v>611.65</v>
      </c>
      <c r="H1434" s="7">
        <v>0.2</v>
      </c>
      <c r="I1434" s="6">
        <v>122.33</v>
      </c>
      <c r="J1434" s="6">
        <v>733.98</v>
      </c>
      <c r="K1434" t="s">
        <v>2926</v>
      </c>
      <c r="L1434" t="s">
        <v>2927</v>
      </c>
    </row>
    <row r="1435" spans="1:12" ht="15" customHeight="1" x14ac:dyDescent="0.25">
      <c r="A1435">
        <v>1434</v>
      </c>
      <c r="B1435" s="5">
        <v>45763</v>
      </c>
      <c r="C1435" t="s">
        <v>33</v>
      </c>
      <c r="D1435" t="s">
        <v>55</v>
      </c>
      <c r="E1435" t="s">
        <v>56</v>
      </c>
      <c r="F1435" t="s">
        <v>81</v>
      </c>
      <c r="G1435" s="6">
        <v>1164.17</v>
      </c>
      <c r="H1435" s="7">
        <v>5.5E-2</v>
      </c>
      <c r="I1435" s="6">
        <v>64.03</v>
      </c>
      <c r="J1435" s="6">
        <v>1228.2</v>
      </c>
      <c r="K1435" t="s">
        <v>2928</v>
      </c>
      <c r="L1435" t="s">
        <v>2929</v>
      </c>
    </row>
    <row r="1436" spans="1:12" ht="15" customHeight="1" x14ac:dyDescent="0.25">
      <c r="A1436">
        <v>1435</v>
      </c>
      <c r="B1436" s="5">
        <v>45931</v>
      </c>
      <c r="C1436" t="s">
        <v>27</v>
      </c>
      <c r="D1436" t="s">
        <v>79</v>
      </c>
      <c r="E1436" t="s">
        <v>80</v>
      </c>
      <c r="F1436" t="s">
        <v>36</v>
      </c>
      <c r="G1436" s="6">
        <v>2762.3</v>
      </c>
      <c r="H1436" s="7">
        <v>0.2</v>
      </c>
      <c r="I1436" s="6">
        <v>552.46</v>
      </c>
      <c r="J1436" s="6">
        <v>3314.76</v>
      </c>
      <c r="K1436" t="s">
        <v>2930</v>
      </c>
      <c r="L1436" t="s">
        <v>2931</v>
      </c>
    </row>
    <row r="1437" spans="1:12" ht="15" customHeight="1" x14ac:dyDescent="0.25">
      <c r="A1437">
        <v>1436</v>
      </c>
      <c r="B1437" s="5">
        <v>45832</v>
      </c>
      <c r="C1437" t="s">
        <v>33</v>
      </c>
      <c r="D1437" t="s">
        <v>79</v>
      </c>
      <c r="E1437" t="s">
        <v>80</v>
      </c>
      <c r="F1437" t="s">
        <v>36</v>
      </c>
      <c r="G1437" s="6">
        <v>2011.62</v>
      </c>
      <c r="H1437" s="7">
        <v>0.2</v>
      </c>
      <c r="I1437" s="6">
        <v>402.32</v>
      </c>
      <c r="J1437" s="6">
        <v>2413.94</v>
      </c>
      <c r="K1437" t="s">
        <v>2932</v>
      </c>
      <c r="L1437" t="s">
        <v>2933</v>
      </c>
    </row>
    <row r="1438" spans="1:12" ht="15" customHeight="1" x14ac:dyDescent="0.25">
      <c r="A1438">
        <v>1437</v>
      </c>
      <c r="B1438" s="5">
        <v>45789</v>
      </c>
      <c r="C1438" t="s">
        <v>27</v>
      </c>
      <c r="D1438" t="s">
        <v>55</v>
      </c>
      <c r="E1438" t="s">
        <v>56</v>
      </c>
      <c r="F1438" t="s">
        <v>87</v>
      </c>
      <c r="G1438" s="6">
        <v>482.33</v>
      </c>
      <c r="H1438" s="7">
        <v>5.5E-2</v>
      </c>
      <c r="I1438" s="6">
        <v>26.53</v>
      </c>
      <c r="J1438" s="6">
        <v>508.86</v>
      </c>
      <c r="K1438" t="s">
        <v>2934</v>
      </c>
      <c r="L1438" t="s">
        <v>2935</v>
      </c>
    </row>
    <row r="1439" spans="1:12" ht="15" customHeight="1" x14ac:dyDescent="0.25">
      <c r="A1439">
        <v>1438</v>
      </c>
      <c r="B1439" s="5">
        <v>45751</v>
      </c>
      <c r="C1439" t="s">
        <v>33</v>
      </c>
      <c r="D1439" t="s">
        <v>55</v>
      </c>
      <c r="E1439" t="s">
        <v>56</v>
      </c>
      <c r="F1439" t="s">
        <v>87</v>
      </c>
      <c r="G1439" s="6">
        <v>1209.55</v>
      </c>
      <c r="H1439" s="7">
        <v>5.5E-2</v>
      </c>
      <c r="I1439" s="6">
        <v>66.53</v>
      </c>
      <c r="J1439" s="6">
        <v>1276.08</v>
      </c>
      <c r="K1439" t="s">
        <v>2936</v>
      </c>
      <c r="L1439" t="s">
        <v>2937</v>
      </c>
    </row>
    <row r="1440" spans="1:12" ht="15" customHeight="1" x14ac:dyDescent="0.25">
      <c r="A1440">
        <v>1439</v>
      </c>
      <c r="B1440" s="5">
        <v>45744</v>
      </c>
      <c r="C1440" t="s">
        <v>47</v>
      </c>
      <c r="D1440" t="s">
        <v>100</v>
      </c>
      <c r="E1440" t="s">
        <v>101</v>
      </c>
      <c r="F1440" t="s">
        <v>44</v>
      </c>
      <c r="G1440" s="6">
        <v>4106.7</v>
      </c>
      <c r="H1440" s="7">
        <v>0</v>
      </c>
      <c r="I1440" s="6">
        <v>0</v>
      </c>
      <c r="J1440" s="6">
        <v>4106.7</v>
      </c>
      <c r="K1440" t="s">
        <v>2938</v>
      </c>
      <c r="L1440" t="s">
        <v>2939</v>
      </c>
    </row>
    <row r="1441" spans="1:12" ht="15" customHeight="1" x14ac:dyDescent="0.25">
      <c r="A1441">
        <v>1440</v>
      </c>
      <c r="B1441" s="5">
        <v>45810</v>
      </c>
      <c r="C1441" t="s">
        <v>33</v>
      </c>
      <c r="D1441" t="s">
        <v>42</v>
      </c>
      <c r="E1441" t="s">
        <v>43</v>
      </c>
      <c r="F1441" t="s">
        <v>44</v>
      </c>
      <c r="G1441" s="6">
        <v>2568.1</v>
      </c>
      <c r="H1441" s="7">
        <v>0</v>
      </c>
      <c r="I1441" s="6">
        <v>0</v>
      </c>
      <c r="J1441" s="6">
        <v>2568.1</v>
      </c>
      <c r="K1441" t="s">
        <v>2940</v>
      </c>
      <c r="L1441" t="s">
        <v>2941</v>
      </c>
    </row>
    <row r="1442" spans="1:12" ht="15" customHeight="1" x14ac:dyDescent="0.25">
      <c r="A1442">
        <v>1441</v>
      </c>
      <c r="B1442" s="5">
        <v>45719</v>
      </c>
      <c r="C1442" t="s">
        <v>47</v>
      </c>
      <c r="D1442" t="s">
        <v>55</v>
      </c>
      <c r="E1442" t="s">
        <v>56</v>
      </c>
      <c r="F1442" t="s">
        <v>71</v>
      </c>
      <c r="G1442" s="6">
        <v>309.3</v>
      </c>
      <c r="H1442" s="7">
        <v>5.5E-2</v>
      </c>
      <c r="I1442" s="6">
        <v>17.010000000000002</v>
      </c>
      <c r="J1442" s="6">
        <v>326.31</v>
      </c>
      <c r="K1442" t="s">
        <v>2942</v>
      </c>
      <c r="L1442" t="s">
        <v>2943</v>
      </c>
    </row>
    <row r="1443" spans="1:12" ht="15" customHeight="1" x14ac:dyDescent="0.25">
      <c r="A1443">
        <v>1442</v>
      </c>
      <c r="B1443" s="5">
        <v>45910</v>
      </c>
      <c r="C1443" t="s">
        <v>27</v>
      </c>
      <c r="D1443" t="s">
        <v>172</v>
      </c>
      <c r="E1443" t="s">
        <v>173</v>
      </c>
      <c r="F1443" t="s">
        <v>106</v>
      </c>
      <c r="G1443" s="6">
        <v>2328.11</v>
      </c>
      <c r="H1443" s="7">
        <v>0.2</v>
      </c>
      <c r="I1443" s="6">
        <v>465.62</v>
      </c>
      <c r="J1443" s="6">
        <v>2793.73</v>
      </c>
      <c r="K1443" t="s">
        <v>2944</v>
      </c>
      <c r="L1443" t="s">
        <v>2945</v>
      </c>
    </row>
    <row r="1444" spans="1:12" ht="15" customHeight="1" x14ac:dyDescent="0.25">
      <c r="A1444">
        <v>1443</v>
      </c>
      <c r="B1444" s="5">
        <v>45820</v>
      </c>
      <c r="C1444" t="s">
        <v>33</v>
      </c>
      <c r="D1444" t="s">
        <v>55</v>
      </c>
      <c r="E1444" t="s">
        <v>56</v>
      </c>
      <c r="F1444" t="s">
        <v>36</v>
      </c>
      <c r="G1444" s="6">
        <v>2134.52</v>
      </c>
      <c r="H1444" s="7">
        <v>5.5E-2</v>
      </c>
      <c r="I1444" s="6">
        <v>117.4</v>
      </c>
      <c r="J1444" s="6">
        <v>2251.92</v>
      </c>
      <c r="K1444" t="s">
        <v>2946</v>
      </c>
      <c r="L1444" t="s">
        <v>2947</v>
      </c>
    </row>
    <row r="1445" spans="1:12" ht="15" customHeight="1" x14ac:dyDescent="0.25">
      <c r="A1445">
        <v>1444</v>
      </c>
      <c r="B1445" s="5">
        <v>45982</v>
      </c>
      <c r="C1445" t="s">
        <v>47</v>
      </c>
      <c r="D1445" t="s">
        <v>28</v>
      </c>
      <c r="E1445" t="s">
        <v>29</v>
      </c>
      <c r="F1445" t="s">
        <v>39</v>
      </c>
      <c r="G1445" s="6">
        <v>1113.1300000000001</v>
      </c>
      <c r="H1445" s="7">
        <v>2.1000000000000001E-2</v>
      </c>
      <c r="I1445" s="6">
        <v>23.38</v>
      </c>
      <c r="J1445" s="6">
        <v>1136.51</v>
      </c>
      <c r="K1445" t="s">
        <v>2948</v>
      </c>
      <c r="L1445" t="s">
        <v>2949</v>
      </c>
    </row>
    <row r="1446" spans="1:12" ht="15" customHeight="1" x14ac:dyDescent="0.25">
      <c r="A1446">
        <v>1445</v>
      </c>
      <c r="B1446" s="5">
        <v>46003</v>
      </c>
      <c r="C1446" t="s">
        <v>27</v>
      </c>
      <c r="D1446" t="s">
        <v>94</v>
      </c>
      <c r="E1446" t="s">
        <v>95</v>
      </c>
      <c r="F1446" t="s">
        <v>44</v>
      </c>
      <c r="G1446" s="6">
        <v>2407.4499999999998</v>
      </c>
      <c r="H1446" s="7">
        <v>0</v>
      </c>
      <c r="I1446" s="6">
        <v>0</v>
      </c>
      <c r="J1446" s="6">
        <v>2407.4499999999998</v>
      </c>
      <c r="K1446" t="s">
        <v>2950</v>
      </c>
      <c r="L1446" t="s">
        <v>2951</v>
      </c>
    </row>
    <row r="1447" spans="1:12" ht="15" customHeight="1" x14ac:dyDescent="0.25">
      <c r="A1447">
        <v>1446</v>
      </c>
      <c r="B1447" s="5">
        <v>45866</v>
      </c>
      <c r="C1447" t="s">
        <v>33</v>
      </c>
      <c r="D1447" t="s">
        <v>55</v>
      </c>
      <c r="E1447" t="s">
        <v>56</v>
      </c>
      <c r="F1447" t="s">
        <v>120</v>
      </c>
      <c r="G1447" s="6">
        <v>2051.2399999999998</v>
      </c>
      <c r="H1447" s="7">
        <v>5.5E-2</v>
      </c>
      <c r="I1447" s="6">
        <v>112.82</v>
      </c>
      <c r="J1447" s="6">
        <v>2164.06</v>
      </c>
      <c r="K1447" t="s">
        <v>2952</v>
      </c>
      <c r="L1447" t="s">
        <v>2953</v>
      </c>
    </row>
    <row r="1448" spans="1:12" ht="15" customHeight="1" x14ac:dyDescent="0.25">
      <c r="A1448">
        <v>1447</v>
      </c>
      <c r="B1448" s="5">
        <v>45730</v>
      </c>
      <c r="C1448" t="s">
        <v>33</v>
      </c>
      <c r="D1448" t="s">
        <v>42</v>
      </c>
      <c r="E1448" t="s">
        <v>43</v>
      </c>
      <c r="F1448" t="s">
        <v>44</v>
      </c>
      <c r="G1448" s="6">
        <v>4164.74</v>
      </c>
      <c r="H1448" s="7">
        <v>0</v>
      </c>
      <c r="I1448" s="6">
        <v>0</v>
      </c>
      <c r="J1448" s="6">
        <v>4164.74</v>
      </c>
      <c r="K1448" t="s">
        <v>2954</v>
      </c>
      <c r="L1448" t="s">
        <v>2955</v>
      </c>
    </row>
    <row r="1449" spans="1:12" ht="15" customHeight="1" x14ac:dyDescent="0.25">
      <c r="A1449">
        <v>1448</v>
      </c>
      <c r="B1449" s="5">
        <v>45874</v>
      </c>
      <c r="C1449" t="s">
        <v>33</v>
      </c>
      <c r="D1449" t="s">
        <v>172</v>
      </c>
      <c r="E1449" t="s">
        <v>173</v>
      </c>
      <c r="F1449" t="s">
        <v>106</v>
      </c>
      <c r="G1449" s="6">
        <v>4329.18</v>
      </c>
      <c r="H1449" s="7">
        <v>0.2</v>
      </c>
      <c r="I1449" s="6">
        <v>865.84</v>
      </c>
      <c r="J1449" s="6">
        <v>5195.0200000000004</v>
      </c>
      <c r="K1449" t="s">
        <v>2956</v>
      </c>
      <c r="L1449" t="s">
        <v>2957</v>
      </c>
    </row>
    <row r="1450" spans="1:12" ht="15" customHeight="1" x14ac:dyDescent="0.25">
      <c r="A1450">
        <v>1449</v>
      </c>
      <c r="B1450" s="5">
        <v>45895</v>
      </c>
      <c r="C1450" t="s">
        <v>33</v>
      </c>
      <c r="D1450" t="s">
        <v>28</v>
      </c>
      <c r="E1450" t="s">
        <v>29</v>
      </c>
      <c r="F1450" t="s">
        <v>84</v>
      </c>
      <c r="G1450" s="6">
        <v>4328.13</v>
      </c>
      <c r="H1450" s="7">
        <v>2.1000000000000001E-2</v>
      </c>
      <c r="I1450" s="6">
        <v>90.89</v>
      </c>
      <c r="J1450" s="6">
        <v>4419.0200000000004</v>
      </c>
      <c r="K1450" t="s">
        <v>2958</v>
      </c>
      <c r="L1450" t="s">
        <v>2959</v>
      </c>
    </row>
    <row r="1451" spans="1:12" ht="15" customHeight="1" x14ac:dyDescent="0.25">
      <c r="A1451">
        <v>1450</v>
      </c>
      <c r="B1451" s="5">
        <v>45658</v>
      </c>
      <c r="C1451" t="s">
        <v>27</v>
      </c>
      <c r="D1451" t="s">
        <v>94</v>
      </c>
      <c r="E1451" t="s">
        <v>95</v>
      </c>
      <c r="F1451" t="s">
        <v>44</v>
      </c>
      <c r="G1451" s="6">
        <v>2804.53</v>
      </c>
      <c r="H1451" s="7">
        <v>0</v>
      </c>
      <c r="I1451" s="6">
        <v>0</v>
      </c>
      <c r="J1451" s="6">
        <v>2804.53</v>
      </c>
      <c r="K1451" t="s">
        <v>2960</v>
      </c>
      <c r="L1451" t="s">
        <v>2961</v>
      </c>
    </row>
    <row r="1452" spans="1:12" ht="15" customHeight="1" x14ac:dyDescent="0.25">
      <c r="A1452">
        <v>1451</v>
      </c>
      <c r="B1452" s="5">
        <v>46006</v>
      </c>
      <c r="C1452" t="s">
        <v>27</v>
      </c>
      <c r="D1452" t="s">
        <v>55</v>
      </c>
      <c r="E1452" t="s">
        <v>56</v>
      </c>
      <c r="F1452" t="s">
        <v>50</v>
      </c>
      <c r="G1452" s="6">
        <v>1760.28</v>
      </c>
      <c r="H1452" s="7">
        <v>5.5E-2</v>
      </c>
      <c r="I1452" s="6">
        <v>96.82</v>
      </c>
      <c r="J1452" s="6">
        <v>1857.1</v>
      </c>
      <c r="K1452" t="s">
        <v>2962</v>
      </c>
      <c r="L1452" t="s">
        <v>2963</v>
      </c>
    </row>
    <row r="1453" spans="1:12" ht="15" customHeight="1" x14ac:dyDescent="0.25">
      <c r="A1453">
        <v>1452</v>
      </c>
      <c r="B1453" s="5">
        <v>45919</v>
      </c>
      <c r="C1453" t="s">
        <v>27</v>
      </c>
      <c r="D1453" t="s">
        <v>28</v>
      </c>
      <c r="E1453" t="s">
        <v>29</v>
      </c>
      <c r="F1453" t="s">
        <v>30</v>
      </c>
      <c r="G1453" s="6">
        <v>1323.4</v>
      </c>
      <c r="H1453" s="7">
        <v>2.1000000000000001E-2</v>
      </c>
      <c r="I1453" s="6">
        <v>27.79</v>
      </c>
      <c r="J1453" s="6">
        <v>1351.19</v>
      </c>
      <c r="K1453" t="s">
        <v>2964</v>
      </c>
      <c r="L1453" t="s">
        <v>2965</v>
      </c>
    </row>
    <row r="1454" spans="1:12" ht="15" customHeight="1" x14ac:dyDescent="0.25">
      <c r="A1454">
        <v>1453</v>
      </c>
      <c r="B1454" s="5">
        <v>45811</v>
      </c>
      <c r="C1454" t="s">
        <v>27</v>
      </c>
      <c r="D1454" t="s">
        <v>172</v>
      </c>
      <c r="E1454" t="s">
        <v>173</v>
      </c>
      <c r="F1454" t="s">
        <v>81</v>
      </c>
      <c r="G1454" s="6">
        <v>476.54</v>
      </c>
      <c r="H1454" s="7">
        <v>0.2</v>
      </c>
      <c r="I1454" s="6">
        <v>95.31</v>
      </c>
      <c r="J1454" s="6">
        <v>571.85</v>
      </c>
      <c r="K1454" t="s">
        <v>2966</v>
      </c>
      <c r="L1454" t="s">
        <v>2967</v>
      </c>
    </row>
    <row r="1455" spans="1:12" ht="15" customHeight="1" x14ac:dyDescent="0.25">
      <c r="A1455">
        <v>1454</v>
      </c>
      <c r="B1455" s="5">
        <v>45765</v>
      </c>
      <c r="C1455" t="s">
        <v>33</v>
      </c>
      <c r="D1455" t="s">
        <v>42</v>
      </c>
      <c r="E1455" t="s">
        <v>43</v>
      </c>
      <c r="F1455" t="s">
        <v>44</v>
      </c>
      <c r="G1455" s="6">
        <v>4097.8</v>
      </c>
      <c r="H1455" s="7">
        <v>0</v>
      </c>
      <c r="I1455" s="6">
        <v>0</v>
      </c>
      <c r="J1455" s="6">
        <v>4097.8</v>
      </c>
      <c r="K1455" t="s">
        <v>2968</v>
      </c>
      <c r="L1455" t="s">
        <v>2969</v>
      </c>
    </row>
    <row r="1456" spans="1:12" ht="15" customHeight="1" x14ac:dyDescent="0.25">
      <c r="A1456">
        <v>1455</v>
      </c>
      <c r="B1456" s="5">
        <v>45791</v>
      </c>
      <c r="C1456" t="s">
        <v>27</v>
      </c>
      <c r="D1456" t="s">
        <v>100</v>
      </c>
      <c r="E1456" t="s">
        <v>101</v>
      </c>
      <c r="F1456" t="s">
        <v>44</v>
      </c>
      <c r="G1456" s="6">
        <v>3498.61</v>
      </c>
      <c r="H1456" s="7">
        <v>0</v>
      </c>
      <c r="I1456" s="6">
        <v>0</v>
      </c>
      <c r="J1456" s="6">
        <v>3498.61</v>
      </c>
      <c r="K1456" t="s">
        <v>2970</v>
      </c>
      <c r="L1456" t="s">
        <v>2971</v>
      </c>
    </row>
    <row r="1457" spans="1:13" ht="15" customHeight="1" x14ac:dyDescent="0.25">
      <c r="A1457">
        <v>1456</v>
      </c>
      <c r="B1457" s="5">
        <v>45832</v>
      </c>
      <c r="C1457" t="s">
        <v>33</v>
      </c>
      <c r="D1457" t="s">
        <v>34</v>
      </c>
      <c r="E1457" t="s">
        <v>35</v>
      </c>
      <c r="F1457" t="s">
        <v>84</v>
      </c>
      <c r="G1457" s="6">
        <v>1010.96</v>
      </c>
      <c r="H1457" s="7">
        <v>0.2</v>
      </c>
      <c r="I1457" s="6">
        <v>202.19</v>
      </c>
      <c r="J1457" s="6">
        <v>1213.1500000000001</v>
      </c>
      <c r="K1457" t="s">
        <v>2972</v>
      </c>
      <c r="L1457" t="s">
        <v>2973</v>
      </c>
    </row>
    <row r="1458" spans="1:13" ht="15" customHeight="1" x14ac:dyDescent="0.25">
      <c r="A1458">
        <v>1457</v>
      </c>
      <c r="B1458" s="5">
        <v>45726</v>
      </c>
      <c r="C1458" t="s">
        <v>33</v>
      </c>
      <c r="D1458" t="s">
        <v>100</v>
      </c>
      <c r="E1458" t="s">
        <v>101</v>
      </c>
      <c r="F1458" t="s">
        <v>44</v>
      </c>
      <c r="G1458" s="6">
        <v>1804.91</v>
      </c>
      <c r="H1458" s="7">
        <v>0</v>
      </c>
      <c r="I1458" s="6">
        <v>0</v>
      </c>
      <c r="J1458" s="6">
        <v>1804.91</v>
      </c>
      <c r="K1458" t="s">
        <v>2974</v>
      </c>
      <c r="L1458" t="s">
        <v>2975</v>
      </c>
    </row>
    <row r="1459" spans="1:13" ht="15" customHeight="1" x14ac:dyDescent="0.25">
      <c r="A1459">
        <v>1458</v>
      </c>
      <c r="B1459" s="5">
        <v>46002</v>
      </c>
      <c r="C1459" t="s">
        <v>33</v>
      </c>
      <c r="D1459" t="s">
        <v>100</v>
      </c>
      <c r="E1459" t="s">
        <v>101</v>
      </c>
      <c r="F1459" t="s">
        <v>44</v>
      </c>
      <c r="G1459" s="6">
        <v>3133.9</v>
      </c>
      <c r="H1459" s="7">
        <v>0</v>
      </c>
      <c r="I1459" s="6">
        <v>0</v>
      </c>
      <c r="J1459" s="6">
        <v>3133.9</v>
      </c>
      <c r="K1459" t="s">
        <v>2976</v>
      </c>
      <c r="L1459" t="s">
        <v>2977</v>
      </c>
    </row>
    <row r="1460" spans="1:13" ht="15" customHeight="1" x14ac:dyDescent="0.25">
      <c r="A1460">
        <v>1459</v>
      </c>
      <c r="B1460" s="5">
        <v>45864</v>
      </c>
      <c r="C1460" t="s">
        <v>27</v>
      </c>
      <c r="D1460" t="s">
        <v>79</v>
      </c>
      <c r="E1460" t="s">
        <v>80</v>
      </c>
      <c r="F1460" t="s">
        <v>120</v>
      </c>
      <c r="G1460" s="6">
        <v>2458.54</v>
      </c>
      <c r="H1460" s="7">
        <v>0.2</v>
      </c>
      <c r="I1460" s="6">
        <v>491.71</v>
      </c>
      <c r="J1460" s="6">
        <v>2950.25</v>
      </c>
      <c r="K1460" t="s">
        <v>2978</v>
      </c>
      <c r="L1460" t="s">
        <v>2979</v>
      </c>
      <c r="M1460" t="s">
        <v>472</v>
      </c>
    </row>
    <row r="1461" spans="1:13" ht="15" customHeight="1" x14ac:dyDescent="0.25">
      <c r="A1461">
        <v>1460</v>
      </c>
      <c r="B1461" s="5">
        <v>46001</v>
      </c>
      <c r="C1461" t="s">
        <v>33</v>
      </c>
      <c r="D1461" t="s">
        <v>172</v>
      </c>
      <c r="E1461" t="s">
        <v>173</v>
      </c>
      <c r="F1461" t="s">
        <v>87</v>
      </c>
      <c r="G1461" s="6">
        <v>2047.68</v>
      </c>
      <c r="H1461" s="7">
        <v>0.2</v>
      </c>
      <c r="I1461" s="6">
        <v>409.54</v>
      </c>
      <c r="J1461" s="6">
        <v>2457.2199999999998</v>
      </c>
      <c r="K1461" t="s">
        <v>2980</v>
      </c>
      <c r="L1461" t="s">
        <v>2981</v>
      </c>
    </row>
    <row r="1462" spans="1:13" ht="15" customHeight="1" x14ac:dyDescent="0.25">
      <c r="A1462">
        <v>1461</v>
      </c>
      <c r="B1462" s="5">
        <v>45841</v>
      </c>
      <c r="C1462" t="s">
        <v>47</v>
      </c>
      <c r="D1462" t="s">
        <v>42</v>
      </c>
      <c r="E1462" t="s">
        <v>43</v>
      </c>
      <c r="F1462" t="s">
        <v>44</v>
      </c>
      <c r="G1462" s="6">
        <v>3813.95</v>
      </c>
      <c r="H1462" s="7">
        <v>0</v>
      </c>
      <c r="I1462" s="6">
        <v>0</v>
      </c>
      <c r="J1462" s="6">
        <v>3813.95</v>
      </c>
      <c r="K1462" t="s">
        <v>2982</v>
      </c>
      <c r="L1462" t="s">
        <v>2983</v>
      </c>
    </row>
    <row r="1463" spans="1:13" ht="15" customHeight="1" x14ac:dyDescent="0.25">
      <c r="A1463">
        <v>1462</v>
      </c>
      <c r="B1463" s="5">
        <v>45721</v>
      </c>
      <c r="C1463" t="s">
        <v>27</v>
      </c>
      <c r="D1463" t="s">
        <v>94</v>
      </c>
      <c r="E1463" t="s">
        <v>95</v>
      </c>
      <c r="F1463" t="s">
        <v>44</v>
      </c>
      <c r="G1463" s="6">
        <v>2840.62</v>
      </c>
      <c r="H1463" s="7">
        <v>0</v>
      </c>
      <c r="I1463" s="6">
        <v>0</v>
      </c>
      <c r="J1463" s="6">
        <v>2840.62</v>
      </c>
      <c r="K1463" t="s">
        <v>2984</v>
      </c>
      <c r="L1463" t="s">
        <v>2985</v>
      </c>
    </row>
    <row r="1464" spans="1:13" ht="15" customHeight="1" x14ac:dyDescent="0.25">
      <c r="A1464">
        <v>1463</v>
      </c>
      <c r="B1464" s="5">
        <v>46006</v>
      </c>
      <c r="C1464" t="s">
        <v>33</v>
      </c>
      <c r="D1464" t="s">
        <v>55</v>
      </c>
      <c r="E1464" t="s">
        <v>56</v>
      </c>
      <c r="F1464" t="s">
        <v>50</v>
      </c>
      <c r="G1464" s="6">
        <v>4152.58</v>
      </c>
      <c r="H1464" s="7">
        <v>5.5E-2</v>
      </c>
      <c r="I1464" s="6">
        <v>228.39</v>
      </c>
      <c r="J1464" s="6">
        <v>4380.97</v>
      </c>
      <c r="K1464" t="s">
        <v>2986</v>
      </c>
      <c r="L1464" t="s">
        <v>2987</v>
      </c>
    </row>
    <row r="1465" spans="1:13" ht="15" customHeight="1" x14ac:dyDescent="0.25">
      <c r="A1465">
        <v>1464</v>
      </c>
      <c r="B1465" s="5">
        <v>45978</v>
      </c>
      <c r="C1465" t="s">
        <v>33</v>
      </c>
      <c r="D1465" t="s">
        <v>42</v>
      </c>
      <c r="E1465" t="s">
        <v>43</v>
      </c>
      <c r="F1465" t="s">
        <v>44</v>
      </c>
      <c r="G1465" s="6">
        <v>3522.74</v>
      </c>
      <c r="H1465" s="7">
        <v>0</v>
      </c>
      <c r="I1465" s="6">
        <v>0</v>
      </c>
      <c r="J1465" s="6">
        <v>3522.74</v>
      </c>
      <c r="K1465" t="s">
        <v>2988</v>
      </c>
      <c r="L1465" t="s">
        <v>2989</v>
      </c>
    </row>
    <row r="1466" spans="1:13" ht="15" customHeight="1" x14ac:dyDescent="0.25">
      <c r="A1466">
        <v>1465</v>
      </c>
      <c r="B1466" s="5">
        <v>45910</v>
      </c>
      <c r="C1466" t="s">
        <v>47</v>
      </c>
      <c r="D1466" t="s">
        <v>94</v>
      </c>
      <c r="E1466" t="s">
        <v>95</v>
      </c>
      <c r="F1466" t="s">
        <v>44</v>
      </c>
      <c r="G1466" s="6">
        <v>2267.42</v>
      </c>
      <c r="H1466" s="7">
        <v>0</v>
      </c>
      <c r="I1466" s="6">
        <v>0</v>
      </c>
      <c r="J1466" s="6">
        <v>2267.42</v>
      </c>
      <c r="K1466" t="s">
        <v>2990</v>
      </c>
      <c r="L1466" t="s">
        <v>2991</v>
      </c>
    </row>
    <row r="1467" spans="1:13" ht="15" customHeight="1" x14ac:dyDescent="0.25">
      <c r="A1467">
        <v>1466</v>
      </c>
      <c r="B1467" s="5">
        <v>45860</v>
      </c>
      <c r="C1467" t="s">
        <v>33</v>
      </c>
      <c r="D1467" t="s">
        <v>28</v>
      </c>
      <c r="E1467" t="s">
        <v>29</v>
      </c>
      <c r="F1467" t="s">
        <v>174</v>
      </c>
      <c r="G1467" s="6">
        <v>570.38</v>
      </c>
      <c r="H1467" s="7">
        <v>2.1000000000000001E-2</v>
      </c>
      <c r="I1467" s="6">
        <v>11.98</v>
      </c>
      <c r="J1467" s="6">
        <v>582.36</v>
      </c>
      <c r="K1467" t="s">
        <v>2992</v>
      </c>
      <c r="L1467" t="s">
        <v>2993</v>
      </c>
    </row>
    <row r="1468" spans="1:13" ht="15" customHeight="1" x14ac:dyDescent="0.25">
      <c r="A1468">
        <v>1467</v>
      </c>
      <c r="B1468" s="5">
        <v>45940</v>
      </c>
      <c r="C1468" t="s">
        <v>27</v>
      </c>
      <c r="D1468" t="s">
        <v>79</v>
      </c>
      <c r="E1468" t="s">
        <v>80</v>
      </c>
      <c r="F1468" t="s">
        <v>81</v>
      </c>
      <c r="G1468" s="6">
        <v>936.46</v>
      </c>
      <c r="H1468" s="7">
        <v>0.2</v>
      </c>
      <c r="I1468" s="6">
        <v>187.29</v>
      </c>
      <c r="J1468" s="6">
        <v>1123.75</v>
      </c>
      <c r="K1468" t="s">
        <v>2994</v>
      </c>
      <c r="L1468" t="s">
        <v>2995</v>
      </c>
    </row>
    <row r="1469" spans="1:13" ht="15" customHeight="1" x14ac:dyDescent="0.25">
      <c r="A1469">
        <v>1468</v>
      </c>
      <c r="B1469" s="5">
        <v>45947</v>
      </c>
      <c r="C1469" t="s">
        <v>27</v>
      </c>
      <c r="D1469" t="s">
        <v>34</v>
      </c>
      <c r="E1469" t="s">
        <v>35</v>
      </c>
      <c r="F1469" t="s">
        <v>84</v>
      </c>
      <c r="G1469" s="6">
        <v>855.84</v>
      </c>
      <c r="H1469" s="7">
        <v>0.2</v>
      </c>
      <c r="I1469" s="6">
        <v>171.17</v>
      </c>
      <c r="J1469" s="6">
        <v>1027.01</v>
      </c>
      <c r="K1469" t="s">
        <v>2996</v>
      </c>
      <c r="L1469" t="s">
        <v>2997</v>
      </c>
    </row>
    <row r="1470" spans="1:13" ht="15" customHeight="1" x14ac:dyDescent="0.25">
      <c r="A1470">
        <v>1469</v>
      </c>
      <c r="B1470" s="5">
        <v>45790</v>
      </c>
      <c r="C1470" t="s">
        <v>27</v>
      </c>
      <c r="D1470" t="s">
        <v>28</v>
      </c>
      <c r="E1470" t="s">
        <v>29</v>
      </c>
      <c r="F1470" t="s">
        <v>71</v>
      </c>
      <c r="G1470" s="6">
        <v>4206.3500000000004</v>
      </c>
      <c r="H1470" s="7">
        <v>2.1000000000000001E-2</v>
      </c>
      <c r="I1470" s="6">
        <v>88.33</v>
      </c>
      <c r="J1470" s="6">
        <v>4294.68</v>
      </c>
      <c r="K1470" t="s">
        <v>2998</v>
      </c>
      <c r="L1470" t="s">
        <v>2999</v>
      </c>
    </row>
    <row r="1471" spans="1:13" ht="15" customHeight="1" x14ac:dyDescent="0.25">
      <c r="A1471">
        <v>1470</v>
      </c>
      <c r="B1471" s="5">
        <v>45756</v>
      </c>
      <c r="C1471" t="s">
        <v>27</v>
      </c>
      <c r="D1471" t="s">
        <v>42</v>
      </c>
      <c r="E1471" t="s">
        <v>43</v>
      </c>
      <c r="F1471" t="s">
        <v>44</v>
      </c>
      <c r="G1471" s="6">
        <v>1855.48</v>
      </c>
      <c r="H1471" s="7">
        <v>0</v>
      </c>
      <c r="I1471" s="6">
        <v>0</v>
      </c>
      <c r="J1471" s="6">
        <v>1855.48</v>
      </c>
      <c r="K1471" t="s">
        <v>3000</v>
      </c>
      <c r="L1471" t="s">
        <v>3001</v>
      </c>
    </row>
    <row r="1472" spans="1:13" ht="15" customHeight="1" x14ac:dyDescent="0.25">
      <c r="A1472">
        <v>1471</v>
      </c>
      <c r="B1472" s="5">
        <v>46006</v>
      </c>
      <c r="C1472" t="s">
        <v>27</v>
      </c>
      <c r="D1472" t="s">
        <v>172</v>
      </c>
      <c r="E1472" t="s">
        <v>173</v>
      </c>
      <c r="F1472" t="s">
        <v>76</v>
      </c>
      <c r="G1472" s="6">
        <v>2555.71</v>
      </c>
      <c r="H1472" s="7">
        <v>0.2</v>
      </c>
      <c r="I1472" s="6">
        <v>511.14</v>
      </c>
      <c r="J1472" s="6">
        <v>3066.85</v>
      </c>
      <c r="K1472" t="s">
        <v>3002</v>
      </c>
      <c r="L1472" t="s">
        <v>3003</v>
      </c>
    </row>
    <row r="1473" spans="1:13" ht="15" customHeight="1" x14ac:dyDescent="0.25">
      <c r="A1473">
        <v>1472</v>
      </c>
      <c r="B1473" s="5">
        <v>45684</v>
      </c>
      <c r="C1473" t="s">
        <v>47</v>
      </c>
      <c r="D1473" t="s">
        <v>181</v>
      </c>
      <c r="E1473" t="s">
        <v>182</v>
      </c>
      <c r="F1473" t="s">
        <v>50</v>
      </c>
      <c r="G1473" s="6">
        <v>3854.06</v>
      </c>
      <c r="H1473" s="7">
        <v>0.2</v>
      </c>
      <c r="I1473" s="6">
        <v>770.81</v>
      </c>
      <c r="J1473" s="6">
        <v>4624.87</v>
      </c>
      <c r="K1473" t="s">
        <v>3004</v>
      </c>
      <c r="L1473" t="s">
        <v>3005</v>
      </c>
    </row>
    <row r="1474" spans="1:13" ht="15" customHeight="1" x14ac:dyDescent="0.25">
      <c r="A1474">
        <v>1473</v>
      </c>
      <c r="B1474" s="5">
        <v>46006</v>
      </c>
      <c r="C1474" t="s">
        <v>47</v>
      </c>
      <c r="D1474" t="s">
        <v>55</v>
      </c>
      <c r="E1474" t="s">
        <v>56</v>
      </c>
      <c r="F1474" t="s">
        <v>76</v>
      </c>
      <c r="G1474" s="6">
        <v>2370.87</v>
      </c>
      <c r="H1474" s="7">
        <v>5.5E-2</v>
      </c>
      <c r="I1474" s="6">
        <v>130.4</v>
      </c>
      <c r="J1474" s="6">
        <v>2501.27</v>
      </c>
      <c r="K1474" t="s">
        <v>3006</v>
      </c>
      <c r="L1474" t="s">
        <v>3007</v>
      </c>
    </row>
    <row r="1475" spans="1:13" ht="15" customHeight="1" x14ac:dyDescent="0.25">
      <c r="A1475">
        <v>1474</v>
      </c>
      <c r="B1475" s="5">
        <v>45772</v>
      </c>
      <c r="C1475" t="s">
        <v>27</v>
      </c>
      <c r="D1475" t="s">
        <v>42</v>
      </c>
      <c r="E1475" t="s">
        <v>43</v>
      </c>
      <c r="F1475" t="s">
        <v>44</v>
      </c>
      <c r="G1475" s="6">
        <v>4004.14</v>
      </c>
      <c r="H1475" s="7">
        <v>0</v>
      </c>
      <c r="I1475" s="6">
        <v>0</v>
      </c>
      <c r="J1475" s="6">
        <v>4004.14</v>
      </c>
      <c r="K1475" t="s">
        <v>3008</v>
      </c>
      <c r="L1475" t="s">
        <v>3009</v>
      </c>
    </row>
    <row r="1476" spans="1:13" ht="15" customHeight="1" x14ac:dyDescent="0.25">
      <c r="A1476">
        <v>1475</v>
      </c>
      <c r="B1476" s="5">
        <v>45757</v>
      </c>
      <c r="C1476" t="s">
        <v>47</v>
      </c>
      <c r="D1476" t="s">
        <v>55</v>
      </c>
      <c r="E1476" t="s">
        <v>56</v>
      </c>
      <c r="F1476" t="s">
        <v>84</v>
      </c>
      <c r="G1476" s="6">
        <v>1559.4</v>
      </c>
      <c r="H1476" s="7">
        <v>5.5E-2</v>
      </c>
      <c r="I1476" s="6">
        <v>85.77</v>
      </c>
      <c r="J1476" s="6">
        <v>1645.17</v>
      </c>
      <c r="K1476" t="s">
        <v>3010</v>
      </c>
      <c r="L1476" t="s">
        <v>3011</v>
      </c>
    </row>
    <row r="1477" spans="1:13" ht="15" customHeight="1" x14ac:dyDescent="0.25">
      <c r="A1477">
        <v>1476</v>
      </c>
      <c r="B1477" s="5">
        <v>45874</v>
      </c>
      <c r="C1477" t="s">
        <v>33</v>
      </c>
      <c r="D1477" t="s">
        <v>94</v>
      </c>
      <c r="E1477" t="s">
        <v>95</v>
      </c>
      <c r="F1477" t="s">
        <v>44</v>
      </c>
      <c r="G1477" s="6">
        <v>2792.49</v>
      </c>
      <c r="H1477" s="7">
        <v>0</v>
      </c>
      <c r="I1477" s="6">
        <v>0</v>
      </c>
      <c r="J1477" s="6">
        <v>2792.49</v>
      </c>
      <c r="K1477" t="s">
        <v>3012</v>
      </c>
      <c r="L1477" t="s">
        <v>3013</v>
      </c>
    </row>
    <row r="1478" spans="1:13" ht="15" customHeight="1" x14ac:dyDescent="0.25">
      <c r="A1478">
        <v>1477</v>
      </c>
      <c r="B1478" s="5">
        <v>45978</v>
      </c>
      <c r="C1478" t="s">
        <v>33</v>
      </c>
      <c r="D1478" t="s">
        <v>55</v>
      </c>
      <c r="E1478" t="s">
        <v>56</v>
      </c>
      <c r="F1478" t="s">
        <v>39</v>
      </c>
      <c r="G1478" s="6">
        <v>2843.8</v>
      </c>
      <c r="H1478" s="7">
        <v>5.5E-2</v>
      </c>
      <c r="I1478" s="6">
        <v>156.41</v>
      </c>
      <c r="J1478" s="6">
        <v>3000.21</v>
      </c>
      <c r="K1478" t="s">
        <v>3014</v>
      </c>
      <c r="L1478" t="s">
        <v>3015</v>
      </c>
    </row>
    <row r="1479" spans="1:13" ht="15" customHeight="1" x14ac:dyDescent="0.25">
      <c r="A1479">
        <v>1478</v>
      </c>
      <c r="B1479" s="5">
        <v>45961</v>
      </c>
      <c r="C1479" t="s">
        <v>47</v>
      </c>
      <c r="D1479" t="s">
        <v>42</v>
      </c>
      <c r="E1479" t="s">
        <v>43</v>
      </c>
      <c r="F1479" t="s">
        <v>44</v>
      </c>
      <c r="G1479" s="6">
        <v>4044.15</v>
      </c>
      <c r="H1479" s="7">
        <v>0</v>
      </c>
      <c r="I1479" s="6">
        <v>0</v>
      </c>
      <c r="J1479" s="6">
        <v>4044.15</v>
      </c>
      <c r="K1479" t="s">
        <v>3016</v>
      </c>
      <c r="L1479" t="s">
        <v>3017</v>
      </c>
    </row>
    <row r="1480" spans="1:13" ht="15" customHeight="1" x14ac:dyDescent="0.25">
      <c r="A1480">
        <v>1479</v>
      </c>
      <c r="B1480" s="5">
        <v>45832</v>
      </c>
      <c r="C1480" t="s">
        <v>47</v>
      </c>
      <c r="D1480" t="s">
        <v>55</v>
      </c>
      <c r="E1480" t="s">
        <v>56</v>
      </c>
      <c r="F1480" t="s">
        <v>50</v>
      </c>
      <c r="G1480" s="6">
        <v>3759.73</v>
      </c>
      <c r="H1480" s="7">
        <v>5.5E-2</v>
      </c>
      <c r="I1480" s="6">
        <v>206.79</v>
      </c>
      <c r="J1480" s="6">
        <v>3966.52</v>
      </c>
      <c r="K1480" t="s">
        <v>3018</v>
      </c>
      <c r="L1480" t="s">
        <v>3019</v>
      </c>
    </row>
    <row r="1481" spans="1:13" ht="15" customHeight="1" x14ac:dyDescent="0.25">
      <c r="A1481">
        <v>1480</v>
      </c>
      <c r="B1481" s="5">
        <v>45965</v>
      </c>
      <c r="C1481" t="s">
        <v>33</v>
      </c>
      <c r="D1481" t="s">
        <v>100</v>
      </c>
      <c r="E1481" t="s">
        <v>101</v>
      </c>
      <c r="F1481" t="s">
        <v>44</v>
      </c>
      <c r="G1481" s="6">
        <v>3633.84</v>
      </c>
      <c r="H1481" s="7">
        <v>0</v>
      </c>
      <c r="I1481" s="6">
        <v>0</v>
      </c>
      <c r="J1481" s="6">
        <v>3633.84</v>
      </c>
      <c r="K1481" t="s">
        <v>3020</v>
      </c>
      <c r="L1481" t="s">
        <v>3021</v>
      </c>
    </row>
    <row r="1482" spans="1:13" ht="15" customHeight="1" x14ac:dyDescent="0.25">
      <c r="A1482">
        <v>1481</v>
      </c>
      <c r="B1482" s="5">
        <v>45701</v>
      </c>
      <c r="C1482" t="s">
        <v>47</v>
      </c>
      <c r="D1482" t="s">
        <v>172</v>
      </c>
      <c r="E1482" t="s">
        <v>173</v>
      </c>
      <c r="F1482" t="s">
        <v>39</v>
      </c>
      <c r="G1482" s="6">
        <v>4387.3999999999996</v>
      </c>
      <c r="H1482" s="7">
        <v>0.2</v>
      </c>
      <c r="I1482" s="6">
        <v>877.48</v>
      </c>
      <c r="J1482" s="6">
        <v>5264.88</v>
      </c>
      <c r="K1482" t="s">
        <v>3022</v>
      </c>
      <c r="L1482" t="s">
        <v>3023</v>
      </c>
    </row>
    <row r="1483" spans="1:13" ht="15" customHeight="1" x14ac:dyDescent="0.25">
      <c r="A1483">
        <v>1482</v>
      </c>
      <c r="B1483" s="5">
        <v>46013</v>
      </c>
      <c r="C1483" t="s">
        <v>47</v>
      </c>
      <c r="D1483" t="s">
        <v>100</v>
      </c>
      <c r="E1483" t="s">
        <v>101</v>
      </c>
      <c r="F1483" t="s">
        <v>44</v>
      </c>
      <c r="G1483" s="6">
        <v>2106.09</v>
      </c>
      <c r="H1483" s="7">
        <v>0</v>
      </c>
      <c r="I1483" s="6">
        <v>0</v>
      </c>
      <c r="J1483" s="6">
        <v>2106.09</v>
      </c>
      <c r="K1483" t="s">
        <v>3024</v>
      </c>
      <c r="L1483" t="s">
        <v>3025</v>
      </c>
    </row>
    <row r="1484" spans="1:13" ht="15" customHeight="1" x14ac:dyDescent="0.25">
      <c r="A1484">
        <v>1483</v>
      </c>
      <c r="B1484" s="5">
        <v>45978</v>
      </c>
      <c r="C1484" t="s">
        <v>47</v>
      </c>
      <c r="D1484" t="s">
        <v>28</v>
      </c>
      <c r="E1484" t="s">
        <v>29</v>
      </c>
      <c r="F1484" t="s">
        <v>87</v>
      </c>
      <c r="G1484" s="6">
        <v>1988.73</v>
      </c>
      <c r="H1484" s="7">
        <v>2.1000000000000001E-2</v>
      </c>
      <c r="I1484" s="6">
        <v>41.76</v>
      </c>
      <c r="J1484" s="6">
        <v>2030.49</v>
      </c>
      <c r="K1484" t="s">
        <v>3026</v>
      </c>
      <c r="L1484" t="s">
        <v>3027</v>
      </c>
    </row>
    <row r="1485" spans="1:13" ht="15" customHeight="1" x14ac:dyDescent="0.25">
      <c r="A1485">
        <v>1484</v>
      </c>
      <c r="B1485" s="5">
        <v>45853</v>
      </c>
      <c r="C1485" t="s">
        <v>33</v>
      </c>
      <c r="D1485" t="s">
        <v>172</v>
      </c>
      <c r="E1485" t="s">
        <v>173</v>
      </c>
      <c r="F1485" t="s">
        <v>84</v>
      </c>
      <c r="G1485" s="6">
        <v>1855.44</v>
      </c>
      <c r="H1485" s="7">
        <v>0.2</v>
      </c>
      <c r="I1485" s="6">
        <v>371.09</v>
      </c>
      <c r="J1485" s="6">
        <v>2226.5300000000002</v>
      </c>
      <c r="K1485" t="s">
        <v>3028</v>
      </c>
      <c r="L1485" t="s">
        <v>3029</v>
      </c>
    </row>
    <row r="1486" spans="1:13" ht="15" customHeight="1" x14ac:dyDescent="0.25">
      <c r="A1486">
        <v>1485</v>
      </c>
      <c r="B1486" s="5">
        <v>45964</v>
      </c>
      <c r="C1486" t="s">
        <v>47</v>
      </c>
      <c r="D1486" t="s">
        <v>55</v>
      </c>
      <c r="E1486" t="s">
        <v>56</v>
      </c>
      <c r="F1486" t="s">
        <v>84</v>
      </c>
      <c r="G1486" s="6">
        <v>3560.64</v>
      </c>
      <c r="H1486" s="7">
        <v>5.5E-2</v>
      </c>
      <c r="I1486" s="6">
        <v>195.84</v>
      </c>
      <c r="J1486" s="6">
        <v>3756.48</v>
      </c>
      <c r="K1486" t="s">
        <v>3030</v>
      </c>
      <c r="L1486" t="s">
        <v>3031</v>
      </c>
    </row>
    <row r="1487" spans="1:13" ht="15" customHeight="1" x14ac:dyDescent="0.25">
      <c r="A1487">
        <v>1486</v>
      </c>
      <c r="B1487" s="5">
        <v>45877</v>
      </c>
      <c r="C1487" t="s">
        <v>47</v>
      </c>
      <c r="D1487" t="s">
        <v>63</v>
      </c>
      <c r="E1487" t="s">
        <v>64</v>
      </c>
      <c r="F1487" t="s">
        <v>84</v>
      </c>
      <c r="G1487" s="6">
        <v>2000</v>
      </c>
      <c r="H1487" s="7">
        <v>0.2</v>
      </c>
      <c r="I1487" s="6">
        <v>400</v>
      </c>
      <c r="J1487" s="6">
        <v>2400</v>
      </c>
      <c r="K1487" t="s">
        <v>3032</v>
      </c>
      <c r="L1487" t="s">
        <v>3033</v>
      </c>
      <c r="M1487" t="s">
        <v>143</v>
      </c>
    </row>
    <row r="1488" spans="1:13" ht="15" customHeight="1" x14ac:dyDescent="0.25">
      <c r="A1488">
        <v>1487</v>
      </c>
      <c r="B1488" s="5">
        <v>46003</v>
      </c>
      <c r="C1488" t="s">
        <v>47</v>
      </c>
      <c r="D1488" t="s">
        <v>34</v>
      </c>
      <c r="E1488" t="s">
        <v>35</v>
      </c>
      <c r="F1488" t="s">
        <v>76</v>
      </c>
      <c r="G1488" s="6">
        <v>3540.55</v>
      </c>
      <c r="H1488" s="7">
        <v>0.2</v>
      </c>
      <c r="I1488" s="6">
        <v>708.11</v>
      </c>
      <c r="J1488" s="6">
        <v>4248.66</v>
      </c>
      <c r="K1488" t="s">
        <v>3034</v>
      </c>
      <c r="L1488" t="s">
        <v>3035</v>
      </c>
    </row>
    <row r="1489" spans="1:13" ht="15" customHeight="1" x14ac:dyDescent="0.25">
      <c r="A1489">
        <v>1488</v>
      </c>
      <c r="B1489" s="5">
        <v>45713</v>
      </c>
      <c r="C1489" t="s">
        <v>47</v>
      </c>
      <c r="D1489" t="s">
        <v>172</v>
      </c>
      <c r="E1489" t="s">
        <v>173</v>
      </c>
      <c r="F1489" t="s">
        <v>84</v>
      </c>
      <c r="G1489" s="6">
        <v>533.89</v>
      </c>
      <c r="H1489" s="7">
        <v>0.2</v>
      </c>
      <c r="I1489" s="6">
        <v>106.78</v>
      </c>
      <c r="J1489" s="6">
        <v>640.66999999999996</v>
      </c>
      <c r="K1489" t="s">
        <v>3036</v>
      </c>
      <c r="L1489" t="s">
        <v>3037</v>
      </c>
    </row>
    <row r="1490" spans="1:13" ht="15" customHeight="1" x14ac:dyDescent="0.25">
      <c r="A1490">
        <v>1489</v>
      </c>
      <c r="B1490" s="5">
        <v>45757</v>
      </c>
      <c r="C1490" t="s">
        <v>33</v>
      </c>
      <c r="D1490" t="s">
        <v>172</v>
      </c>
      <c r="E1490" t="s">
        <v>173</v>
      </c>
      <c r="F1490" t="s">
        <v>30</v>
      </c>
      <c r="G1490" s="6">
        <v>4077.32</v>
      </c>
      <c r="H1490" s="7">
        <v>0.2</v>
      </c>
      <c r="I1490" s="6">
        <v>815.46</v>
      </c>
      <c r="J1490" s="6">
        <v>4892.78</v>
      </c>
      <c r="K1490" t="s">
        <v>3038</v>
      </c>
      <c r="L1490" t="s">
        <v>3039</v>
      </c>
    </row>
    <row r="1491" spans="1:13" ht="15" customHeight="1" x14ac:dyDescent="0.25">
      <c r="A1491">
        <v>1490</v>
      </c>
      <c r="B1491" s="5">
        <v>45873</v>
      </c>
      <c r="C1491" t="s">
        <v>27</v>
      </c>
      <c r="D1491" t="s">
        <v>55</v>
      </c>
      <c r="E1491" t="s">
        <v>56</v>
      </c>
      <c r="F1491" t="s">
        <v>84</v>
      </c>
      <c r="G1491" s="6">
        <v>2207.7800000000002</v>
      </c>
      <c r="H1491" s="7">
        <v>5.5E-2</v>
      </c>
      <c r="I1491" s="6">
        <v>121.43</v>
      </c>
      <c r="J1491" s="6">
        <v>2329.21</v>
      </c>
      <c r="K1491" t="s">
        <v>3040</v>
      </c>
      <c r="L1491" t="s">
        <v>3041</v>
      </c>
    </row>
    <row r="1492" spans="1:13" ht="15" customHeight="1" x14ac:dyDescent="0.25">
      <c r="A1492">
        <v>1491</v>
      </c>
      <c r="B1492" s="5">
        <v>45680</v>
      </c>
      <c r="C1492" t="s">
        <v>33</v>
      </c>
      <c r="D1492" t="s">
        <v>55</v>
      </c>
      <c r="E1492" t="s">
        <v>56</v>
      </c>
      <c r="F1492" t="s">
        <v>174</v>
      </c>
      <c r="G1492" s="6">
        <v>347.37</v>
      </c>
      <c r="H1492" s="7">
        <v>5.5E-2</v>
      </c>
      <c r="I1492" s="6">
        <v>19.11</v>
      </c>
      <c r="J1492" s="6">
        <v>366.48</v>
      </c>
      <c r="K1492" t="s">
        <v>3042</v>
      </c>
      <c r="L1492" t="s">
        <v>3043</v>
      </c>
    </row>
    <row r="1493" spans="1:13" ht="15" customHeight="1" x14ac:dyDescent="0.25">
      <c r="A1493">
        <v>1492</v>
      </c>
      <c r="B1493" s="5">
        <v>45841</v>
      </c>
      <c r="C1493" t="s">
        <v>47</v>
      </c>
      <c r="D1493" t="s">
        <v>172</v>
      </c>
      <c r="E1493" t="s">
        <v>173</v>
      </c>
      <c r="F1493" t="s">
        <v>106</v>
      </c>
      <c r="G1493" s="6">
        <v>1455.45</v>
      </c>
      <c r="H1493" s="7">
        <v>0.2</v>
      </c>
      <c r="I1493" s="6">
        <v>291.08999999999997</v>
      </c>
      <c r="J1493" s="6">
        <v>1746.54</v>
      </c>
      <c r="K1493" t="s">
        <v>3044</v>
      </c>
      <c r="L1493" t="s">
        <v>3045</v>
      </c>
    </row>
    <row r="1494" spans="1:13" ht="15" customHeight="1" x14ac:dyDescent="0.25">
      <c r="A1494">
        <v>1493</v>
      </c>
      <c r="B1494" s="5">
        <v>45966</v>
      </c>
      <c r="C1494" t="s">
        <v>33</v>
      </c>
      <c r="D1494" t="s">
        <v>28</v>
      </c>
      <c r="E1494" t="s">
        <v>29</v>
      </c>
      <c r="F1494" t="s">
        <v>50</v>
      </c>
      <c r="G1494" s="6">
        <v>1595.62</v>
      </c>
      <c r="H1494" s="7">
        <v>2.1000000000000001E-2</v>
      </c>
      <c r="I1494" s="6">
        <v>33.51</v>
      </c>
      <c r="J1494" s="6">
        <v>1629.13</v>
      </c>
      <c r="K1494" t="s">
        <v>3046</v>
      </c>
      <c r="L1494" t="s">
        <v>3047</v>
      </c>
    </row>
    <row r="1495" spans="1:13" ht="15" customHeight="1" x14ac:dyDescent="0.25">
      <c r="A1495">
        <v>1494</v>
      </c>
      <c r="B1495" s="5">
        <v>45687</v>
      </c>
      <c r="C1495" t="s">
        <v>27</v>
      </c>
      <c r="D1495" t="s">
        <v>172</v>
      </c>
      <c r="E1495" t="s">
        <v>173</v>
      </c>
      <c r="F1495" t="s">
        <v>106</v>
      </c>
      <c r="G1495" s="6">
        <v>1129.25</v>
      </c>
      <c r="H1495" s="7">
        <v>0.2</v>
      </c>
      <c r="I1495" s="6">
        <v>225.85</v>
      </c>
      <c r="J1495" s="6">
        <v>1355.1</v>
      </c>
      <c r="K1495" t="s">
        <v>3048</v>
      </c>
      <c r="L1495" t="s">
        <v>3049</v>
      </c>
    </row>
    <row r="1496" spans="1:13" ht="15" customHeight="1" x14ac:dyDescent="0.25">
      <c r="A1496">
        <v>1495</v>
      </c>
      <c r="B1496" s="5">
        <v>45985</v>
      </c>
      <c r="C1496" t="s">
        <v>47</v>
      </c>
      <c r="D1496" t="s">
        <v>55</v>
      </c>
      <c r="E1496" t="s">
        <v>56</v>
      </c>
      <c r="F1496" t="s">
        <v>87</v>
      </c>
      <c r="G1496" s="6">
        <v>4095.57</v>
      </c>
      <c r="H1496" s="7">
        <v>5.5E-2</v>
      </c>
      <c r="I1496" s="6">
        <v>225.26</v>
      </c>
      <c r="J1496" s="6">
        <v>4320.83</v>
      </c>
      <c r="K1496" t="s">
        <v>3050</v>
      </c>
      <c r="L1496" t="s">
        <v>3051</v>
      </c>
    </row>
    <row r="1497" spans="1:13" ht="15" customHeight="1" x14ac:dyDescent="0.25">
      <c r="A1497">
        <v>1496</v>
      </c>
      <c r="B1497" s="5">
        <v>46013</v>
      </c>
      <c r="C1497" t="s">
        <v>33</v>
      </c>
      <c r="D1497" t="s">
        <v>34</v>
      </c>
      <c r="E1497" t="s">
        <v>35</v>
      </c>
      <c r="F1497" t="s">
        <v>76</v>
      </c>
      <c r="G1497" s="6">
        <v>3137.94</v>
      </c>
      <c r="H1497" s="7">
        <v>0.2</v>
      </c>
      <c r="I1497" s="6">
        <v>627.59</v>
      </c>
      <c r="J1497" s="6">
        <v>3765.53</v>
      </c>
      <c r="K1497" t="s">
        <v>3052</v>
      </c>
      <c r="L1497" t="s">
        <v>3053</v>
      </c>
    </row>
    <row r="1498" spans="1:13" ht="15" customHeight="1" x14ac:dyDescent="0.25">
      <c r="A1498">
        <v>1497</v>
      </c>
      <c r="B1498" s="5">
        <v>45954</v>
      </c>
      <c r="C1498" t="s">
        <v>27</v>
      </c>
      <c r="D1498" t="s">
        <v>55</v>
      </c>
      <c r="E1498" t="s">
        <v>56</v>
      </c>
      <c r="F1498" t="s">
        <v>50</v>
      </c>
      <c r="G1498" s="6">
        <v>2582.15</v>
      </c>
      <c r="H1498" s="7">
        <v>5.5E-2</v>
      </c>
      <c r="I1498" s="6">
        <v>142.02000000000001</v>
      </c>
      <c r="J1498" s="6">
        <v>2724.17</v>
      </c>
      <c r="K1498" t="s">
        <v>3054</v>
      </c>
      <c r="L1498" t="s">
        <v>3055</v>
      </c>
    </row>
    <row r="1499" spans="1:13" ht="15" customHeight="1" x14ac:dyDescent="0.25">
      <c r="A1499">
        <v>1498</v>
      </c>
      <c r="B1499" s="5">
        <v>45741</v>
      </c>
      <c r="C1499" t="s">
        <v>47</v>
      </c>
      <c r="D1499" t="s">
        <v>63</v>
      </c>
      <c r="E1499" t="s">
        <v>64</v>
      </c>
      <c r="F1499" t="s">
        <v>39</v>
      </c>
      <c r="G1499" s="6">
        <v>543.42999999999995</v>
      </c>
      <c r="H1499" s="7">
        <v>0.2</v>
      </c>
      <c r="I1499" s="6">
        <v>108.69</v>
      </c>
      <c r="J1499" s="6">
        <v>652.12</v>
      </c>
      <c r="K1499" t="s">
        <v>3056</v>
      </c>
      <c r="M1499" t="s">
        <v>186</v>
      </c>
    </row>
    <row r="1500" spans="1:13" ht="15" customHeight="1" x14ac:dyDescent="0.25">
      <c r="A1500">
        <v>1499</v>
      </c>
      <c r="B1500" s="5">
        <v>45985</v>
      </c>
      <c r="C1500" t="s">
        <v>33</v>
      </c>
      <c r="D1500" t="s">
        <v>100</v>
      </c>
      <c r="E1500" t="s">
        <v>101</v>
      </c>
      <c r="F1500" t="s">
        <v>44</v>
      </c>
      <c r="G1500" s="6">
        <v>2352.66</v>
      </c>
      <c r="H1500" s="7">
        <v>0</v>
      </c>
      <c r="I1500" s="6">
        <v>0</v>
      </c>
      <c r="J1500" s="6">
        <v>2352.66</v>
      </c>
      <c r="K1500" t="s">
        <v>3057</v>
      </c>
      <c r="L1500" t="s">
        <v>3058</v>
      </c>
    </row>
    <row r="1501" spans="1:13" ht="15" customHeight="1" x14ac:dyDescent="0.25">
      <c r="A1501">
        <v>1500</v>
      </c>
      <c r="B1501" s="5">
        <v>45827</v>
      </c>
      <c r="C1501" t="s">
        <v>33</v>
      </c>
      <c r="D1501" t="s">
        <v>55</v>
      </c>
      <c r="E1501" t="s">
        <v>56</v>
      </c>
      <c r="F1501" t="s">
        <v>36</v>
      </c>
      <c r="G1501" s="6">
        <v>3648.14</v>
      </c>
      <c r="H1501" s="7">
        <v>5.5E-2</v>
      </c>
      <c r="I1501" s="6">
        <v>200.65</v>
      </c>
      <c r="J1501" s="6">
        <v>3848.79</v>
      </c>
      <c r="K1501" t="s">
        <v>3059</v>
      </c>
      <c r="L1501" t="s">
        <v>3060</v>
      </c>
    </row>
    <row r="1502" spans="1:13" ht="15" customHeight="1" x14ac:dyDescent="0.25">
      <c r="A1502">
        <v>1501</v>
      </c>
      <c r="B1502" s="5">
        <v>45663</v>
      </c>
      <c r="C1502" t="s">
        <v>47</v>
      </c>
      <c r="D1502" t="s">
        <v>28</v>
      </c>
      <c r="E1502" t="s">
        <v>29</v>
      </c>
      <c r="F1502" t="s">
        <v>39</v>
      </c>
      <c r="G1502" s="6">
        <v>405.89</v>
      </c>
      <c r="H1502" s="7">
        <v>2.1000000000000001E-2</v>
      </c>
      <c r="I1502" s="6">
        <v>8.52</v>
      </c>
      <c r="J1502" s="6">
        <v>414.41</v>
      </c>
      <c r="K1502" t="s">
        <v>3061</v>
      </c>
      <c r="L1502" t="s">
        <v>3062</v>
      </c>
    </row>
    <row r="1503" spans="1:13" ht="15" customHeight="1" x14ac:dyDescent="0.25">
      <c r="A1503">
        <v>1502</v>
      </c>
      <c r="B1503" s="5">
        <v>45883</v>
      </c>
      <c r="C1503" t="s">
        <v>33</v>
      </c>
      <c r="D1503" t="s">
        <v>28</v>
      </c>
      <c r="E1503" t="s">
        <v>29</v>
      </c>
      <c r="F1503" t="s">
        <v>84</v>
      </c>
      <c r="G1503" s="6">
        <v>939.26</v>
      </c>
      <c r="H1503" s="7">
        <v>2.1000000000000001E-2</v>
      </c>
      <c r="I1503" s="6">
        <v>19.72</v>
      </c>
      <c r="J1503" s="6">
        <v>958.98</v>
      </c>
      <c r="K1503" t="s">
        <v>3063</v>
      </c>
      <c r="L1503" t="s">
        <v>3064</v>
      </c>
    </row>
    <row r="1504" spans="1:13" ht="15" customHeight="1" x14ac:dyDescent="0.25">
      <c r="A1504">
        <v>1503</v>
      </c>
      <c r="B1504" s="5">
        <v>45673</v>
      </c>
      <c r="C1504" t="s">
        <v>47</v>
      </c>
      <c r="D1504" t="s">
        <v>28</v>
      </c>
      <c r="E1504" t="s">
        <v>29</v>
      </c>
      <c r="F1504" t="s">
        <v>174</v>
      </c>
      <c r="G1504" s="6">
        <v>960.12</v>
      </c>
      <c r="H1504" s="7">
        <v>2.1000000000000001E-2</v>
      </c>
      <c r="I1504" s="6">
        <v>20.16</v>
      </c>
      <c r="J1504" s="6">
        <v>980.28</v>
      </c>
      <c r="K1504" t="s">
        <v>3065</v>
      </c>
      <c r="L1504" t="s">
        <v>3066</v>
      </c>
    </row>
    <row r="1505" spans="1:13" ht="15" customHeight="1" x14ac:dyDescent="0.25">
      <c r="A1505">
        <v>1504</v>
      </c>
      <c r="B1505" s="5">
        <v>45747</v>
      </c>
      <c r="C1505" t="s">
        <v>33</v>
      </c>
      <c r="D1505" t="s">
        <v>100</v>
      </c>
      <c r="E1505" t="s">
        <v>101</v>
      </c>
      <c r="F1505" t="s">
        <v>44</v>
      </c>
      <c r="G1505" s="6">
        <v>3130.81</v>
      </c>
      <c r="H1505" s="7">
        <v>0</v>
      </c>
      <c r="I1505" s="6">
        <v>0</v>
      </c>
      <c r="J1505" s="6">
        <v>3130.81</v>
      </c>
      <c r="K1505" t="s">
        <v>3067</v>
      </c>
      <c r="L1505" t="s">
        <v>3068</v>
      </c>
    </row>
    <row r="1506" spans="1:13" ht="15" customHeight="1" x14ac:dyDescent="0.25">
      <c r="A1506">
        <v>1505</v>
      </c>
      <c r="B1506" s="5">
        <v>45792</v>
      </c>
      <c r="C1506" t="s">
        <v>33</v>
      </c>
      <c r="D1506" t="s">
        <v>28</v>
      </c>
      <c r="E1506" t="s">
        <v>29</v>
      </c>
      <c r="F1506" t="s">
        <v>39</v>
      </c>
      <c r="G1506" s="6">
        <v>4105.07</v>
      </c>
      <c r="H1506" s="7">
        <v>2.1000000000000001E-2</v>
      </c>
      <c r="I1506" s="6">
        <v>86.21</v>
      </c>
      <c r="J1506" s="6">
        <v>4191.28</v>
      </c>
      <c r="K1506" t="s">
        <v>3069</v>
      </c>
      <c r="L1506" t="s">
        <v>3070</v>
      </c>
    </row>
    <row r="1507" spans="1:13" ht="15" customHeight="1" x14ac:dyDescent="0.25">
      <c r="A1507">
        <v>1506</v>
      </c>
      <c r="B1507" s="5">
        <v>45993</v>
      </c>
      <c r="C1507" t="s">
        <v>27</v>
      </c>
      <c r="D1507" t="s">
        <v>28</v>
      </c>
      <c r="E1507" t="s">
        <v>29</v>
      </c>
      <c r="F1507" t="s">
        <v>87</v>
      </c>
      <c r="G1507" s="6">
        <v>3560.37</v>
      </c>
      <c r="H1507" s="7">
        <v>2.1000000000000001E-2</v>
      </c>
      <c r="I1507" s="6">
        <v>74.77</v>
      </c>
      <c r="J1507" s="6">
        <v>3635.14</v>
      </c>
      <c r="K1507" t="s">
        <v>3071</v>
      </c>
      <c r="L1507" t="s">
        <v>3072</v>
      </c>
    </row>
    <row r="1508" spans="1:13" ht="15" customHeight="1" x14ac:dyDescent="0.25">
      <c r="A1508">
        <v>1507</v>
      </c>
      <c r="B1508" s="5">
        <v>45847</v>
      </c>
      <c r="C1508" t="s">
        <v>33</v>
      </c>
      <c r="D1508" t="s">
        <v>55</v>
      </c>
      <c r="E1508" t="s">
        <v>56</v>
      </c>
      <c r="F1508" t="s">
        <v>120</v>
      </c>
      <c r="G1508" s="6">
        <v>3657.94</v>
      </c>
      <c r="H1508" s="7">
        <v>5.5E-2</v>
      </c>
      <c r="I1508" s="6">
        <v>201.19</v>
      </c>
      <c r="J1508" s="6">
        <v>3859.13</v>
      </c>
      <c r="K1508" t="s">
        <v>3073</v>
      </c>
      <c r="L1508" t="s">
        <v>3074</v>
      </c>
    </row>
    <row r="1509" spans="1:13" ht="15" customHeight="1" x14ac:dyDescent="0.25">
      <c r="A1509">
        <v>1508</v>
      </c>
      <c r="B1509" s="5">
        <v>45880</v>
      </c>
      <c r="C1509" t="s">
        <v>27</v>
      </c>
      <c r="D1509" t="s">
        <v>94</v>
      </c>
      <c r="E1509" t="s">
        <v>95</v>
      </c>
      <c r="F1509" t="s">
        <v>44</v>
      </c>
      <c r="G1509" s="6">
        <v>663.44</v>
      </c>
      <c r="H1509" s="7">
        <v>0</v>
      </c>
      <c r="I1509" s="6">
        <v>0</v>
      </c>
      <c r="J1509" s="6">
        <v>663.44</v>
      </c>
      <c r="K1509" t="s">
        <v>3075</v>
      </c>
      <c r="L1509" t="s">
        <v>3076</v>
      </c>
    </row>
    <row r="1510" spans="1:13" ht="15" customHeight="1" x14ac:dyDescent="0.25">
      <c r="A1510">
        <v>1509</v>
      </c>
      <c r="B1510" s="5">
        <v>45756</v>
      </c>
      <c r="C1510" t="s">
        <v>33</v>
      </c>
      <c r="D1510" t="s">
        <v>42</v>
      </c>
      <c r="E1510" t="s">
        <v>43</v>
      </c>
      <c r="F1510" t="s">
        <v>44</v>
      </c>
      <c r="G1510" s="6">
        <v>3466.45</v>
      </c>
      <c r="H1510" s="7">
        <v>0</v>
      </c>
      <c r="I1510" s="6">
        <v>0</v>
      </c>
      <c r="J1510" s="6">
        <v>3466.45</v>
      </c>
      <c r="K1510" t="s">
        <v>3077</v>
      </c>
      <c r="L1510" t="s">
        <v>3078</v>
      </c>
    </row>
    <row r="1511" spans="1:13" ht="15" customHeight="1" x14ac:dyDescent="0.25">
      <c r="A1511">
        <v>1510</v>
      </c>
      <c r="B1511" s="5">
        <v>45783</v>
      </c>
      <c r="C1511" t="s">
        <v>27</v>
      </c>
      <c r="D1511" t="s">
        <v>63</v>
      </c>
      <c r="E1511" t="s">
        <v>64</v>
      </c>
      <c r="F1511" t="s">
        <v>84</v>
      </c>
      <c r="G1511" s="6">
        <v>4150.88</v>
      </c>
      <c r="H1511" s="7">
        <v>0.2</v>
      </c>
      <c r="I1511" s="6">
        <v>830.18</v>
      </c>
      <c r="J1511" s="6">
        <v>4981.0600000000004</v>
      </c>
      <c r="K1511" t="s">
        <v>3079</v>
      </c>
      <c r="L1511" t="s">
        <v>3080</v>
      </c>
    </row>
    <row r="1512" spans="1:13" ht="15" customHeight="1" x14ac:dyDescent="0.25">
      <c r="A1512">
        <v>1511</v>
      </c>
      <c r="B1512" s="5">
        <v>45734</v>
      </c>
      <c r="C1512" t="s">
        <v>33</v>
      </c>
      <c r="D1512" t="s">
        <v>42</v>
      </c>
      <c r="E1512" t="s">
        <v>43</v>
      </c>
      <c r="F1512" t="s">
        <v>44</v>
      </c>
      <c r="G1512" s="6">
        <v>1927.82</v>
      </c>
      <c r="H1512" s="7">
        <v>0</v>
      </c>
      <c r="I1512" s="6">
        <v>0</v>
      </c>
      <c r="J1512" s="6">
        <v>1927.82</v>
      </c>
      <c r="K1512" t="s">
        <v>3081</v>
      </c>
      <c r="L1512" t="s">
        <v>3082</v>
      </c>
    </row>
    <row r="1513" spans="1:13" ht="15" customHeight="1" x14ac:dyDescent="0.25">
      <c r="A1513">
        <v>1512</v>
      </c>
      <c r="B1513" s="5">
        <v>45918</v>
      </c>
      <c r="C1513" t="s">
        <v>47</v>
      </c>
      <c r="D1513" t="s">
        <v>100</v>
      </c>
      <c r="E1513" t="s">
        <v>101</v>
      </c>
      <c r="F1513" t="s">
        <v>44</v>
      </c>
      <c r="G1513" s="6">
        <v>3926</v>
      </c>
      <c r="H1513" s="7">
        <v>0</v>
      </c>
      <c r="I1513" s="6">
        <v>0</v>
      </c>
      <c r="J1513" s="6">
        <v>3926</v>
      </c>
      <c r="K1513" t="s">
        <v>3083</v>
      </c>
      <c r="L1513" t="s">
        <v>3084</v>
      </c>
    </row>
    <row r="1514" spans="1:13" ht="15" customHeight="1" x14ac:dyDescent="0.25">
      <c r="A1514">
        <v>1513</v>
      </c>
      <c r="B1514" s="5">
        <v>45898</v>
      </c>
      <c r="C1514" t="s">
        <v>27</v>
      </c>
      <c r="D1514" t="s">
        <v>28</v>
      </c>
      <c r="E1514" t="s">
        <v>29</v>
      </c>
      <c r="F1514" t="s">
        <v>84</v>
      </c>
      <c r="G1514" s="6">
        <v>3576.21</v>
      </c>
      <c r="H1514" s="7">
        <v>2.1000000000000001E-2</v>
      </c>
      <c r="I1514" s="6">
        <v>75.099999999999994</v>
      </c>
      <c r="J1514" s="6">
        <v>3651.31</v>
      </c>
      <c r="K1514" t="s">
        <v>3085</v>
      </c>
      <c r="L1514" t="s">
        <v>3086</v>
      </c>
    </row>
    <row r="1515" spans="1:13" ht="15" customHeight="1" x14ac:dyDescent="0.25">
      <c r="A1515">
        <v>1514</v>
      </c>
      <c r="B1515" s="5">
        <v>45988</v>
      </c>
      <c r="C1515" t="s">
        <v>33</v>
      </c>
      <c r="D1515" t="s">
        <v>79</v>
      </c>
      <c r="E1515" t="s">
        <v>80</v>
      </c>
      <c r="F1515" t="s">
        <v>50</v>
      </c>
      <c r="G1515" s="6">
        <v>3400.02</v>
      </c>
      <c r="H1515" s="7">
        <v>0.2</v>
      </c>
      <c r="I1515" s="6">
        <v>680</v>
      </c>
      <c r="J1515" s="6">
        <v>4080.02</v>
      </c>
      <c r="K1515" t="s">
        <v>3087</v>
      </c>
      <c r="L1515" t="s">
        <v>3088</v>
      </c>
    </row>
    <row r="1516" spans="1:13" ht="15" customHeight="1" x14ac:dyDescent="0.25">
      <c r="A1516">
        <v>1515</v>
      </c>
      <c r="B1516" s="5">
        <v>46022</v>
      </c>
      <c r="C1516" t="s">
        <v>27</v>
      </c>
      <c r="D1516" t="s">
        <v>79</v>
      </c>
      <c r="E1516" t="s">
        <v>80</v>
      </c>
      <c r="F1516" t="s">
        <v>81</v>
      </c>
      <c r="G1516" s="6">
        <v>1732.54</v>
      </c>
      <c r="H1516" s="7">
        <v>0.2</v>
      </c>
      <c r="I1516" s="6">
        <v>346.51</v>
      </c>
      <c r="J1516" s="6">
        <v>2079.0500000000002</v>
      </c>
      <c r="K1516" t="s">
        <v>3089</v>
      </c>
      <c r="L1516" t="s">
        <v>3090</v>
      </c>
    </row>
    <row r="1517" spans="1:13" ht="15" customHeight="1" x14ac:dyDescent="0.25">
      <c r="A1517">
        <v>1516</v>
      </c>
      <c r="B1517" s="5">
        <v>45863</v>
      </c>
      <c r="C1517" t="s">
        <v>27</v>
      </c>
      <c r="D1517" t="s">
        <v>100</v>
      </c>
      <c r="E1517" t="s">
        <v>101</v>
      </c>
      <c r="F1517" t="s">
        <v>44</v>
      </c>
      <c r="G1517" s="6">
        <v>3697.5</v>
      </c>
      <c r="H1517" s="7">
        <v>0</v>
      </c>
      <c r="I1517" s="6">
        <v>0</v>
      </c>
      <c r="J1517" s="6">
        <v>3697.5</v>
      </c>
      <c r="K1517" t="s">
        <v>3091</v>
      </c>
      <c r="L1517" t="s">
        <v>3092</v>
      </c>
    </row>
    <row r="1518" spans="1:13" ht="15" customHeight="1" x14ac:dyDescent="0.25">
      <c r="A1518">
        <v>1517</v>
      </c>
      <c r="B1518" s="5">
        <v>45766</v>
      </c>
      <c r="C1518" t="s">
        <v>33</v>
      </c>
      <c r="D1518" t="s">
        <v>28</v>
      </c>
      <c r="E1518" t="s">
        <v>29</v>
      </c>
      <c r="F1518" t="s">
        <v>71</v>
      </c>
      <c r="G1518" s="6">
        <v>2078.19</v>
      </c>
      <c r="H1518" s="7">
        <v>2.1000000000000001E-2</v>
      </c>
      <c r="I1518" s="6">
        <v>43.64</v>
      </c>
      <c r="J1518" s="6">
        <v>2121.83</v>
      </c>
      <c r="K1518" t="s">
        <v>3093</v>
      </c>
      <c r="L1518" t="s">
        <v>3094</v>
      </c>
      <c r="M1518" t="s">
        <v>472</v>
      </c>
    </row>
    <row r="1519" spans="1:13" ht="15" customHeight="1" x14ac:dyDescent="0.25">
      <c r="A1519">
        <v>1518</v>
      </c>
      <c r="B1519" s="5">
        <v>45950</v>
      </c>
      <c r="C1519" t="s">
        <v>33</v>
      </c>
      <c r="D1519" t="s">
        <v>55</v>
      </c>
      <c r="E1519" t="s">
        <v>56</v>
      </c>
      <c r="F1519" t="s">
        <v>50</v>
      </c>
      <c r="G1519" s="6">
        <v>774.87</v>
      </c>
      <c r="H1519" s="7">
        <v>5.5E-2</v>
      </c>
      <c r="I1519" s="6">
        <v>42.62</v>
      </c>
      <c r="J1519" s="6">
        <v>817.49</v>
      </c>
      <c r="K1519" t="s">
        <v>3095</v>
      </c>
      <c r="L1519" t="s">
        <v>3096</v>
      </c>
    </row>
    <row r="1520" spans="1:13" ht="15" customHeight="1" x14ac:dyDescent="0.25">
      <c r="A1520">
        <v>1519</v>
      </c>
      <c r="B1520" s="5">
        <v>45701</v>
      </c>
      <c r="C1520" t="s">
        <v>27</v>
      </c>
      <c r="D1520" t="s">
        <v>28</v>
      </c>
      <c r="E1520" t="s">
        <v>29</v>
      </c>
      <c r="F1520" t="s">
        <v>106</v>
      </c>
      <c r="G1520" s="6">
        <v>1384.11</v>
      </c>
      <c r="H1520" s="7">
        <v>2.1000000000000001E-2</v>
      </c>
      <c r="I1520" s="6">
        <v>29.07</v>
      </c>
      <c r="J1520" s="6">
        <v>1413.18</v>
      </c>
      <c r="K1520" t="s">
        <v>3097</v>
      </c>
      <c r="L1520" t="s">
        <v>3098</v>
      </c>
    </row>
    <row r="1521" spans="1:13" ht="15" customHeight="1" x14ac:dyDescent="0.25">
      <c r="A1521">
        <v>1520</v>
      </c>
      <c r="B1521" s="5">
        <v>45896</v>
      </c>
      <c r="C1521" t="s">
        <v>33</v>
      </c>
      <c r="D1521" t="s">
        <v>172</v>
      </c>
      <c r="E1521" t="s">
        <v>173</v>
      </c>
      <c r="F1521" t="s">
        <v>50</v>
      </c>
      <c r="G1521" s="6">
        <v>2344.1999999999998</v>
      </c>
      <c r="H1521" s="7">
        <v>0.2</v>
      </c>
      <c r="I1521" s="6">
        <v>468.84</v>
      </c>
      <c r="J1521" s="6">
        <v>2813.04</v>
      </c>
      <c r="K1521" t="s">
        <v>3099</v>
      </c>
      <c r="L1521" t="s">
        <v>3100</v>
      </c>
    </row>
    <row r="1522" spans="1:13" ht="15" customHeight="1" x14ac:dyDescent="0.25">
      <c r="A1522">
        <v>1521</v>
      </c>
      <c r="B1522" s="5">
        <v>45867</v>
      </c>
      <c r="C1522" t="s">
        <v>47</v>
      </c>
      <c r="D1522" t="s">
        <v>79</v>
      </c>
      <c r="E1522" t="s">
        <v>80</v>
      </c>
      <c r="F1522" t="s">
        <v>76</v>
      </c>
      <c r="G1522" s="6">
        <v>1704.4</v>
      </c>
      <c r="H1522" s="7">
        <v>0.2</v>
      </c>
      <c r="I1522" s="6">
        <v>340.88</v>
      </c>
      <c r="J1522" s="6">
        <v>2045.28</v>
      </c>
      <c r="K1522" t="s">
        <v>3101</v>
      </c>
      <c r="L1522" t="s">
        <v>3102</v>
      </c>
    </row>
    <row r="1523" spans="1:13" ht="15" customHeight="1" x14ac:dyDescent="0.25">
      <c r="A1523">
        <v>1522</v>
      </c>
      <c r="B1523" s="5">
        <v>45749</v>
      </c>
      <c r="C1523" t="s">
        <v>47</v>
      </c>
      <c r="D1523" t="s">
        <v>63</v>
      </c>
      <c r="E1523" t="s">
        <v>64</v>
      </c>
      <c r="F1523" t="s">
        <v>174</v>
      </c>
      <c r="G1523" s="6">
        <v>2032.26</v>
      </c>
      <c r="H1523" s="7">
        <v>0.2</v>
      </c>
      <c r="I1523" s="6">
        <v>406.45</v>
      </c>
      <c r="J1523" s="6">
        <v>2438.71</v>
      </c>
      <c r="K1523" t="s">
        <v>3103</v>
      </c>
      <c r="L1523" t="s">
        <v>3104</v>
      </c>
    </row>
    <row r="1524" spans="1:13" ht="15" customHeight="1" x14ac:dyDescent="0.25">
      <c r="A1524">
        <v>1523</v>
      </c>
      <c r="B1524" s="5">
        <v>45700</v>
      </c>
      <c r="C1524" t="s">
        <v>33</v>
      </c>
      <c r="D1524" t="s">
        <v>55</v>
      </c>
      <c r="E1524" t="s">
        <v>56</v>
      </c>
      <c r="F1524" t="s">
        <v>106</v>
      </c>
      <c r="G1524" s="6">
        <v>1381.77</v>
      </c>
      <c r="H1524" s="7">
        <v>5.5E-2</v>
      </c>
      <c r="I1524" s="6">
        <v>76</v>
      </c>
      <c r="J1524" s="6">
        <v>1457.77</v>
      </c>
      <c r="K1524" t="s">
        <v>3105</v>
      </c>
      <c r="L1524" t="s">
        <v>3106</v>
      </c>
    </row>
    <row r="1525" spans="1:13" ht="15" customHeight="1" x14ac:dyDescent="0.25">
      <c r="A1525">
        <v>1524</v>
      </c>
      <c r="B1525" s="5">
        <v>45799</v>
      </c>
      <c r="C1525" t="s">
        <v>27</v>
      </c>
      <c r="D1525" t="s">
        <v>181</v>
      </c>
      <c r="E1525" t="s">
        <v>182</v>
      </c>
      <c r="F1525" t="s">
        <v>87</v>
      </c>
      <c r="G1525" s="6">
        <v>4175.6000000000004</v>
      </c>
      <c r="H1525" s="7">
        <v>0.2</v>
      </c>
      <c r="I1525" s="6">
        <v>835.12</v>
      </c>
      <c r="J1525" s="6">
        <v>5010.72</v>
      </c>
      <c r="K1525" t="s">
        <v>3107</v>
      </c>
      <c r="L1525" t="s">
        <v>3108</v>
      </c>
    </row>
    <row r="1526" spans="1:13" ht="15" customHeight="1" x14ac:dyDescent="0.25">
      <c r="A1526">
        <v>1525</v>
      </c>
      <c r="B1526" s="5">
        <v>45937</v>
      </c>
      <c r="C1526" t="s">
        <v>33</v>
      </c>
      <c r="D1526" t="s">
        <v>55</v>
      </c>
      <c r="E1526" t="s">
        <v>56</v>
      </c>
      <c r="F1526" t="s">
        <v>71</v>
      </c>
      <c r="G1526" s="6">
        <v>965.36</v>
      </c>
      <c r="H1526" s="7">
        <v>5.5E-2</v>
      </c>
      <c r="I1526" s="6">
        <v>53.09</v>
      </c>
      <c r="J1526" s="6">
        <v>1018.45</v>
      </c>
      <c r="K1526" t="s">
        <v>3109</v>
      </c>
      <c r="L1526" t="s">
        <v>3110</v>
      </c>
    </row>
    <row r="1527" spans="1:13" ht="15" customHeight="1" x14ac:dyDescent="0.25">
      <c r="A1527">
        <v>1526</v>
      </c>
      <c r="B1527" s="5">
        <v>46007</v>
      </c>
      <c r="C1527" t="s">
        <v>47</v>
      </c>
      <c r="D1527" t="s">
        <v>55</v>
      </c>
      <c r="E1527" t="s">
        <v>56</v>
      </c>
      <c r="F1527" t="s">
        <v>71</v>
      </c>
      <c r="G1527" s="6">
        <v>3816.88</v>
      </c>
      <c r="H1527" s="7">
        <v>5.5E-2</v>
      </c>
      <c r="I1527" s="6">
        <v>209.93</v>
      </c>
      <c r="J1527" s="6">
        <v>4026.81</v>
      </c>
      <c r="K1527" t="s">
        <v>3111</v>
      </c>
      <c r="L1527" t="s">
        <v>3112</v>
      </c>
    </row>
    <row r="1528" spans="1:13" ht="15" customHeight="1" x14ac:dyDescent="0.25">
      <c r="A1528">
        <v>1527</v>
      </c>
      <c r="B1528" s="5">
        <v>45936</v>
      </c>
      <c r="C1528" t="s">
        <v>27</v>
      </c>
      <c r="D1528" t="s">
        <v>94</v>
      </c>
      <c r="E1528" t="s">
        <v>95</v>
      </c>
      <c r="F1528" t="s">
        <v>44</v>
      </c>
      <c r="G1528" s="6">
        <v>521.33000000000004</v>
      </c>
      <c r="H1528" s="7">
        <v>0</v>
      </c>
      <c r="I1528" s="6">
        <v>0</v>
      </c>
      <c r="J1528" s="6">
        <v>521.33000000000004</v>
      </c>
      <c r="K1528" t="s">
        <v>3113</v>
      </c>
      <c r="L1528" t="s">
        <v>3114</v>
      </c>
    </row>
    <row r="1529" spans="1:13" ht="15" customHeight="1" x14ac:dyDescent="0.25">
      <c r="A1529">
        <v>1528</v>
      </c>
      <c r="B1529" s="5">
        <v>45954</v>
      </c>
      <c r="C1529" t="s">
        <v>47</v>
      </c>
      <c r="D1529" t="s">
        <v>42</v>
      </c>
      <c r="E1529" t="s">
        <v>43</v>
      </c>
      <c r="F1529" t="s">
        <v>44</v>
      </c>
      <c r="G1529" s="6">
        <v>1828.54</v>
      </c>
      <c r="H1529" s="7">
        <v>0</v>
      </c>
      <c r="I1529" s="6">
        <v>0</v>
      </c>
      <c r="J1529" s="6">
        <v>1828.54</v>
      </c>
      <c r="K1529" t="s">
        <v>3115</v>
      </c>
      <c r="L1529" t="s">
        <v>3116</v>
      </c>
    </row>
    <row r="1530" spans="1:13" ht="15" customHeight="1" x14ac:dyDescent="0.25">
      <c r="A1530">
        <v>1529</v>
      </c>
      <c r="B1530" s="5">
        <v>45734</v>
      </c>
      <c r="C1530" t="s">
        <v>27</v>
      </c>
      <c r="D1530" t="s">
        <v>94</v>
      </c>
      <c r="E1530" t="s">
        <v>95</v>
      </c>
      <c r="F1530" t="s">
        <v>44</v>
      </c>
      <c r="G1530" s="6">
        <v>1068.95</v>
      </c>
      <c r="H1530" s="7">
        <v>0</v>
      </c>
      <c r="I1530" s="6">
        <v>0</v>
      </c>
      <c r="J1530" s="6">
        <v>1068.95</v>
      </c>
      <c r="K1530" t="s">
        <v>3117</v>
      </c>
      <c r="L1530" t="s">
        <v>3118</v>
      </c>
    </row>
    <row r="1531" spans="1:13" ht="15" customHeight="1" x14ac:dyDescent="0.25">
      <c r="A1531">
        <v>1530</v>
      </c>
      <c r="B1531" s="5">
        <v>45777</v>
      </c>
      <c r="C1531" t="s">
        <v>27</v>
      </c>
      <c r="D1531" t="s">
        <v>28</v>
      </c>
      <c r="E1531" t="s">
        <v>29</v>
      </c>
      <c r="F1531" t="s">
        <v>106</v>
      </c>
      <c r="G1531" s="6">
        <v>2359.9499999999998</v>
      </c>
      <c r="H1531" s="7">
        <v>2.1000000000000001E-2</v>
      </c>
      <c r="I1531" s="6">
        <v>49.56</v>
      </c>
      <c r="J1531" s="6">
        <v>2409.5100000000002</v>
      </c>
      <c r="K1531" t="s">
        <v>3119</v>
      </c>
      <c r="L1531" t="s">
        <v>3120</v>
      </c>
    </row>
    <row r="1532" spans="1:13" ht="15" customHeight="1" x14ac:dyDescent="0.25">
      <c r="A1532">
        <v>1531</v>
      </c>
      <c r="B1532" s="5">
        <v>45894</v>
      </c>
      <c r="C1532" t="s">
        <v>47</v>
      </c>
      <c r="D1532" t="s">
        <v>42</v>
      </c>
      <c r="E1532" t="s">
        <v>43</v>
      </c>
      <c r="F1532" t="s">
        <v>44</v>
      </c>
      <c r="G1532" s="6">
        <v>2006.1</v>
      </c>
      <c r="H1532" s="7">
        <v>0</v>
      </c>
      <c r="I1532" s="6">
        <v>0</v>
      </c>
      <c r="J1532" s="6">
        <v>2006.1</v>
      </c>
      <c r="K1532" t="s">
        <v>3121</v>
      </c>
      <c r="L1532" t="s">
        <v>3122</v>
      </c>
    </row>
    <row r="1533" spans="1:13" ht="15" customHeight="1" x14ac:dyDescent="0.25">
      <c r="A1533">
        <v>1532</v>
      </c>
      <c r="B1533" s="5">
        <v>46015</v>
      </c>
      <c r="C1533" t="s">
        <v>33</v>
      </c>
      <c r="D1533" t="s">
        <v>63</v>
      </c>
      <c r="E1533" t="s">
        <v>64</v>
      </c>
      <c r="F1533" t="s">
        <v>76</v>
      </c>
      <c r="G1533" s="6">
        <v>1926.18</v>
      </c>
      <c r="H1533" s="7">
        <v>0.2</v>
      </c>
      <c r="I1533" s="6">
        <v>385.24</v>
      </c>
      <c r="J1533" s="6">
        <v>2311.42</v>
      </c>
      <c r="K1533" t="s">
        <v>3123</v>
      </c>
      <c r="L1533" t="s">
        <v>3124</v>
      </c>
    </row>
    <row r="1534" spans="1:13" ht="15" customHeight="1" x14ac:dyDescent="0.25">
      <c r="A1534">
        <v>1533</v>
      </c>
      <c r="B1534" s="5">
        <v>45729</v>
      </c>
      <c r="C1534" t="s">
        <v>27</v>
      </c>
      <c r="D1534" t="s">
        <v>28</v>
      </c>
      <c r="E1534" t="s">
        <v>29</v>
      </c>
      <c r="F1534" t="s">
        <v>30</v>
      </c>
      <c r="G1534" s="6">
        <v>2000</v>
      </c>
      <c r="H1534" s="7">
        <v>2.1000000000000001E-2</v>
      </c>
      <c r="I1534" s="6">
        <v>42</v>
      </c>
      <c r="J1534" s="6">
        <v>2042</v>
      </c>
      <c r="K1534" t="s">
        <v>3125</v>
      </c>
      <c r="L1534" t="s">
        <v>3126</v>
      </c>
      <c r="M1534" t="s">
        <v>143</v>
      </c>
    </row>
    <row r="1535" spans="1:13" ht="15" customHeight="1" x14ac:dyDescent="0.25">
      <c r="A1535">
        <v>1534</v>
      </c>
      <c r="B1535" s="5">
        <v>45995</v>
      </c>
      <c r="C1535" t="s">
        <v>27</v>
      </c>
      <c r="D1535" t="s">
        <v>28</v>
      </c>
      <c r="E1535" t="s">
        <v>29</v>
      </c>
      <c r="F1535" t="s">
        <v>50</v>
      </c>
      <c r="G1535" s="6">
        <v>3767.6</v>
      </c>
      <c r="H1535" s="7">
        <v>2.1000000000000001E-2</v>
      </c>
      <c r="I1535" s="6">
        <v>79.12</v>
      </c>
      <c r="J1535" s="6">
        <v>3846.72</v>
      </c>
      <c r="K1535" t="s">
        <v>3127</v>
      </c>
      <c r="L1535" t="s">
        <v>3128</v>
      </c>
    </row>
    <row r="1536" spans="1:13" ht="15" customHeight="1" x14ac:dyDescent="0.25">
      <c r="A1536">
        <v>1535</v>
      </c>
      <c r="B1536" s="5">
        <v>45933</v>
      </c>
      <c r="C1536" t="s">
        <v>47</v>
      </c>
      <c r="D1536" t="s">
        <v>63</v>
      </c>
      <c r="E1536" t="s">
        <v>64</v>
      </c>
      <c r="F1536" t="s">
        <v>84</v>
      </c>
      <c r="G1536" s="6">
        <v>1404.4</v>
      </c>
      <c r="H1536" s="7">
        <v>0.2</v>
      </c>
      <c r="I1536" s="6">
        <v>280.88</v>
      </c>
      <c r="J1536" s="6">
        <v>1685.28</v>
      </c>
      <c r="K1536" t="s">
        <v>3129</v>
      </c>
      <c r="L1536" t="s">
        <v>3130</v>
      </c>
    </row>
    <row r="1537" spans="1:13" ht="15" customHeight="1" x14ac:dyDescent="0.25">
      <c r="A1537">
        <v>1536</v>
      </c>
      <c r="B1537" s="5">
        <v>45729</v>
      </c>
      <c r="C1537" t="s">
        <v>27</v>
      </c>
      <c r="D1537" t="s">
        <v>42</v>
      </c>
      <c r="E1537" t="s">
        <v>43</v>
      </c>
      <c r="F1537" t="s">
        <v>44</v>
      </c>
      <c r="G1537" s="6">
        <v>4086.33</v>
      </c>
      <c r="H1537" s="7">
        <v>0</v>
      </c>
      <c r="I1537" s="6">
        <v>0</v>
      </c>
      <c r="J1537" s="6">
        <v>4086.33</v>
      </c>
      <c r="K1537" t="s">
        <v>3131</v>
      </c>
      <c r="L1537" t="s">
        <v>3132</v>
      </c>
    </row>
    <row r="1538" spans="1:13" ht="15" customHeight="1" x14ac:dyDescent="0.25">
      <c r="A1538">
        <v>1537</v>
      </c>
      <c r="B1538" s="5">
        <v>45966</v>
      </c>
      <c r="C1538" t="s">
        <v>27</v>
      </c>
      <c r="D1538" t="s">
        <v>181</v>
      </c>
      <c r="E1538" t="s">
        <v>182</v>
      </c>
      <c r="F1538" t="s">
        <v>84</v>
      </c>
      <c r="G1538" s="6">
        <v>4118.78</v>
      </c>
      <c r="H1538" s="7">
        <v>0.2</v>
      </c>
      <c r="I1538" s="6">
        <v>823.76</v>
      </c>
      <c r="J1538" s="6">
        <v>4942.54</v>
      </c>
      <c r="K1538" t="s">
        <v>3133</v>
      </c>
      <c r="L1538" t="s">
        <v>3134</v>
      </c>
    </row>
    <row r="1539" spans="1:13" ht="15" customHeight="1" x14ac:dyDescent="0.25">
      <c r="A1539">
        <v>1538</v>
      </c>
      <c r="B1539" s="5">
        <v>45931</v>
      </c>
      <c r="C1539" t="s">
        <v>47</v>
      </c>
      <c r="D1539" t="s">
        <v>28</v>
      </c>
      <c r="E1539" t="s">
        <v>29</v>
      </c>
      <c r="F1539" t="s">
        <v>76</v>
      </c>
      <c r="G1539" s="6">
        <v>1788.04</v>
      </c>
      <c r="H1539" s="7">
        <v>2.1000000000000001E-2</v>
      </c>
      <c r="I1539" s="6">
        <v>37.549999999999997</v>
      </c>
      <c r="J1539" s="6">
        <v>1825.59</v>
      </c>
      <c r="K1539" t="s">
        <v>3135</v>
      </c>
      <c r="L1539" t="s">
        <v>3136</v>
      </c>
    </row>
    <row r="1540" spans="1:13" ht="15" customHeight="1" x14ac:dyDescent="0.25">
      <c r="A1540">
        <v>1539</v>
      </c>
      <c r="B1540" s="5">
        <v>45889</v>
      </c>
      <c r="C1540" t="s">
        <v>47</v>
      </c>
      <c r="D1540" t="s">
        <v>172</v>
      </c>
      <c r="E1540" t="s">
        <v>173</v>
      </c>
      <c r="F1540" t="s">
        <v>174</v>
      </c>
      <c r="G1540" s="6">
        <v>2904.39</v>
      </c>
      <c r="H1540" s="7">
        <v>0.2</v>
      </c>
      <c r="I1540" s="6">
        <v>580.88</v>
      </c>
      <c r="J1540" s="6">
        <v>3485.27</v>
      </c>
      <c r="K1540" t="s">
        <v>3137</v>
      </c>
      <c r="L1540" t="s">
        <v>3138</v>
      </c>
    </row>
    <row r="1541" spans="1:13" ht="15" customHeight="1" x14ac:dyDescent="0.25">
      <c r="A1541">
        <v>1540</v>
      </c>
      <c r="B1541" s="5">
        <v>45748</v>
      </c>
      <c r="C1541" t="s">
        <v>33</v>
      </c>
      <c r="D1541" t="s">
        <v>28</v>
      </c>
      <c r="E1541" t="s">
        <v>29</v>
      </c>
      <c r="F1541" t="s">
        <v>81</v>
      </c>
      <c r="G1541" s="6">
        <v>221.7</v>
      </c>
      <c r="H1541" s="7">
        <v>0.33</v>
      </c>
      <c r="I1541" s="6">
        <v>73.16</v>
      </c>
      <c r="J1541" s="6">
        <v>294.86</v>
      </c>
      <c r="K1541" t="s">
        <v>3139</v>
      </c>
      <c r="L1541" t="s">
        <v>3140</v>
      </c>
      <c r="M1541" t="s">
        <v>447</v>
      </c>
    </row>
    <row r="1542" spans="1:13" ht="15" customHeight="1" x14ac:dyDescent="0.25">
      <c r="A1542">
        <v>1541</v>
      </c>
      <c r="B1542" s="5">
        <v>45693</v>
      </c>
      <c r="C1542" t="s">
        <v>47</v>
      </c>
      <c r="D1542" t="s">
        <v>28</v>
      </c>
      <c r="E1542" t="s">
        <v>29</v>
      </c>
      <c r="F1542" t="s">
        <v>36</v>
      </c>
      <c r="G1542" s="6">
        <v>4108.1499999999996</v>
      </c>
      <c r="H1542" s="7">
        <v>2.1000000000000001E-2</v>
      </c>
      <c r="I1542" s="6">
        <v>86.27</v>
      </c>
      <c r="J1542" s="6">
        <v>4194.42</v>
      </c>
      <c r="K1542" t="s">
        <v>3141</v>
      </c>
      <c r="L1542" t="s">
        <v>3142</v>
      </c>
    </row>
    <row r="1543" spans="1:13" ht="15" customHeight="1" x14ac:dyDescent="0.25">
      <c r="A1543">
        <v>1542</v>
      </c>
      <c r="B1543" s="5">
        <v>45995</v>
      </c>
      <c r="C1543" t="s">
        <v>33</v>
      </c>
      <c r="D1543" t="s">
        <v>55</v>
      </c>
      <c r="E1543" t="s">
        <v>56</v>
      </c>
      <c r="F1543" t="s">
        <v>76</v>
      </c>
      <c r="G1543" s="6">
        <v>2397.83</v>
      </c>
      <c r="H1543" s="7">
        <v>5.5E-2</v>
      </c>
      <c r="I1543" s="6">
        <v>131.88</v>
      </c>
      <c r="J1543" s="6">
        <v>2529.71</v>
      </c>
      <c r="K1543" t="s">
        <v>3143</v>
      </c>
      <c r="L1543" t="s">
        <v>3144</v>
      </c>
    </row>
    <row r="1544" spans="1:13" ht="15" customHeight="1" x14ac:dyDescent="0.25">
      <c r="A1544">
        <v>1543</v>
      </c>
      <c r="B1544" s="5">
        <v>45825</v>
      </c>
      <c r="C1544" t="s">
        <v>47</v>
      </c>
      <c r="D1544" t="s">
        <v>172</v>
      </c>
      <c r="E1544" t="s">
        <v>173</v>
      </c>
      <c r="F1544" t="s">
        <v>36</v>
      </c>
      <c r="G1544" s="6">
        <v>3879.91</v>
      </c>
      <c r="H1544" s="7">
        <v>0.2</v>
      </c>
      <c r="I1544" s="6">
        <v>775.98</v>
      </c>
      <c r="J1544" s="6">
        <v>4655.8900000000003</v>
      </c>
      <c r="K1544" t="s">
        <v>3145</v>
      </c>
      <c r="L1544" t="s">
        <v>3146</v>
      </c>
    </row>
    <row r="1545" spans="1:13" ht="15" customHeight="1" x14ac:dyDescent="0.25">
      <c r="A1545">
        <v>1544</v>
      </c>
      <c r="B1545" s="5">
        <v>45932</v>
      </c>
      <c r="C1545" t="s">
        <v>33</v>
      </c>
      <c r="D1545" t="s">
        <v>94</v>
      </c>
      <c r="E1545" t="s">
        <v>95</v>
      </c>
      <c r="F1545" t="s">
        <v>44</v>
      </c>
      <c r="G1545" s="6">
        <v>2357.86</v>
      </c>
      <c r="H1545" s="7">
        <v>0</v>
      </c>
      <c r="I1545" s="6">
        <v>0</v>
      </c>
      <c r="J1545" s="6">
        <v>2357.86</v>
      </c>
      <c r="K1545" t="s">
        <v>3147</v>
      </c>
      <c r="L1545" t="s">
        <v>3148</v>
      </c>
    </row>
    <row r="1546" spans="1:13" ht="15" customHeight="1" x14ac:dyDescent="0.25">
      <c r="A1546">
        <v>1545</v>
      </c>
      <c r="B1546" s="5">
        <v>45763</v>
      </c>
      <c r="C1546" t="s">
        <v>33</v>
      </c>
      <c r="D1546" t="s">
        <v>28</v>
      </c>
      <c r="E1546" t="s">
        <v>29</v>
      </c>
      <c r="F1546" t="s">
        <v>81</v>
      </c>
      <c r="G1546" s="6">
        <v>1449.13</v>
      </c>
      <c r="H1546" s="7">
        <v>2.1000000000000001E-2</v>
      </c>
      <c r="I1546" s="6">
        <v>30.43</v>
      </c>
      <c r="J1546" s="6">
        <v>1479.56</v>
      </c>
      <c r="K1546" t="s">
        <v>3149</v>
      </c>
      <c r="L1546" t="s">
        <v>3150</v>
      </c>
    </row>
    <row r="1547" spans="1:13" ht="15" customHeight="1" x14ac:dyDescent="0.25">
      <c r="A1547">
        <v>1546</v>
      </c>
      <c r="B1547" s="5">
        <v>45952</v>
      </c>
      <c r="C1547" t="s">
        <v>47</v>
      </c>
      <c r="D1547" t="s">
        <v>28</v>
      </c>
      <c r="E1547" t="s">
        <v>29</v>
      </c>
      <c r="F1547" t="s">
        <v>84</v>
      </c>
      <c r="G1547" s="6">
        <v>4231.0600000000004</v>
      </c>
      <c r="H1547" s="7">
        <v>2.1000000000000001E-2</v>
      </c>
      <c r="I1547" s="6">
        <v>88.85</v>
      </c>
      <c r="J1547" s="6">
        <v>4319.91</v>
      </c>
      <c r="K1547" t="s">
        <v>3151</v>
      </c>
      <c r="L1547" t="s">
        <v>3152</v>
      </c>
    </row>
    <row r="1548" spans="1:13" ht="15" customHeight="1" x14ac:dyDescent="0.25">
      <c r="A1548">
        <v>1547</v>
      </c>
      <c r="B1548" s="5">
        <v>45799</v>
      </c>
      <c r="C1548" t="s">
        <v>27</v>
      </c>
      <c r="D1548" t="s">
        <v>42</v>
      </c>
      <c r="E1548" t="s">
        <v>43</v>
      </c>
      <c r="F1548" t="s">
        <v>44</v>
      </c>
      <c r="G1548" s="6">
        <v>4178.6000000000004</v>
      </c>
      <c r="H1548" s="7">
        <v>0</v>
      </c>
      <c r="I1548" s="6">
        <v>0</v>
      </c>
      <c r="J1548" s="6">
        <v>4178.6000000000004</v>
      </c>
      <c r="K1548" t="s">
        <v>3153</v>
      </c>
      <c r="L1548" t="s">
        <v>3154</v>
      </c>
    </row>
    <row r="1549" spans="1:13" ht="15" customHeight="1" x14ac:dyDescent="0.25">
      <c r="A1549">
        <v>1548</v>
      </c>
      <c r="B1549" s="5">
        <v>45967</v>
      </c>
      <c r="C1549" t="s">
        <v>33</v>
      </c>
      <c r="D1549" t="s">
        <v>42</v>
      </c>
      <c r="E1549" t="s">
        <v>43</v>
      </c>
      <c r="F1549" t="s">
        <v>44</v>
      </c>
      <c r="G1549" s="6">
        <v>13000</v>
      </c>
      <c r="H1549" s="7">
        <v>0</v>
      </c>
      <c r="I1549" s="6">
        <v>0</v>
      </c>
      <c r="J1549" s="6">
        <v>13000</v>
      </c>
      <c r="K1549" t="s">
        <v>3155</v>
      </c>
      <c r="L1549" t="s">
        <v>3156</v>
      </c>
      <c r="M1549" t="s">
        <v>143</v>
      </c>
    </row>
    <row r="1550" spans="1:13" ht="15" customHeight="1" x14ac:dyDescent="0.25">
      <c r="A1550">
        <v>1549</v>
      </c>
      <c r="B1550" s="5">
        <v>45952</v>
      </c>
      <c r="C1550" t="s">
        <v>47</v>
      </c>
      <c r="D1550" t="s">
        <v>79</v>
      </c>
      <c r="E1550" t="s">
        <v>80</v>
      </c>
      <c r="F1550" t="s">
        <v>87</v>
      </c>
      <c r="G1550" s="6">
        <v>252.75</v>
      </c>
      <c r="H1550" s="7">
        <v>0.2</v>
      </c>
      <c r="I1550" s="6">
        <v>50.55</v>
      </c>
      <c r="J1550" s="6">
        <v>303.3</v>
      </c>
      <c r="K1550" t="s">
        <v>3157</v>
      </c>
      <c r="L1550" t="s">
        <v>3158</v>
      </c>
    </row>
    <row r="1551" spans="1:13" ht="15" customHeight="1" x14ac:dyDescent="0.25">
      <c r="A1551">
        <v>1550</v>
      </c>
      <c r="B1551" s="5">
        <v>45891</v>
      </c>
      <c r="C1551" t="s">
        <v>27</v>
      </c>
      <c r="D1551" t="s">
        <v>100</v>
      </c>
      <c r="E1551" t="s">
        <v>101</v>
      </c>
      <c r="F1551" t="s">
        <v>44</v>
      </c>
      <c r="G1551" s="6">
        <v>3822.33</v>
      </c>
      <c r="H1551" s="7">
        <v>0</v>
      </c>
      <c r="I1551" s="6">
        <v>0</v>
      </c>
      <c r="J1551" s="6">
        <v>3822.33</v>
      </c>
      <c r="K1551" t="s">
        <v>3159</v>
      </c>
      <c r="L1551" t="s">
        <v>3160</v>
      </c>
    </row>
    <row r="1552" spans="1:13" ht="15" customHeight="1" x14ac:dyDescent="0.25">
      <c r="A1552">
        <v>1551</v>
      </c>
      <c r="B1552" s="5">
        <v>45747</v>
      </c>
      <c r="C1552" t="s">
        <v>47</v>
      </c>
      <c r="D1552" t="s">
        <v>63</v>
      </c>
      <c r="E1552" t="s">
        <v>64</v>
      </c>
      <c r="F1552" t="s">
        <v>30</v>
      </c>
      <c r="G1552" s="6">
        <v>1914.53</v>
      </c>
      <c r="H1552" s="7">
        <v>0.2</v>
      </c>
      <c r="I1552" s="6">
        <v>382.91</v>
      </c>
      <c r="J1552" s="6">
        <v>2297.44</v>
      </c>
      <c r="K1552" t="s">
        <v>3161</v>
      </c>
      <c r="L1552" t="s">
        <v>3162</v>
      </c>
    </row>
    <row r="1553" spans="1:12" ht="15" customHeight="1" x14ac:dyDescent="0.25">
      <c r="A1553">
        <v>1552</v>
      </c>
      <c r="B1553" s="5">
        <v>45854</v>
      </c>
      <c r="C1553" t="s">
        <v>27</v>
      </c>
      <c r="D1553" t="s">
        <v>79</v>
      </c>
      <c r="E1553" t="s">
        <v>80</v>
      </c>
      <c r="F1553" t="s">
        <v>30</v>
      </c>
      <c r="G1553" s="6">
        <v>4105.88</v>
      </c>
      <c r="H1553" s="7">
        <v>0.2</v>
      </c>
      <c r="I1553" s="6">
        <v>821.18</v>
      </c>
      <c r="J1553" s="6">
        <v>4927.0600000000004</v>
      </c>
      <c r="K1553" t="s">
        <v>3163</v>
      </c>
      <c r="L1553" t="s">
        <v>3164</v>
      </c>
    </row>
    <row r="1554" spans="1:12" ht="15" customHeight="1" x14ac:dyDescent="0.25">
      <c r="A1554">
        <v>1553</v>
      </c>
      <c r="B1554" s="5">
        <v>46015</v>
      </c>
      <c r="C1554" t="s">
        <v>27</v>
      </c>
      <c r="D1554" t="s">
        <v>28</v>
      </c>
      <c r="E1554" t="s">
        <v>29</v>
      </c>
      <c r="F1554" t="s">
        <v>71</v>
      </c>
      <c r="G1554" s="6">
        <v>4259.9399999999996</v>
      </c>
      <c r="H1554" s="7">
        <v>2.1000000000000001E-2</v>
      </c>
      <c r="I1554" s="6">
        <v>89.46</v>
      </c>
      <c r="J1554" s="6">
        <v>4349.3999999999996</v>
      </c>
      <c r="K1554" t="s">
        <v>3165</v>
      </c>
      <c r="L1554" t="s">
        <v>3166</v>
      </c>
    </row>
    <row r="1555" spans="1:12" ht="15" customHeight="1" x14ac:dyDescent="0.25">
      <c r="A1555">
        <v>1554</v>
      </c>
      <c r="B1555" s="5">
        <v>45933</v>
      </c>
      <c r="C1555" t="s">
        <v>47</v>
      </c>
      <c r="D1555" t="s">
        <v>100</v>
      </c>
      <c r="E1555" t="s">
        <v>101</v>
      </c>
      <c r="F1555" t="s">
        <v>44</v>
      </c>
      <c r="G1555" s="6">
        <v>3999.11</v>
      </c>
      <c r="H1555" s="7">
        <v>0</v>
      </c>
      <c r="I1555" s="6">
        <v>0</v>
      </c>
      <c r="J1555" s="6">
        <v>3999.11</v>
      </c>
      <c r="K1555" t="s">
        <v>3167</v>
      </c>
      <c r="L1555" t="s">
        <v>3168</v>
      </c>
    </row>
    <row r="1556" spans="1:12" ht="15" customHeight="1" x14ac:dyDescent="0.25">
      <c r="A1556">
        <v>1555</v>
      </c>
      <c r="B1556" s="5">
        <v>45769</v>
      </c>
      <c r="C1556" t="s">
        <v>27</v>
      </c>
      <c r="D1556" t="s">
        <v>42</v>
      </c>
      <c r="E1556" t="s">
        <v>43</v>
      </c>
      <c r="F1556" t="s">
        <v>44</v>
      </c>
      <c r="G1556" s="6">
        <v>2787.07</v>
      </c>
      <c r="H1556" s="7">
        <v>0</v>
      </c>
      <c r="I1556" s="6">
        <v>0</v>
      </c>
      <c r="J1556" s="6">
        <v>2787.07</v>
      </c>
      <c r="K1556" t="s">
        <v>3169</v>
      </c>
      <c r="L1556" t="s">
        <v>3170</v>
      </c>
    </row>
    <row r="1557" spans="1:12" ht="15" customHeight="1" x14ac:dyDescent="0.25">
      <c r="A1557">
        <v>1556</v>
      </c>
      <c r="B1557" s="5">
        <v>45846</v>
      </c>
      <c r="C1557" t="s">
        <v>27</v>
      </c>
      <c r="D1557" t="s">
        <v>28</v>
      </c>
      <c r="E1557" t="s">
        <v>29</v>
      </c>
      <c r="F1557" t="s">
        <v>87</v>
      </c>
      <c r="G1557" s="6">
        <v>418.28</v>
      </c>
      <c r="H1557" s="7">
        <v>2.1000000000000001E-2</v>
      </c>
      <c r="I1557" s="6">
        <v>8.7799999999999994</v>
      </c>
      <c r="J1557" s="6">
        <v>427.06</v>
      </c>
      <c r="K1557" t="s">
        <v>3171</v>
      </c>
      <c r="L1557" t="s">
        <v>3172</v>
      </c>
    </row>
    <row r="1558" spans="1:12" ht="15" customHeight="1" x14ac:dyDescent="0.25">
      <c r="A1558">
        <v>1557</v>
      </c>
      <c r="B1558" s="5">
        <v>45742</v>
      </c>
      <c r="C1558" t="s">
        <v>47</v>
      </c>
      <c r="D1558" t="s">
        <v>63</v>
      </c>
      <c r="E1558" t="s">
        <v>64</v>
      </c>
      <c r="F1558" t="s">
        <v>106</v>
      </c>
      <c r="G1558" s="6">
        <v>1197.23</v>
      </c>
      <c r="H1558" s="7">
        <v>0.2</v>
      </c>
      <c r="I1558" s="6">
        <v>239.45</v>
      </c>
      <c r="J1558" s="6">
        <v>1436.68</v>
      </c>
      <c r="K1558" t="s">
        <v>3173</v>
      </c>
      <c r="L1558" t="s">
        <v>3174</v>
      </c>
    </row>
    <row r="1559" spans="1:12" ht="15" customHeight="1" x14ac:dyDescent="0.25">
      <c r="A1559">
        <v>1558</v>
      </c>
      <c r="B1559" s="5">
        <v>45985</v>
      </c>
      <c r="C1559" t="s">
        <v>47</v>
      </c>
      <c r="D1559" t="s">
        <v>28</v>
      </c>
      <c r="E1559" t="s">
        <v>29</v>
      </c>
      <c r="F1559" t="s">
        <v>81</v>
      </c>
      <c r="G1559" s="6">
        <v>3149.63</v>
      </c>
      <c r="H1559" s="7">
        <v>2.1000000000000001E-2</v>
      </c>
      <c r="I1559" s="6">
        <v>66.14</v>
      </c>
      <c r="J1559" s="6">
        <v>3215.77</v>
      </c>
      <c r="K1559" t="s">
        <v>3175</v>
      </c>
      <c r="L1559" t="s">
        <v>3176</v>
      </c>
    </row>
    <row r="1560" spans="1:12" ht="15" customHeight="1" x14ac:dyDescent="0.25">
      <c r="A1560">
        <v>1559</v>
      </c>
      <c r="B1560" s="5">
        <v>45862</v>
      </c>
      <c r="C1560" t="s">
        <v>47</v>
      </c>
      <c r="D1560" t="s">
        <v>55</v>
      </c>
      <c r="E1560" t="s">
        <v>56</v>
      </c>
      <c r="F1560" t="s">
        <v>36</v>
      </c>
      <c r="G1560" s="6">
        <v>3862.52</v>
      </c>
      <c r="H1560" s="7">
        <v>5.5E-2</v>
      </c>
      <c r="I1560" s="6">
        <v>212.44</v>
      </c>
      <c r="J1560" s="6">
        <v>4074.96</v>
      </c>
      <c r="K1560" t="s">
        <v>3177</v>
      </c>
      <c r="L1560" t="s">
        <v>3178</v>
      </c>
    </row>
    <row r="1561" spans="1:12" ht="15" customHeight="1" x14ac:dyDescent="0.25">
      <c r="A1561">
        <v>1560</v>
      </c>
      <c r="B1561" s="5">
        <v>46021</v>
      </c>
      <c r="C1561" t="s">
        <v>33</v>
      </c>
      <c r="D1561" t="s">
        <v>55</v>
      </c>
      <c r="E1561" t="s">
        <v>56</v>
      </c>
      <c r="F1561" t="s">
        <v>50</v>
      </c>
      <c r="G1561" s="6">
        <v>4133.75</v>
      </c>
      <c r="H1561" s="7">
        <v>5.5E-2</v>
      </c>
      <c r="I1561" s="6">
        <v>227.36</v>
      </c>
      <c r="J1561" s="6">
        <v>4361.1099999999997</v>
      </c>
      <c r="K1561" t="s">
        <v>3179</v>
      </c>
      <c r="L1561" t="s">
        <v>3180</v>
      </c>
    </row>
    <row r="1562" spans="1:12" ht="15" customHeight="1" x14ac:dyDescent="0.25">
      <c r="A1562">
        <v>1561</v>
      </c>
      <c r="B1562" s="5">
        <v>45894</v>
      </c>
      <c r="C1562" t="s">
        <v>27</v>
      </c>
      <c r="D1562" t="s">
        <v>79</v>
      </c>
      <c r="E1562" t="s">
        <v>80</v>
      </c>
      <c r="F1562" t="s">
        <v>106</v>
      </c>
      <c r="G1562" s="6">
        <v>381.61</v>
      </c>
      <c r="H1562" s="7">
        <v>0.2</v>
      </c>
      <c r="I1562" s="6">
        <v>76.319999999999993</v>
      </c>
      <c r="J1562" s="6">
        <v>457.93</v>
      </c>
      <c r="K1562" t="s">
        <v>3181</v>
      </c>
      <c r="L1562" t="s">
        <v>3182</v>
      </c>
    </row>
    <row r="1563" spans="1:12" ht="15" customHeight="1" x14ac:dyDescent="0.25">
      <c r="A1563">
        <v>1562</v>
      </c>
      <c r="B1563" s="5">
        <v>45882</v>
      </c>
      <c r="C1563" t="s">
        <v>33</v>
      </c>
      <c r="D1563" t="s">
        <v>42</v>
      </c>
      <c r="E1563" t="s">
        <v>43</v>
      </c>
      <c r="F1563" t="s">
        <v>44</v>
      </c>
      <c r="G1563" s="6">
        <v>3769.02</v>
      </c>
      <c r="H1563" s="7">
        <v>0</v>
      </c>
      <c r="I1563" s="6">
        <v>0</v>
      </c>
      <c r="J1563" s="6">
        <v>3769.02</v>
      </c>
      <c r="K1563" t="s">
        <v>3183</v>
      </c>
      <c r="L1563" t="s">
        <v>3184</v>
      </c>
    </row>
    <row r="1564" spans="1:12" ht="15" customHeight="1" x14ac:dyDescent="0.25">
      <c r="A1564">
        <v>1563</v>
      </c>
      <c r="B1564" s="5">
        <v>45667</v>
      </c>
      <c r="C1564" t="s">
        <v>33</v>
      </c>
      <c r="D1564" t="s">
        <v>28</v>
      </c>
      <c r="E1564" t="s">
        <v>29</v>
      </c>
      <c r="F1564" t="s">
        <v>30</v>
      </c>
      <c r="G1564" s="6">
        <v>2762.89</v>
      </c>
      <c r="H1564" s="7">
        <v>2.1000000000000001E-2</v>
      </c>
      <c r="I1564" s="6">
        <v>58.02</v>
      </c>
      <c r="J1564" s="6">
        <v>2820.91</v>
      </c>
      <c r="K1564" t="s">
        <v>3185</v>
      </c>
      <c r="L1564" t="s">
        <v>3186</v>
      </c>
    </row>
    <row r="1565" spans="1:12" ht="15" customHeight="1" x14ac:dyDescent="0.25">
      <c r="A1565">
        <v>1564</v>
      </c>
      <c r="B1565" s="5">
        <v>45744</v>
      </c>
      <c r="C1565" t="s">
        <v>33</v>
      </c>
      <c r="D1565" t="s">
        <v>172</v>
      </c>
      <c r="E1565" t="s">
        <v>173</v>
      </c>
      <c r="F1565" t="s">
        <v>39</v>
      </c>
      <c r="G1565" s="6">
        <v>422.93</v>
      </c>
      <c r="H1565" s="7">
        <v>0.2</v>
      </c>
      <c r="I1565" s="6">
        <v>84.59</v>
      </c>
      <c r="J1565" s="6">
        <v>507.52</v>
      </c>
      <c r="K1565" t="s">
        <v>3187</v>
      </c>
      <c r="L1565" t="s">
        <v>3188</v>
      </c>
    </row>
    <row r="1566" spans="1:12" ht="15" customHeight="1" x14ac:dyDescent="0.25">
      <c r="A1566">
        <v>1565</v>
      </c>
      <c r="B1566" s="5">
        <v>45841</v>
      </c>
      <c r="C1566" t="s">
        <v>47</v>
      </c>
      <c r="D1566" t="s">
        <v>28</v>
      </c>
      <c r="E1566" t="s">
        <v>29</v>
      </c>
      <c r="F1566" t="s">
        <v>81</v>
      </c>
      <c r="G1566" s="6">
        <v>866.5</v>
      </c>
      <c r="H1566" s="7">
        <v>2.1000000000000001E-2</v>
      </c>
      <c r="I1566" s="6">
        <v>18.2</v>
      </c>
      <c r="J1566" s="6">
        <v>884.7</v>
      </c>
      <c r="K1566" t="s">
        <v>3189</v>
      </c>
      <c r="L1566" t="s">
        <v>3190</v>
      </c>
    </row>
    <row r="1567" spans="1:12" ht="15" customHeight="1" x14ac:dyDescent="0.25">
      <c r="A1567">
        <v>1566</v>
      </c>
      <c r="B1567" s="5">
        <v>45884</v>
      </c>
      <c r="C1567" t="s">
        <v>27</v>
      </c>
      <c r="D1567" t="s">
        <v>172</v>
      </c>
      <c r="E1567" t="s">
        <v>173</v>
      </c>
      <c r="F1567" t="s">
        <v>120</v>
      </c>
      <c r="G1567" s="6">
        <v>3159.6</v>
      </c>
      <c r="H1567" s="7">
        <v>0.2</v>
      </c>
      <c r="I1567" s="6">
        <v>631.91999999999996</v>
      </c>
      <c r="J1567" s="6">
        <v>3791.52</v>
      </c>
      <c r="K1567" t="s">
        <v>3191</v>
      </c>
      <c r="L1567" t="s">
        <v>3192</v>
      </c>
    </row>
    <row r="1568" spans="1:12" ht="15" customHeight="1" x14ac:dyDescent="0.25">
      <c r="A1568">
        <v>1567</v>
      </c>
      <c r="B1568" s="5">
        <v>45995</v>
      </c>
      <c r="C1568" t="s">
        <v>27</v>
      </c>
      <c r="D1568" t="s">
        <v>181</v>
      </c>
      <c r="E1568" t="s">
        <v>182</v>
      </c>
      <c r="F1568" t="s">
        <v>36</v>
      </c>
      <c r="G1568" s="6">
        <v>4044.78</v>
      </c>
      <c r="H1568" s="7">
        <v>0.2</v>
      </c>
      <c r="I1568" s="6">
        <v>808.96</v>
      </c>
      <c r="J1568" s="6">
        <v>4853.74</v>
      </c>
      <c r="K1568" t="s">
        <v>3193</v>
      </c>
      <c r="L1568" t="s">
        <v>3194</v>
      </c>
    </row>
    <row r="1569" spans="1:13" ht="15" customHeight="1" x14ac:dyDescent="0.25">
      <c r="A1569">
        <v>1568</v>
      </c>
      <c r="B1569" s="5">
        <v>45964</v>
      </c>
      <c r="C1569" t="s">
        <v>47</v>
      </c>
      <c r="D1569" t="s">
        <v>79</v>
      </c>
      <c r="E1569" t="s">
        <v>80</v>
      </c>
      <c r="F1569" t="s">
        <v>36</v>
      </c>
      <c r="G1569" s="6">
        <v>100.62</v>
      </c>
      <c r="H1569" s="7">
        <v>0.2</v>
      </c>
      <c r="I1569" s="6">
        <v>20.12</v>
      </c>
      <c r="J1569" s="6">
        <v>120.74</v>
      </c>
      <c r="K1569" t="s">
        <v>3195</v>
      </c>
      <c r="L1569" t="s">
        <v>3196</v>
      </c>
    </row>
    <row r="1570" spans="1:13" ht="15" customHeight="1" x14ac:dyDescent="0.25">
      <c r="A1570">
        <v>1569</v>
      </c>
      <c r="B1570" s="5">
        <v>45849</v>
      </c>
      <c r="C1570" t="s">
        <v>33</v>
      </c>
      <c r="D1570" t="s">
        <v>100</v>
      </c>
      <c r="E1570" t="s">
        <v>101</v>
      </c>
      <c r="F1570" t="s">
        <v>44</v>
      </c>
      <c r="G1570" s="6">
        <v>2279.9699999999998</v>
      </c>
      <c r="H1570" s="7">
        <v>0</v>
      </c>
      <c r="I1570" s="6">
        <v>0</v>
      </c>
      <c r="J1570" s="6">
        <v>2279.9699999999998</v>
      </c>
      <c r="K1570" t="s">
        <v>3197</v>
      </c>
      <c r="L1570" t="s">
        <v>3198</v>
      </c>
    </row>
    <row r="1571" spans="1:13" ht="15" customHeight="1" x14ac:dyDescent="0.25">
      <c r="A1571">
        <v>1570</v>
      </c>
      <c r="B1571" s="5">
        <v>45665</v>
      </c>
      <c r="C1571" t="s">
        <v>47</v>
      </c>
      <c r="D1571" t="s">
        <v>28</v>
      </c>
      <c r="E1571" t="s">
        <v>29</v>
      </c>
      <c r="F1571" t="s">
        <v>71</v>
      </c>
      <c r="G1571" s="6">
        <v>1570.06</v>
      </c>
      <c r="H1571" s="7">
        <v>2.1000000000000001E-2</v>
      </c>
      <c r="I1571" s="6">
        <v>32.97</v>
      </c>
      <c r="J1571" s="6">
        <v>1603.03</v>
      </c>
      <c r="K1571" t="s">
        <v>3199</v>
      </c>
      <c r="L1571" t="s">
        <v>3200</v>
      </c>
    </row>
    <row r="1572" spans="1:13" ht="15" customHeight="1" x14ac:dyDescent="0.25">
      <c r="A1572">
        <v>1571</v>
      </c>
      <c r="B1572" s="5">
        <v>45707</v>
      </c>
      <c r="C1572" t="s">
        <v>27</v>
      </c>
      <c r="D1572" t="s">
        <v>28</v>
      </c>
      <c r="E1572" t="s">
        <v>29</v>
      </c>
      <c r="F1572" t="s">
        <v>65</v>
      </c>
      <c r="G1572" s="6">
        <v>3602.4</v>
      </c>
      <c r="H1572" s="7">
        <v>2.1000000000000001E-2</v>
      </c>
      <c r="I1572" s="6">
        <v>75.650000000000006</v>
      </c>
      <c r="J1572" s="6">
        <v>3678.05</v>
      </c>
      <c r="K1572" t="s">
        <v>3201</v>
      </c>
      <c r="L1572" t="s">
        <v>3202</v>
      </c>
      <c r="M1572" t="s">
        <v>68</v>
      </c>
    </row>
    <row r="1573" spans="1:13" ht="15" customHeight="1" x14ac:dyDescent="0.25">
      <c r="A1573">
        <v>1572</v>
      </c>
      <c r="B1573" s="5">
        <v>45870</v>
      </c>
      <c r="C1573" t="s">
        <v>27</v>
      </c>
      <c r="D1573" t="s">
        <v>28</v>
      </c>
      <c r="E1573" t="s">
        <v>29</v>
      </c>
      <c r="F1573" t="s">
        <v>50</v>
      </c>
      <c r="G1573" s="6">
        <v>2345.25</v>
      </c>
      <c r="H1573" s="7">
        <v>2.1000000000000001E-2</v>
      </c>
      <c r="I1573" s="6">
        <v>49.25</v>
      </c>
      <c r="J1573" s="6">
        <v>2394.5</v>
      </c>
      <c r="K1573" t="s">
        <v>3203</v>
      </c>
      <c r="L1573" t="s">
        <v>3204</v>
      </c>
    </row>
    <row r="1574" spans="1:13" ht="15" customHeight="1" x14ac:dyDescent="0.25">
      <c r="A1574">
        <v>1573</v>
      </c>
      <c r="B1574" s="5">
        <v>45764</v>
      </c>
      <c r="C1574" t="s">
        <v>27</v>
      </c>
      <c r="D1574" t="s">
        <v>181</v>
      </c>
      <c r="E1574" t="s">
        <v>182</v>
      </c>
      <c r="F1574" t="s">
        <v>36</v>
      </c>
      <c r="G1574" s="6">
        <v>4209.7299999999996</v>
      </c>
      <c r="H1574" s="7">
        <v>0.2</v>
      </c>
      <c r="I1574" s="6">
        <v>841.95</v>
      </c>
      <c r="J1574" s="6">
        <v>5051.68</v>
      </c>
      <c r="K1574" t="s">
        <v>3205</v>
      </c>
      <c r="L1574" t="s">
        <v>3206</v>
      </c>
    </row>
    <row r="1575" spans="1:13" ht="15" customHeight="1" x14ac:dyDescent="0.25">
      <c r="A1575">
        <v>1574</v>
      </c>
      <c r="B1575" s="5">
        <v>45712</v>
      </c>
      <c r="C1575" t="s">
        <v>33</v>
      </c>
      <c r="D1575" t="s">
        <v>55</v>
      </c>
      <c r="E1575" t="s">
        <v>56</v>
      </c>
      <c r="F1575" t="s">
        <v>30</v>
      </c>
      <c r="G1575" s="6">
        <v>1656.07</v>
      </c>
      <c r="H1575" s="7">
        <v>5.5E-2</v>
      </c>
      <c r="I1575" s="6">
        <v>91.08</v>
      </c>
      <c r="J1575" s="6">
        <v>1747.15</v>
      </c>
      <c r="K1575" t="s">
        <v>3207</v>
      </c>
      <c r="L1575" t="s">
        <v>3208</v>
      </c>
    </row>
    <row r="1576" spans="1:13" ht="15" customHeight="1" x14ac:dyDescent="0.25">
      <c r="A1576">
        <v>1575</v>
      </c>
      <c r="B1576" s="5">
        <v>45664</v>
      </c>
      <c r="C1576" t="s">
        <v>47</v>
      </c>
      <c r="D1576" t="s">
        <v>34</v>
      </c>
      <c r="E1576" t="s">
        <v>35</v>
      </c>
      <c r="F1576" t="s">
        <v>76</v>
      </c>
      <c r="G1576" s="6">
        <v>1800.21</v>
      </c>
      <c r="H1576" s="7">
        <v>0.2</v>
      </c>
      <c r="I1576" s="6">
        <v>360.04</v>
      </c>
      <c r="J1576" s="6">
        <v>2160.25</v>
      </c>
      <c r="K1576" t="s">
        <v>3209</v>
      </c>
      <c r="L1576" t="s">
        <v>3210</v>
      </c>
    </row>
    <row r="1577" spans="1:13" ht="15" customHeight="1" x14ac:dyDescent="0.25">
      <c r="A1577">
        <v>1576</v>
      </c>
      <c r="B1577" s="5">
        <v>45800</v>
      </c>
      <c r="C1577" t="s">
        <v>33</v>
      </c>
      <c r="D1577" t="s">
        <v>34</v>
      </c>
      <c r="E1577" t="s">
        <v>35</v>
      </c>
      <c r="F1577" t="s">
        <v>50</v>
      </c>
      <c r="G1577" s="6">
        <v>2952.76</v>
      </c>
      <c r="H1577" s="7">
        <v>0.2</v>
      </c>
      <c r="I1577" s="6">
        <v>590.54999999999995</v>
      </c>
      <c r="J1577" s="6">
        <v>3543.31</v>
      </c>
      <c r="K1577" t="s">
        <v>3211</v>
      </c>
      <c r="L1577" t="s">
        <v>3212</v>
      </c>
    </row>
    <row r="1578" spans="1:13" ht="15" customHeight="1" x14ac:dyDescent="0.25">
      <c r="A1578">
        <v>1577</v>
      </c>
      <c r="B1578" s="5">
        <v>45868</v>
      </c>
      <c r="C1578" t="s">
        <v>33</v>
      </c>
      <c r="D1578" t="s">
        <v>100</v>
      </c>
      <c r="E1578" t="s">
        <v>101</v>
      </c>
      <c r="F1578" t="s">
        <v>44</v>
      </c>
      <c r="G1578" s="6">
        <v>3237.29</v>
      </c>
      <c r="H1578" s="7">
        <v>0</v>
      </c>
      <c r="I1578" s="6">
        <v>0</v>
      </c>
      <c r="J1578" s="6">
        <v>3237.29</v>
      </c>
      <c r="K1578" t="s">
        <v>3213</v>
      </c>
      <c r="L1578" t="s">
        <v>3214</v>
      </c>
    </row>
    <row r="1579" spans="1:13" ht="15" customHeight="1" x14ac:dyDescent="0.25">
      <c r="A1579">
        <v>1578</v>
      </c>
      <c r="B1579" s="5">
        <v>45786</v>
      </c>
      <c r="C1579" t="s">
        <v>27</v>
      </c>
      <c r="D1579" t="s">
        <v>172</v>
      </c>
      <c r="E1579" t="s">
        <v>173</v>
      </c>
      <c r="F1579" t="s">
        <v>84</v>
      </c>
      <c r="G1579" s="6">
        <v>4318.93</v>
      </c>
      <c r="H1579" s="7">
        <v>0.2</v>
      </c>
      <c r="I1579" s="6">
        <v>863.79</v>
      </c>
      <c r="J1579" s="6">
        <v>5182.72</v>
      </c>
      <c r="K1579" t="s">
        <v>3215</v>
      </c>
      <c r="L1579" t="s">
        <v>3216</v>
      </c>
    </row>
    <row r="1580" spans="1:13" ht="15" customHeight="1" x14ac:dyDescent="0.25">
      <c r="A1580">
        <v>1579</v>
      </c>
      <c r="B1580" s="5">
        <v>46013</v>
      </c>
      <c r="C1580" t="s">
        <v>27</v>
      </c>
      <c r="D1580" t="s">
        <v>42</v>
      </c>
      <c r="E1580" t="s">
        <v>43</v>
      </c>
      <c r="F1580" t="s">
        <v>44</v>
      </c>
      <c r="G1580" s="6">
        <v>2220.79</v>
      </c>
      <c r="H1580" s="7">
        <v>0</v>
      </c>
      <c r="I1580" s="6">
        <v>0</v>
      </c>
      <c r="J1580" s="6">
        <v>2220.79</v>
      </c>
      <c r="K1580" t="s">
        <v>3217</v>
      </c>
      <c r="L1580" t="s">
        <v>3218</v>
      </c>
    </row>
    <row r="1581" spans="1:13" ht="15" customHeight="1" x14ac:dyDescent="0.25">
      <c r="A1581">
        <v>1580</v>
      </c>
      <c r="B1581" s="5">
        <v>45999</v>
      </c>
      <c r="C1581" t="s">
        <v>27</v>
      </c>
      <c r="D1581" t="s">
        <v>55</v>
      </c>
      <c r="E1581" t="s">
        <v>56</v>
      </c>
      <c r="F1581" t="s">
        <v>50</v>
      </c>
      <c r="G1581" s="6">
        <v>2211.02</v>
      </c>
      <c r="H1581" s="7">
        <v>5.5E-2</v>
      </c>
      <c r="I1581" s="6">
        <v>121.61</v>
      </c>
      <c r="J1581" s="6">
        <v>2332.63</v>
      </c>
      <c r="K1581" t="s">
        <v>3219</v>
      </c>
      <c r="L1581" t="s">
        <v>3220</v>
      </c>
    </row>
    <row r="1582" spans="1:13" ht="15" customHeight="1" x14ac:dyDescent="0.25">
      <c r="A1582">
        <v>1581</v>
      </c>
      <c r="B1582" s="5">
        <v>45887</v>
      </c>
      <c r="C1582" t="s">
        <v>27</v>
      </c>
      <c r="D1582" t="s">
        <v>100</v>
      </c>
      <c r="E1582" t="s">
        <v>101</v>
      </c>
      <c r="F1582" t="s">
        <v>44</v>
      </c>
      <c r="G1582" s="6">
        <v>3337.42</v>
      </c>
      <c r="H1582" s="7">
        <v>0</v>
      </c>
      <c r="I1582" s="6">
        <v>0</v>
      </c>
      <c r="J1582" s="6">
        <v>3337.42</v>
      </c>
      <c r="K1582" t="s">
        <v>3221</v>
      </c>
      <c r="L1582" t="s">
        <v>3222</v>
      </c>
    </row>
    <row r="1583" spans="1:13" ht="15" customHeight="1" x14ac:dyDescent="0.25">
      <c r="A1583">
        <v>1582</v>
      </c>
      <c r="B1583" s="5">
        <v>45664</v>
      </c>
      <c r="C1583" t="s">
        <v>27</v>
      </c>
      <c r="D1583" t="s">
        <v>172</v>
      </c>
      <c r="E1583" t="s">
        <v>173</v>
      </c>
      <c r="F1583" t="s">
        <v>84</v>
      </c>
      <c r="G1583" s="6">
        <v>1108.1199999999999</v>
      </c>
      <c r="H1583" s="7">
        <v>0.2</v>
      </c>
      <c r="I1583" s="6">
        <v>221.62</v>
      </c>
      <c r="J1583" s="6">
        <v>1329.74</v>
      </c>
      <c r="K1583" t="s">
        <v>3223</v>
      </c>
      <c r="L1583" t="s">
        <v>3224</v>
      </c>
    </row>
    <row r="1584" spans="1:13" ht="15" customHeight="1" x14ac:dyDescent="0.25">
      <c r="A1584">
        <v>1583</v>
      </c>
      <c r="B1584" s="5">
        <v>45877</v>
      </c>
      <c r="C1584" t="s">
        <v>33</v>
      </c>
      <c r="D1584" t="s">
        <v>55</v>
      </c>
      <c r="E1584" t="s">
        <v>56</v>
      </c>
      <c r="F1584" t="s">
        <v>84</v>
      </c>
      <c r="G1584" s="6">
        <v>3427.03</v>
      </c>
      <c r="H1584" s="7">
        <v>5.5E-2</v>
      </c>
      <c r="I1584" s="6">
        <v>188.49</v>
      </c>
      <c r="J1584" s="6">
        <v>3615.52</v>
      </c>
      <c r="K1584" t="s">
        <v>3225</v>
      </c>
      <c r="L1584" t="s">
        <v>3226</v>
      </c>
    </row>
    <row r="1585" spans="1:12" ht="15" customHeight="1" x14ac:dyDescent="0.25">
      <c r="A1585">
        <v>1584</v>
      </c>
      <c r="B1585" s="5">
        <v>45761</v>
      </c>
      <c r="C1585" t="s">
        <v>33</v>
      </c>
      <c r="D1585" t="s">
        <v>28</v>
      </c>
      <c r="E1585" t="s">
        <v>29</v>
      </c>
      <c r="F1585" t="s">
        <v>71</v>
      </c>
      <c r="G1585" s="6">
        <v>750.38</v>
      </c>
      <c r="H1585" s="7">
        <v>2.1000000000000001E-2</v>
      </c>
      <c r="I1585" s="6">
        <v>15.76</v>
      </c>
      <c r="J1585" s="6">
        <v>766.14</v>
      </c>
      <c r="K1585" t="s">
        <v>3227</v>
      </c>
      <c r="L1585" t="s">
        <v>3228</v>
      </c>
    </row>
    <row r="1586" spans="1:12" ht="15" customHeight="1" x14ac:dyDescent="0.25">
      <c r="A1586">
        <v>1585</v>
      </c>
      <c r="B1586" s="5">
        <v>45964</v>
      </c>
      <c r="C1586" t="s">
        <v>33</v>
      </c>
      <c r="D1586" t="s">
        <v>55</v>
      </c>
      <c r="E1586" t="s">
        <v>56</v>
      </c>
      <c r="F1586" t="s">
        <v>76</v>
      </c>
      <c r="G1586" s="6">
        <v>4449.3999999999996</v>
      </c>
      <c r="H1586" s="7">
        <v>5.5E-2</v>
      </c>
      <c r="I1586" s="6">
        <v>244.72</v>
      </c>
      <c r="J1586" s="6">
        <v>4694.12</v>
      </c>
      <c r="K1586" t="s">
        <v>3229</v>
      </c>
      <c r="L1586" t="s">
        <v>3230</v>
      </c>
    </row>
    <row r="1587" spans="1:12" ht="15" customHeight="1" x14ac:dyDescent="0.25">
      <c r="A1587">
        <v>1586</v>
      </c>
      <c r="B1587" s="5">
        <v>45820</v>
      </c>
      <c r="C1587" t="s">
        <v>47</v>
      </c>
      <c r="D1587" t="s">
        <v>28</v>
      </c>
      <c r="E1587" t="s">
        <v>29</v>
      </c>
      <c r="F1587" t="s">
        <v>39</v>
      </c>
      <c r="G1587" s="6">
        <v>2924.72</v>
      </c>
      <c r="H1587" s="7">
        <v>2.1000000000000001E-2</v>
      </c>
      <c r="I1587" s="6">
        <v>61.42</v>
      </c>
      <c r="J1587" s="6">
        <v>2986.14</v>
      </c>
      <c r="K1587" t="s">
        <v>3231</v>
      </c>
      <c r="L1587" t="s">
        <v>3232</v>
      </c>
    </row>
    <row r="1588" spans="1:12" ht="15" customHeight="1" x14ac:dyDescent="0.25">
      <c r="A1588">
        <v>1587</v>
      </c>
      <c r="B1588" s="5">
        <v>45805</v>
      </c>
      <c r="C1588" t="s">
        <v>47</v>
      </c>
      <c r="D1588" t="s">
        <v>181</v>
      </c>
      <c r="E1588" t="s">
        <v>182</v>
      </c>
      <c r="F1588" t="s">
        <v>71</v>
      </c>
      <c r="G1588" s="6">
        <v>3397.44</v>
      </c>
      <c r="H1588" s="7">
        <v>0.2</v>
      </c>
      <c r="I1588" s="6">
        <v>679.49</v>
      </c>
      <c r="J1588" s="6">
        <v>4076.93</v>
      </c>
      <c r="K1588" t="s">
        <v>3233</v>
      </c>
      <c r="L1588" t="s">
        <v>3234</v>
      </c>
    </row>
    <row r="1589" spans="1:12" ht="15" customHeight="1" x14ac:dyDescent="0.25">
      <c r="A1589">
        <v>1588</v>
      </c>
      <c r="B1589" s="5">
        <v>45782</v>
      </c>
      <c r="C1589" t="s">
        <v>27</v>
      </c>
      <c r="D1589" t="s">
        <v>55</v>
      </c>
      <c r="E1589" t="s">
        <v>56</v>
      </c>
      <c r="F1589" t="s">
        <v>39</v>
      </c>
      <c r="G1589" s="6">
        <v>989.71</v>
      </c>
      <c r="H1589" s="7">
        <v>5.5E-2</v>
      </c>
      <c r="I1589" s="6">
        <v>54.43</v>
      </c>
      <c r="J1589" s="6">
        <v>1044.1400000000001</v>
      </c>
      <c r="K1589" t="s">
        <v>3235</v>
      </c>
      <c r="L1589" t="s">
        <v>3236</v>
      </c>
    </row>
    <row r="1590" spans="1:12" ht="15" customHeight="1" x14ac:dyDescent="0.25">
      <c r="A1590">
        <v>1589</v>
      </c>
      <c r="B1590" s="5">
        <v>46014</v>
      </c>
      <c r="C1590" t="s">
        <v>33</v>
      </c>
      <c r="D1590" t="s">
        <v>42</v>
      </c>
      <c r="E1590" t="s">
        <v>43</v>
      </c>
      <c r="F1590" t="s">
        <v>44</v>
      </c>
      <c r="G1590" s="6">
        <v>3259.35</v>
      </c>
      <c r="H1590" s="7">
        <v>0</v>
      </c>
      <c r="I1590" s="6">
        <v>0</v>
      </c>
      <c r="J1590" s="6">
        <v>3259.35</v>
      </c>
      <c r="K1590" t="s">
        <v>3237</v>
      </c>
      <c r="L1590" t="s">
        <v>3238</v>
      </c>
    </row>
    <row r="1591" spans="1:12" ht="15" customHeight="1" x14ac:dyDescent="0.25">
      <c r="A1591">
        <v>1590</v>
      </c>
      <c r="B1591" s="5">
        <v>45884</v>
      </c>
      <c r="C1591" t="s">
        <v>27</v>
      </c>
      <c r="D1591" t="s">
        <v>55</v>
      </c>
      <c r="E1591" t="s">
        <v>56</v>
      </c>
      <c r="F1591" t="s">
        <v>87</v>
      </c>
      <c r="G1591" s="6">
        <v>2863.64</v>
      </c>
      <c r="H1591" s="7">
        <v>5.5E-2</v>
      </c>
      <c r="I1591" s="6">
        <v>157.5</v>
      </c>
      <c r="J1591" s="6">
        <v>3021.14</v>
      </c>
      <c r="K1591" t="s">
        <v>3239</v>
      </c>
      <c r="L1591" t="s">
        <v>3240</v>
      </c>
    </row>
    <row r="1592" spans="1:12" ht="15" customHeight="1" x14ac:dyDescent="0.25">
      <c r="A1592">
        <v>1591</v>
      </c>
      <c r="B1592" s="5">
        <v>45684</v>
      </c>
      <c r="C1592" t="s">
        <v>33</v>
      </c>
      <c r="D1592" t="s">
        <v>100</v>
      </c>
      <c r="E1592" t="s">
        <v>101</v>
      </c>
      <c r="F1592" t="s">
        <v>44</v>
      </c>
      <c r="G1592" s="6">
        <v>2139.6799999999998</v>
      </c>
      <c r="H1592" s="7">
        <v>0</v>
      </c>
      <c r="I1592" s="6">
        <v>0</v>
      </c>
      <c r="J1592" s="6">
        <v>2139.6799999999998</v>
      </c>
      <c r="K1592" t="s">
        <v>3241</v>
      </c>
      <c r="L1592" t="s">
        <v>3242</v>
      </c>
    </row>
    <row r="1593" spans="1:12" ht="15" customHeight="1" x14ac:dyDescent="0.25">
      <c r="A1593">
        <v>1592</v>
      </c>
      <c r="B1593" s="5">
        <v>45961</v>
      </c>
      <c r="C1593" t="s">
        <v>33</v>
      </c>
      <c r="D1593" t="s">
        <v>28</v>
      </c>
      <c r="E1593" t="s">
        <v>29</v>
      </c>
      <c r="F1593" t="s">
        <v>71</v>
      </c>
      <c r="G1593" s="6">
        <v>2505.9</v>
      </c>
      <c r="H1593" s="7">
        <v>2.1000000000000001E-2</v>
      </c>
      <c r="I1593" s="6">
        <v>52.62</v>
      </c>
      <c r="J1593" s="6">
        <v>2558.52</v>
      </c>
      <c r="K1593" t="s">
        <v>3243</v>
      </c>
      <c r="L1593" t="s">
        <v>3244</v>
      </c>
    </row>
    <row r="1594" spans="1:12" ht="15" customHeight="1" x14ac:dyDescent="0.25">
      <c r="A1594">
        <v>1593</v>
      </c>
      <c r="B1594" s="5">
        <v>45897</v>
      </c>
      <c r="C1594" t="s">
        <v>27</v>
      </c>
      <c r="D1594" t="s">
        <v>28</v>
      </c>
      <c r="E1594" t="s">
        <v>29</v>
      </c>
      <c r="F1594" t="s">
        <v>81</v>
      </c>
      <c r="G1594" s="6">
        <v>1456.67</v>
      </c>
      <c r="H1594" s="7">
        <v>2.1000000000000001E-2</v>
      </c>
      <c r="I1594" s="6">
        <v>30.59</v>
      </c>
      <c r="J1594" s="6">
        <v>1487.26</v>
      </c>
      <c r="K1594" t="s">
        <v>3245</v>
      </c>
      <c r="L1594" t="s">
        <v>3246</v>
      </c>
    </row>
    <row r="1595" spans="1:12" ht="15" customHeight="1" x14ac:dyDescent="0.25">
      <c r="A1595">
        <v>1594</v>
      </c>
      <c r="B1595" s="5">
        <v>45968</v>
      </c>
      <c r="C1595" t="s">
        <v>33</v>
      </c>
      <c r="D1595" t="s">
        <v>63</v>
      </c>
      <c r="E1595" t="s">
        <v>64</v>
      </c>
      <c r="F1595" t="s">
        <v>174</v>
      </c>
      <c r="G1595" s="6">
        <v>1180.44</v>
      </c>
      <c r="H1595" s="7">
        <v>0.2</v>
      </c>
      <c r="I1595" s="6">
        <v>236.09</v>
      </c>
      <c r="J1595" s="6">
        <v>1416.53</v>
      </c>
      <c r="K1595" t="s">
        <v>3247</v>
      </c>
      <c r="L1595" t="s">
        <v>3248</v>
      </c>
    </row>
    <row r="1596" spans="1:12" ht="15" customHeight="1" x14ac:dyDescent="0.25">
      <c r="A1596">
        <v>1595</v>
      </c>
      <c r="B1596" s="5">
        <v>45761</v>
      </c>
      <c r="C1596" t="s">
        <v>47</v>
      </c>
      <c r="D1596" t="s">
        <v>94</v>
      </c>
      <c r="E1596" t="s">
        <v>95</v>
      </c>
      <c r="F1596" t="s">
        <v>44</v>
      </c>
      <c r="G1596" s="6">
        <v>2453.2199999999998</v>
      </c>
      <c r="H1596" s="7">
        <v>0</v>
      </c>
      <c r="I1596" s="6">
        <v>0</v>
      </c>
      <c r="J1596" s="6">
        <v>2453.2199999999998</v>
      </c>
      <c r="K1596" t="s">
        <v>3249</v>
      </c>
      <c r="L1596" t="s">
        <v>3250</v>
      </c>
    </row>
    <row r="1597" spans="1:12" ht="15" customHeight="1" x14ac:dyDescent="0.25">
      <c r="A1597">
        <v>1596</v>
      </c>
      <c r="B1597" s="5">
        <v>45743</v>
      </c>
      <c r="C1597" t="s">
        <v>47</v>
      </c>
      <c r="D1597" t="s">
        <v>63</v>
      </c>
      <c r="E1597" t="s">
        <v>64</v>
      </c>
      <c r="F1597" t="s">
        <v>36</v>
      </c>
      <c r="G1597" s="6">
        <v>2160.5500000000002</v>
      </c>
      <c r="H1597" s="7">
        <v>0.2</v>
      </c>
      <c r="I1597" s="6">
        <v>432.11</v>
      </c>
      <c r="J1597" s="6">
        <v>2592.66</v>
      </c>
      <c r="K1597" t="s">
        <v>3251</v>
      </c>
      <c r="L1597" t="s">
        <v>3252</v>
      </c>
    </row>
    <row r="1598" spans="1:12" ht="15" customHeight="1" x14ac:dyDescent="0.25">
      <c r="A1598">
        <v>1597</v>
      </c>
      <c r="B1598" s="5">
        <v>45737</v>
      </c>
      <c r="C1598" t="s">
        <v>27</v>
      </c>
      <c r="D1598" t="s">
        <v>42</v>
      </c>
      <c r="E1598" t="s">
        <v>43</v>
      </c>
      <c r="F1598" t="s">
        <v>44</v>
      </c>
      <c r="G1598" s="6">
        <v>3704.54</v>
      </c>
      <c r="H1598" s="7">
        <v>0</v>
      </c>
      <c r="I1598" s="6">
        <v>0</v>
      </c>
      <c r="J1598" s="6">
        <v>3704.54</v>
      </c>
      <c r="K1598" t="s">
        <v>3253</v>
      </c>
      <c r="L1598" t="s">
        <v>3254</v>
      </c>
    </row>
    <row r="1599" spans="1:12" ht="15" customHeight="1" x14ac:dyDescent="0.25">
      <c r="A1599">
        <v>1598</v>
      </c>
      <c r="B1599" s="5">
        <v>45700</v>
      </c>
      <c r="C1599" t="s">
        <v>47</v>
      </c>
      <c r="D1599" t="s">
        <v>63</v>
      </c>
      <c r="E1599" t="s">
        <v>64</v>
      </c>
      <c r="F1599" t="s">
        <v>174</v>
      </c>
      <c r="G1599" s="6">
        <v>3434.15</v>
      </c>
      <c r="H1599" s="7">
        <v>0.2</v>
      </c>
      <c r="I1599" s="6">
        <v>686.83</v>
      </c>
      <c r="J1599" s="6">
        <v>4120.9799999999996</v>
      </c>
      <c r="K1599" t="s">
        <v>3255</v>
      </c>
      <c r="L1599" t="s">
        <v>3256</v>
      </c>
    </row>
    <row r="1600" spans="1:12" ht="15" customHeight="1" x14ac:dyDescent="0.25">
      <c r="A1600">
        <v>1599</v>
      </c>
      <c r="B1600" s="5">
        <v>45747</v>
      </c>
      <c r="C1600" t="s">
        <v>27</v>
      </c>
      <c r="D1600" t="s">
        <v>28</v>
      </c>
      <c r="E1600" t="s">
        <v>29</v>
      </c>
      <c r="F1600" t="s">
        <v>76</v>
      </c>
      <c r="G1600" s="6">
        <v>1217.23</v>
      </c>
      <c r="H1600" s="7">
        <v>2.1000000000000001E-2</v>
      </c>
      <c r="I1600" s="6">
        <v>25.56</v>
      </c>
      <c r="J1600" s="6">
        <v>1242.79</v>
      </c>
      <c r="K1600" t="s">
        <v>3257</v>
      </c>
      <c r="L1600" t="s">
        <v>3258</v>
      </c>
    </row>
    <row r="1601" spans="1:12" ht="15" customHeight="1" x14ac:dyDescent="0.25">
      <c r="A1601">
        <v>1600</v>
      </c>
      <c r="B1601" s="5">
        <v>45945</v>
      </c>
      <c r="C1601" t="s">
        <v>47</v>
      </c>
      <c r="D1601" t="s">
        <v>55</v>
      </c>
      <c r="E1601" t="s">
        <v>56</v>
      </c>
      <c r="F1601" t="s">
        <v>87</v>
      </c>
      <c r="G1601" s="6">
        <v>2758.63</v>
      </c>
      <c r="H1601" s="7">
        <v>5.5E-2</v>
      </c>
      <c r="I1601" s="6">
        <v>151.72</v>
      </c>
      <c r="J1601" s="6">
        <v>2910.35</v>
      </c>
      <c r="K1601" t="s">
        <v>3259</v>
      </c>
      <c r="L1601" t="s">
        <v>3260</v>
      </c>
    </row>
    <row r="1602" spans="1:12" ht="15" customHeight="1" x14ac:dyDescent="0.25">
      <c r="A1602">
        <v>1601</v>
      </c>
      <c r="B1602" s="5">
        <v>45758</v>
      </c>
      <c r="C1602" t="s">
        <v>33</v>
      </c>
      <c r="D1602" t="s">
        <v>42</v>
      </c>
      <c r="E1602" t="s">
        <v>43</v>
      </c>
      <c r="F1602" t="s">
        <v>44</v>
      </c>
      <c r="G1602" s="6">
        <v>2255.1</v>
      </c>
      <c r="H1602" s="7">
        <v>0</v>
      </c>
      <c r="I1602" s="6">
        <v>0</v>
      </c>
      <c r="J1602" s="6">
        <v>2255.1</v>
      </c>
      <c r="K1602" t="s">
        <v>3261</v>
      </c>
      <c r="L1602" t="s">
        <v>3262</v>
      </c>
    </row>
    <row r="1603" spans="1:12" ht="15" customHeight="1" x14ac:dyDescent="0.25">
      <c r="A1603">
        <v>1602</v>
      </c>
      <c r="B1603" s="5">
        <v>45849</v>
      </c>
      <c r="C1603" t="s">
        <v>27</v>
      </c>
      <c r="D1603" t="s">
        <v>42</v>
      </c>
      <c r="E1603" t="s">
        <v>43</v>
      </c>
      <c r="F1603" t="s">
        <v>44</v>
      </c>
      <c r="G1603" s="6">
        <v>4021.66</v>
      </c>
      <c r="H1603" s="7">
        <v>0</v>
      </c>
      <c r="I1603" s="6">
        <v>0</v>
      </c>
      <c r="J1603" s="6">
        <v>4021.66</v>
      </c>
      <c r="K1603" t="s">
        <v>3263</v>
      </c>
      <c r="L1603" t="s">
        <v>3264</v>
      </c>
    </row>
    <row r="1604" spans="1:12" ht="15" customHeight="1" x14ac:dyDescent="0.25">
      <c r="A1604">
        <v>1603</v>
      </c>
      <c r="B1604" s="5">
        <v>45908</v>
      </c>
      <c r="C1604" t="s">
        <v>27</v>
      </c>
      <c r="D1604" t="s">
        <v>63</v>
      </c>
      <c r="E1604" t="s">
        <v>64</v>
      </c>
      <c r="F1604" t="s">
        <v>84</v>
      </c>
      <c r="G1604" s="6">
        <v>1440.52</v>
      </c>
      <c r="H1604" s="7">
        <v>0.2</v>
      </c>
      <c r="I1604" s="6">
        <v>288.10000000000002</v>
      </c>
      <c r="J1604" s="6">
        <v>1728.62</v>
      </c>
      <c r="K1604" t="s">
        <v>3265</v>
      </c>
      <c r="L1604" t="s">
        <v>3266</v>
      </c>
    </row>
    <row r="1605" spans="1:12" ht="15" customHeight="1" x14ac:dyDescent="0.25">
      <c r="A1605">
        <v>1604</v>
      </c>
      <c r="B1605" s="5">
        <v>45721</v>
      </c>
      <c r="C1605" t="s">
        <v>47</v>
      </c>
      <c r="D1605" t="s">
        <v>100</v>
      </c>
      <c r="E1605" t="s">
        <v>101</v>
      </c>
      <c r="F1605" t="s">
        <v>44</v>
      </c>
      <c r="G1605" s="6">
        <v>3157.46</v>
      </c>
      <c r="H1605" s="7">
        <v>0</v>
      </c>
      <c r="I1605" s="6">
        <v>0</v>
      </c>
      <c r="J1605" s="6">
        <v>3157.46</v>
      </c>
      <c r="K1605" t="s">
        <v>3267</v>
      </c>
      <c r="L1605" t="s">
        <v>3268</v>
      </c>
    </row>
    <row r="1606" spans="1:12" ht="15" customHeight="1" x14ac:dyDescent="0.25">
      <c r="A1606">
        <v>1605</v>
      </c>
      <c r="B1606" s="5">
        <v>45918</v>
      </c>
      <c r="C1606" t="s">
        <v>47</v>
      </c>
      <c r="D1606" t="s">
        <v>100</v>
      </c>
      <c r="E1606" t="s">
        <v>101</v>
      </c>
      <c r="F1606" t="s">
        <v>44</v>
      </c>
      <c r="G1606" s="6">
        <v>3323.95</v>
      </c>
      <c r="H1606" s="7">
        <v>0</v>
      </c>
      <c r="I1606" s="6">
        <v>0</v>
      </c>
      <c r="J1606" s="6">
        <v>3323.95</v>
      </c>
      <c r="K1606" t="s">
        <v>3269</v>
      </c>
      <c r="L1606" t="s">
        <v>3270</v>
      </c>
    </row>
    <row r="1607" spans="1:12" ht="15" customHeight="1" x14ac:dyDescent="0.25">
      <c r="A1607">
        <v>1606</v>
      </c>
      <c r="B1607" s="5">
        <v>45855</v>
      </c>
      <c r="C1607" t="s">
        <v>27</v>
      </c>
      <c r="D1607" t="s">
        <v>28</v>
      </c>
      <c r="E1607" t="s">
        <v>29</v>
      </c>
      <c r="F1607" t="s">
        <v>81</v>
      </c>
      <c r="G1607" s="6">
        <v>4175.21</v>
      </c>
      <c r="H1607" s="7">
        <v>2.1000000000000001E-2</v>
      </c>
      <c r="I1607" s="6">
        <v>87.68</v>
      </c>
      <c r="J1607" s="6">
        <v>4262.8900000000003</v>
      </c>
      <c r="K1607" t="s">
        <v>3271</v>
      </c>
      <c r="L1607" t="s">
        <v>3272</v>
      </c>
    </row>
    <row r="1608" spans="1:12" ht="15" customHeight="1" x14ac:dyDescent="0.25">
      <c r="A1608">
        <v>1607</v>
      </c>
      <c r="B1608" s="5">
        <v>45981</v>
      </c>
      <c r="C1608" t="s">
        <v>33</v>
      </c>
      <c r="D1608" t="s">
        <v>79</v>
      </c>
      <c r="E1608" t="s">
        <v>80</v>
      </c>
      <c r="F1608" t="s">
        <v>39</v>
      </c>
      <c r="G1608" s="6">
        <v>3202.99</v>
      </c>
      <c r="H1608" s="7">
        <v>0.2</v>
      </c>
      <c r="I1608" s="6">
        <v>640.6</v>
      </c>
      <c r="J1608" s="6">
        <v>3843.59</v>
      </c>
      <c r="K1608" t="s">
        <v>3273</v>
      </c>
      <c r="L1608" t="s">
        <v>3274</v>
      </c>
    </row>
    <row r="1609" spans="1:12" ht="15" customHeight="1" x14ac:dyDescent="0.25">
      <c r="A1609">
        <v>1608</v>
      </c>
      <c r="B1609" s="5">
        <v>45791</v>
      </c>
      <c r="C1609" t="s">
        <v>27</v>
      </c>
      <c r="D1609" t="s">
        <v>181</v>
      </c>
      <c r="E1609" t="s">
        <v>182</v>
      </c>
      <c r="F1609" t="s">
        <v>120</v>
      </c>
      <c r="G1609" s="6">
        <v>2756.03</v>
      </c>
      <c r="H1609" s="7">
        <v>0.2</v>
      </c>
      <c r="I1609" s="6">
        <v>551.21</v>
      </c>
      <c r="J1609" s="6">
        <v>3307.24</v>
      </c>
      <c r="K1609" t="s">
        <v>3275</v>
      </c>
      <c r="L1609" t="s">
        <v>3276</v>
      </c>
    </row>
    <row r="1610" spans="1:12" ht="15" customHeight="1" x14ac:dyDescent="0.25">
      <c r="A1610">
        <v>1609</v>
      </c>
      <c r="B1610" s="5">
        <v>45954</v>
      </c>
      <c r="C1610" t="s">
        <v>47</v>
      </c>
      <c r="D1610" t="s">
        <v>55</v>
      </c>
      <c r="E1610" t="s">
        <v>56</v>
      </c>
      <c r="F1610" t="s">
        <v>30</v>
      </c>
      <c r="G1610" s="6">
        <v>4286.8599999999997</v>
      </c>
      <c r="H1610" s="7">
        <v>5.5E-2</v>
      </c>
      <c r="I1610" s="6">
        <v>235.78</v>
      </c>
      <c r="J1610" s="6">
        <v>4522.6400000000003</v>
      </c>
      <c r="K1610" t="s">
        <v>3277</v>
      </c>
      <c r="L1610" t="s">
        <v>3278</v>
      </c>
    </row>
    <row r="1611" spans="1:12" ht="15" customHeight="1" x14ac:dyDescent="0.25">
      <c r="A1611">
        <v>1610</v>
      </c>
      <c r="B1611" s="5">
        <v>45987</v>
      </c>
      <c r="C1611" t="s">
        <v>33</v>
      </c>
      <c r="D1611" t="s">
        <v>42</v>
      </c>
      <c r="E1611" t="s">
        <v>43</v>
      </c>
      <c r="F1611" t="s">
        <v>44</v>
      </c>
      <c r="G1611" s="6">
        <v>2722.43</v>
      </c>
      <c r="H1611" s="7">
        <v>0</v>
      </c>
      <c r="I1611" s="6">
        <v>0</v>
      </c>
      <c r="J1611" s="6">
        <v>2722.43</v>
      </c>
      <c r="K1611" t="s">
        <v>3279</v>
      </c>
      <c r="L1611" t="s">
        <v>3280</v>
      </c>
    </row>
    <row r="1612" spans="1:12" ht="15" customHeight="1" x14ac:dyDescent="0.25">
      <c r="A1612">
        <v>1611</v>
      </c>
      <c r="B1612" s="5">
        <v>45699</v>
      </c>
      <c r="C1612" t="s">
        <v>27</v>
      </c>
      <c r="D1612" t="s">
        <v>94</v>
      </c>
      <c r="E1612" t="s">
        <v>95</v>
      </c>
      <c r="F1612" t="s">
        <v>44</v>
      </c>
      <c r="G1612" s="6">
        <v>972.06</v>
      </c>
      <c r="H1612" s="7">
        <v>0</v>
      </c>
      <c r="I1612" s="6">
        <v>0</v>
      </c>
      <c r="J1612" s="6">
        <v>972.06</v>
      </c>
      <c r="K1612" t="s">
        <v>3281</v>
      </c>
      <c r="L1612" t="s">
        <v>3282</v>
      </c>
    </row>
    <row r="1613" spans="1:12" ht="15" customHeight="1" x14ac:dyDescent="0.25">
      <c r="A1613">
        <v>1612</v>
      </c>
      <c r="B1613" s="5">
        <v>45812</v>
      </c>
      <c r="C1613" t="s">
        <v>33</v>
      </c>
      <c r="D1613" t="s">
        <v>42</v>
      </c>
      <c r="E1613" t="s">
        <v>43</v>
      </c>
      <c r="F1613" t="s">
        <v>44</v>
      </c>
      <c r="G1613" s="6">
        <v>3079.68</v>
      </c>
      <c r="H1613" s="7">
        <v>0</v>
      </c>
      <c r="I1613" s="6">
        <v>0</v>
      </c>
      <c r="J1613" s="6">
        <v>3079.68</v>
      </c>
      <c r="K1613" t="s">
        <v>3283</v>
      </c>
      <c r="L1613" t="s">
        <v>3284</v>
      </c>
    </row>
    <row r="1614" spans="1:12" ht="15" customHeight="1" x14ac:dyDescent="0.25">
      <c r="A1614">
        <v>1613</v>
      </c>
      <c r="B1614" s="5">
        <v>45868</v>
      </c>
      <c r="C1614" t="s">
        <v>27</v>
      </c>
      <c r="D1614" t="s">
        <v>55</v>
      </c>
      <c r="E1614" t="s">
        <v>56</v>
      </c>
      <c r="F1614" t="s">
        <v>81</v>
      </c>
      <c r="G1614" s="6">
        <v>3405.88</v>
      </c>
      <c r="H1614" s="7">
        <v>5.5E-2</v>
      </c>
      <c r="I1614" s="6">
        <v>187.32</v>
      </c>
      <c r="J1614" s="6">
        <v>3593.2</v>
      </c>
      <c r="K1614" t="s">
        <v>3285</v>
      </c>
      <c r="L1614" t="s">
        <v>3286</v>
      </c>
    </row>
    <row r="1615" spans="1:12" ht="15" customHeight="1" x14ac:dyDescent="0.25">
      <c r="A1615">
        <v>1614</v>
      </c>
      <c r="B1615" s="5">
        <v>45834</v>
      </c>
      <c r="C1615" t="s">
        <v>33</v>
      </c>
      <c r="D1615" t="s">
        <v>181</v>
      </c>
      <c r="E1615" t="s">
        <v>182</v>
      </c>
      <c r="F1615" t="s">
        <v>174</v>
      </c>
      <c r="G1615" s="6">
        <v>3678.89</v>
      </c>
      <c r="H1615" s="7">
        <v>0.2</v>
      </c>
      <c r="I1615" s="6">
        <v>735.78</v>
      </c>
      <c r="J1615" s="6">
        <v>4414.67</v>
      </c>
      <c r="K1615" t="s">
        <v>3287</v>
      </c>
      <c r="L1615" t="s">
        <v>3288</v>
      </c>
    </row>
    <row r="1616" spans="1:12" ht="15" customHeight="1" x14ac:dyDescent="0.25">
      <c r="A1616">
        <v>1615</v>
      </c>
      <c r="B1616" s="5">
        <v>45861</v>
      </c>
      <c r="C1616" t="s">
        <v>33</v>
      </c>
      <c r="D1616" t="s">
        <v>100</v>
      </c>
      <c r="E1616" t="s">
        <v>101</v>
      </c>
      <c r="F1616" t="s">
        <v>44</v>
      </c>
      <c r="G1616" s="6">
        <v>1815.41</v>
      </c>
      <c r="H1616" s="7">
        <v>0</v>
      </c>
      <c r="I1616" s="6">
        <v>0</v>
      </c>
      <c r="J1616" s="6">
        <v>1815.41</v>
      </c>
      <c r="K1616" t="s">
        <v>3289</v>
      </c>
      <c r="L1616" t="s">
        <v>3290</v>
      </c>
    </row>
    <row r="1617" spans="1:13" ht="15" customHeight="1" x14ac:dyDescent="0.25">
      <c r="A1617">
        <v>1616</v>
      </c>
      <c r="B1617" s="5">
        <v>45693</v>
      </c>
      <c r="C1617" t="s">
        <v>47</v>
      </c>
      <c r="D1617" t="s">
        <v>28</v>
      </c>
      <c r="E1617" t="s">
        <v>29</v>
      </c>
      <c r="F1617" t="s">
        <v>36</v>
      </c>
      <c r="G1617" s="6">
        <v>3499.95</v>
      </c>
      <c r="H1617" s="7">
        <v>2.1000000000000001E-2</v>
      </c>
      <c r="I1617" s="6">
        <v>73.5</v>
      </c>
      <c r="J1617" s="6">
        <v>3573.45</v>
      </c>
      <c r="K1617" t="s">
        <v>3291</v>
      </c>
      <c r="L1617" t="s">
        <v>3292</v>
      </c>
    </row>
    <row r="1618" spans="1:13" ht="15" customHeight="1" x14ac:dyDescent="0.25">
      <c r="A1618">
        <v>1617</v>
      </c>
      <c r="B1618" s="5">
        <v>45748</v>
      </c>
      <c r="C1618" t="s">
        <v>47</v>
      </c>
      <c r="D1618" t="s">
        <v>34</v>
      </c>
      <c r="E1618" t="s">
        <v>35</v>
      </c>
      <c r="F1618" t="s">
        <v>81</v>
      </c>
      <c r="G1618" s="6">
        <v>1735.96</v>
      </c>
      <c r="H1618" s="7">
        <v>0.2</v>
      </c>
      <c r="I1618" s="6">
        <v>347.19</v>
      </c>
      <c r="J1618" s="6">
        <v>2083.15</v>
      </c>
      <c r="K1618" t="s">
        <v>3293</v>
      </c>
      <c r="L1618" t="s">
        <v>3294</v>
      </c>
    </row>
    <row r="1619" spans="1:13" ht="15" customHeight="1" x14ac:dyDescent="0.25">
      <c r="A1619">
        <v>1618</v>
      </c>
      <c r="B1619" s="5">
        <v>45915</v>
      </c>
      <c r="C1619" t="s">
        <v>33</v>
      </c>
      <c r="D1619" t="s">
        <v>79</v>
      </c>
      <c r="E1619" t="s">
        <v>80</v>
      </c>
      <c r="F1619" t="s">
        <v>76</v>
      </c>
      <c r="G1619" s="6">
        <v>4272.3</v>
      </c>
      <c r="H1619" s="7">
        <v>0.2</v>
      </c>
      <c r="I1619" s="6">
        <v>854.46</v>
      </c>
      <c r="J1619" s="6">
        <v>5126.76</v>
      </c>
      <c r="K1619" t="s">
        <v>3295</v>
      </c>
      <c r="L1619" t="s">
        <v>3296</v>
      </c>
    </row>
    <row r="1620" spans="1:13" ht="15" customHeight="1" x14ac:dyDescent="0.25">
      <c r="A1620">
        <v>1619</v>
      </c>
      <c r="B1620" s="5">
        <v>45688</v>
      </c>
      <c r="C1620" t="s">
        <v>33</v>
      </c>
      <c r="D1620" t="s">
        <v>28</v>
      </c>
      <c r="E1620" t="s">
        <v>29</v>
      </c>
      <c r="F1620" t="s">
        <v>71</v>
      </c>
      <c r="G1620" s="6">
        <v>3394.63</v>
      </c>
      <c r="H1620" s="7">
        <v>0.33</v>
      </c>
      <c r="I1620" s="6">
        <v>1120.23</v>
      </c>
      <c r="J1620" s="6">
        <v>4514.8599999999997</v>
      </c>
      <c r="K1620" t="s">
        <v>3297</v>
      </c>
      <c r="L1620" t="s">
        <v>3298</v>
      </c>
      <c r="M1620" t="s">
        <v>447</v>
      </c>
    </row>
    <row r="1621" spans="1:13" ht="15" customHeight="1" x14ac:dyDescent="0.25">
      <c r="A1621">
        <v>1620</v>
      </c>
      <c r="B1621" s="5">
        <v>45713</v>
      </c>
      <c r="C1621" t="s">
        <v>47</v>
      </c>
      <c r="D1621" t="s">
        <v>79</v>
      </c>
      <c r="E1621" t="s">
        <v>80</v>
      </c>
      <c r="F1621" t="s">
        <v>30</v>
      </c>
      <c r="G1621" s="6">
        <v>3918.16</v>
      </c>
      <c r="H1621" s="7">
        <v>0.2</v>
      </c>
      <c r="I1621" s="6">
        <v>783.63</v>
      </c>
      <c r="J1621" s="6">
        <v>4701.79</v>
      </c>
      <c r="K1621" t="s">
        <v>3299</v>
      </c>
      <c r="L1621" t="s">
        <v>3300</v>
      </c>
    </row>
    <row r="1622" spans="1:13" ht="15" customHeight="1" x14ac:dyDescent="0.25">
      <c r="A1622">
        <v>1621</v>
      </c>
      <c r="B1622" s="5">
        <v>45721</v>
      </c>
      <c r="C1622" t="s">
        <v>47</v>
      </c>
      <c r="D1622" t="s">
        <v>28</v>
      </c>
      <c r="E1622" t="s">
        <v>29</v>
      </c>
      <c r="F1622" t="s">
        <v>50</v>
      </c>
      <c r="G1622" s="6">
        <v>1303.29</v>
      </c>
      <c r="H1622" s="7">
        <v>2.1000000000000001E-2</v>
      </c>
      <c r="I1622" s="6">
        <v>27.37</v>
      </c>
      <c r="J1622" s="6">
        <v>1330.66</v>
      </c>
      <c r="K1622" t="s">
        <v>3301</v>
      </c>
      <c r="L1622" t="s">
        <v>3302</v>
      </c>
    </row>
    <row r="1623" spans="1:13" ht="15" customHeight="1" x14ac:dyDescent="0.25">
      <c r="A1623">
        <v>1622</v>
      </c>
      <c r="B1623" s="5">
        <v>46002</v>
      </c>
      <c r="C1623" t="s">
        <v>27</v>
      </c>
      <c r="D1623" t="s">
        <v>55</v>
      </c>
      <c r="E1623" t="s">
        <v>56</v>
      </c>
      <c r="F1623" t="s">
        <v>39</v>
      </c>
      <c r="G1623" s="6">
        <v>3441.56</v>
      </c>
      <c r="H1623" s="7">
        <v>5.5E-2</v>
      </c>
      <c r="I1623" s="6">
        <v>189.29</v>
      </c>
      <c r="J1623" s="6">
        <v>3630.85</v>
      </c>
      <c r="K1623" t="s">
        <v>3303</v>
      </c>
      <c r="L1623" t="s">
        <v>3304</v>
      </c>
      <c r="M1623" t="s">
        <v>286</v>
      </c>
    </row>
    <row r="1624" spans="1:13" ht="15" customHeight="1" x14ac:dyDescent="0.25">
      <c r="A1624">
        <v>1623</v>
      </c>
      <c r="B1624" s="5">
        <v>45679</v>
      </c>
      <c r="C1624" t="s">
        <v>47</v>
      </c>
      <c r="D1624" t="s">
        <v>42</v>
      </c>
      <c r="E1624" t="s">
        <v>43</v>
      </c>
      <c r="F1624" t="s">
        <v>44</v>
      </c>
      <c r="G1624" s="6">
        <v>3053.6</v>
      </c>
      <c r="H1624" s="7">
        <v>0</v>
      </c>
      <c r="I1624" s="6">
        <v>0</v>
      </c>
      <c r="J1624" s="6">
        <v>3053.6</v>
      </c>
      <c r="K1624" t="s">
        <v>3305</v>
      </c>
      <c r="L1624" t="s">
        <v>3306</v>
      </c>
    </row>
    <row r="1625" spans="1:13" ht="15" customHeight="1" x14ac:dyDescent="0.25">
      <c r="A1625">
        <v>1624</v>
      </c>
      <c r="B1625" s="5">
        <v>45967</v>
      </c>
      <c r="C1625" t="s">
        <v>47</v>
      </c>
      <c r="D1625" t="s">
        <v>172</v>
      </c>
      <c r="E1625" t="s">
        <v>173</v>
      </c>
      <c r="F1625" t="s">
        <v>50</v>
      </c>
      <c r="G1625" s="6">
        <v>1978.19</v>
      </c>
      <c r="H1625" s="7">
        <v>0.2</v>
      </c>
      <c r="I1625" s="6">
        <v>395.64</v>
      </c>
      <c r="J1625" s="6">
        <v>2373.83</v>
      </c>
      <c r="K1625" t="s">
        <v>3307</v>
      </c>
      <c r="L1625" t="s">
        <v>3308</v>
      </c>
    </row>
    <row r="1626" spans="1:13" ht="15" customHeight="1" x14ac:dyDescent="0.25">
      <c r="A1626">
        <v>1625</v>
      </c>
      <c r="B1626" s="5">
        <v>45842</v>
      </c>
      <c r="C1626" t="s">
        <v>47</v>
      </c>
      <c r="D1626" t="s">
        <v>94</v>
      </c>
      <c r="E1626" t="s">
        <v>95</v>
      </c>
      <c r="F1626" t="s">
        <v>44</v>
      </c>
      <c r="G1626" s="6">
        <v>1446.09</v>
      </c>
      <c r="H1626" s="7">
        <v>0</v>
      </c>
      <c r="I1626" s="6">
        <v>0</v>
      </c>
      <c r="J1626" s="6">
        <v>1446.09</v>
      </c>
      <c r="K1626" t="s">
        <v>3309</v>
      </c>
      <c r="L1626" t="s">
        <v>3310</v>
      </c>
    </row>
    <row r="1627" spans="1:13" ht="15" customHeight="1" x14ac:dyDescent="0.25">
      <c r="A1627">
        <v>1626</v>
      </c>
      <c r="B1627" s="5">
        <v>45709</v>
      </c>
      <c r="C1627" t="s">
        <v>47</v>
      </c>
      <c r="D1627" t="s">
        <v>100</v>
      </c>
      <c r="E1627" t="s">
        <v>101</v>
      </c>
      <c r="F1627" t="s">
        <v>44</v>
      </c>
      <c r="G1627" s="6">
        <v>3889.3</v>
      </c>
      <c r="H1627" s="7">
        <v>0</v>
      </c>
      <c r="I1627" s="6">
        <v>0</v>
      </c>
      <c r="J1627" s="6">
        <v>3889.3</v>
      </c>
      <c r="K1627" t="s">
        <v>3311</v>
      </c>
      <c r="L1627" t="s">
        <v>3312</v>
      </c>
    </row>
    <row r="1628" spans="1:13" ht="15" customHeight="1" x14ac:dyDescent="0.25">
      <c r="A1628">
        <v>1627</v>
      </c>
      <c r="B1628" s="5">
        <v>45729</v>
      </c>
      <c r="C1628" t="s">
        <v>27</v>
      </c>
      <c r="D1628" t="s">
        <v>42</v>
      </c>
      <c r="E1628" t="s">
        <v>43</v>
      </c>
      <c r="F1628" t="s">
        <v>44</v>
      </c>
      <c r="G1628" s="6">
        <v>2094.9499999999998</v>
      </c>
      <c r="H1628" s="7">
        <v>0</v>
      </c>
      <c r="I1628" s="6">
        <v>0</v>
      </c>
      <c r="J1628" s="6">
        <v>2094.9499999999998</v>
      </c>
      <c r="K1628" t="s">
        <v>3313</v>
      </c>
      <c r="L1628" t="s">
        <v>3314</v>
      </c>
    </row>
    <row r="1629" spans="1:13" ht="15" customHeight="1" x14ac:dyDescent="0.25">
      <c r="A1629">
        <v>1628</v>
      </c>
      <c r="B1629" s="5">
        <v>45785</v>
      </c>
      <c r="C1629" t="s">
        <v>47</v>
      </c>
      <c r="D1629" t="s">
        <v>100</v>
      </c>
      <c r="E1629" t="s">
        <v>101</v>
      </c>
      <c r="F1629" t="s">
        <v>44</v>
      </c>
      <c r="G1629" s="6">
        <v>3284.04</v>
      </c>
      <c r="H1629" s="7">
        <v>0</v>
      </c>
      <c r="I1629" s="6">
        <v>0</v>
      </c>
      <c r="J1629" s="6">
        <v>3284.04</v>
      </c>
      <c r="K1629" t="s">
        <v>3315</v>
      </c>
      <c r="L1629" t="s">
        <v>3316</v>
      </c>
    </row>
    <row r="1630" spans="1:13" ht="15" customHeight="1" x14ac:dyDescent="0.25">
      <c r="A1630">
        <v>1629</v>
      </c>
      <c r="B1630" s="5">
        <v>45996</v>
      </c>
      <c r="C1630" t="s">
        <v>47</v>
      </c>
      <c r="D1630" t="s">
        <v>172</v>
      </c>
      <c r="E1630" t="s">
        <v>173</v>
      </c>
      <c r="F1630" t="s">
        <v>120</v>
      </c>
      <c r="G1630" s="6">
        <v>910.67</v>
      </c>
      <c r="H1630" s="7">
        <v>0.2</v>
      </c>
      <c r="I1630" s="6">
        <v>182.13</v>
      </c>
      <c r="J1630" s="6">
        <v>1092.8</v>
      </c>
      <c r="K1630" t="s">
        <v>3317</v>
      </c>
      <c r="L1630" t="s">
        <v>3318</v>
      </c>
    </row>
    <row r="1631" spans="1:13" ht="15" customHeight="1" x14ac:dyDescent="0.25">
      <c r="A1631">
        <v>1630</v>
      </c>
      <c r="B1631" s="5">
        <v>45842</v>
      </c>
      <c r="C1631" t="s">
        <v>47</v>
      </c>
      <c r="D1631" t="s">
        <v>28</v>
      </c>
      <c r="E1631" t="s">
        <v>29</v>
      </c>
      <c r="F1631" t="s">
        <v>81</v>
      </c>
      <c r="G1631" s="6">
        <v>3940.58</v>
      </c>
      <c r="H1631" s="7">
        <v>2.1000000000000001E-2</v>
      </c>
      <c r="I1631" s="6">
        <v>82.75</v>
      </c>
      <c r="J1631" s="6">
        <v>4023.33</v>
      </c>
      <c r="K1631" t="s">
        <v>3319</v>
      </c>
      <c r="L1631" t="s">
        <v>3320</v>
      </c>
    </row>
    <row r="1632" spans="1:13" ht="15" customHeight="1" x14ac:dyDescent="0.25">
      <c r="A1632">
        <v>1631</v>
      </c>
      <c r="B1632" s="5">
        <v>45968</v>
      </c>
      <c r="C1632" t="s">
        <v>27</v>
      </c>
      <c r="D1632" t="s">
        <v>79</v>
      </c>
      <c r="E1632" t="s">
        <v>80</v>
      </c>
      <c r="F1632" t="s">
        <v>81</v>
      </c>
      <c r="G1632" s="6">
        <v>2221.65</v>
      </c>
      <c r="H1632" s="7">
        <v>0.2</v>
      </c>
      <c r="I1632" s="6">
        <v>444.33</v>
      </c>
      <c r="J1632" s="6">
        <v>2665.98</v>
      </c>
      <c r="K1632" t="s">
        <v>3321</v>
      </c>
      <c r="L1632" t="s">
        <v>3322</v>
      </c>
    </row>
    <row r="1633" spans="1:12" ht="15" customHeight="1" x14ac:dyDescent="0.25">
      <c r="A1633">
        <v>1632</v>
      </c>
      <c r="B1633" s="5">
        <v>45901</v>
      </c>
      <c r="C1633" t="s">
        <v>33</v>
      </c>
      <c r="D1633" t="s">
        <v>55</v>
      </c>
      <c r="E1633" t="s">
        <v>56</v>
      </c>
      <c r="F1633" t="s">
        <v>81</v>
      </c>
      <c r="G1633" s="6">
        <v>4441.97</v>
      </c>
      <c r="H1633" s="7">
        <v>5.5E-2</v>
      </c>
      <c r="I1633" s="6">
        <v>244.31</v>
      </c>
      <c r="J1633" s="6">
        <v>4686.28</v>
      </c>
      <c r="K1633" t="s">
        <v>3323</v>
      </c>
      <c r="L1633" t="s">
        <v>3324</v>
      </c>
    </row>
    <row r="1634" spans="1:12" ht="15" customHeight="1" x14ac:dyDescent="0.25">
      <c r="A1634">
        <v>1633</v>
      </c>
      <c r="B1634" s="5">
        <v>45968</v>
      </c>
      <c r="C1634" t="s">
        <v>27</v>
      </c>
      <c r="D1634" t="s">
        <v>63</v>
      </c>
      <c r="E1634" t="s">
        <v>64</v>
      </c>
      <c r="F1634" t="s">
        <v>30</v>
      </c>
      <c r="G1634" s="6">
        <v>942.24</v>
      </c>
      <c r="H1634" s="7">
        <v>0.2</v>
      </c>
      <c r="I1634" s="6">
        <v>188.45</v>
      </c>
      <c r="J1634" s="6">
        <v>1130.69</v>
      </c>
      <c r="K1634" t="s">
        <v>3325</v>
      </c>
      <c r="L1634" t="s">
        <v>3326</v>
      </c>
    </row>
    <row r="1635" spans="1:12" ht="15" customHeight="1" x14ac:dyDescent="0.25">
      <c r="A1635">
        <v>1634</v>
      </c>
      <c r="B1635" s="5">
        <v>45916</v>
      </c>
      <c r="C1635" t="s">
        <v>27</v>
      </c>
      <c r="D1635" t="s">
        <v>42</v>
      </c>
      <c r="E1635" t="s">
        <v>43</v>
      </c>
      <c r="F1635" t="s">
        <v>44</v>
      </c>
      <c r="G1635" s="6">
        <v>2995.02</v>
      </c>
      <c r="H1635" s="7">
        <v>0</v>
      </c>
      <c r="I1635" s="6">
        <v>0</v>
      </c>
      <c r="J1635" s="6">
        <v>2995.02</v>
      </c>
      <c r="K1635" t="s">
        <v>3327</v>
      </c>
      <c r="L1635" t="s">
        <v>3328</v>
      </c>
    </row>
    <row r="1636" spans="1:12" ht="15" customHeight="1" x14ac:dyDescent="0.25">
      <c r="A1636">
        <v>1635</v>
      </c>
      <c r="B1636" s="5">
        <v>45938</v>
      </c>
      <c r="C1636" t="s">
        <v>47</v>
      </c>
      <c r="D1636" t="s">
        <v>42</v>
      </c>
      <c r="E1636" t="s">
        <v>43</v>
      </c>
      <c r="F1636" t="s">
        <v>44</v>
      </c>
      <c r="G1636" s="6">
        <v>2920.33</v>
      </c>
      <c r="H1636" s="7">
        <v>0</v>
      </c>
      <c r="I1636" s="6">
        <v>0</v>
      </c>
      <c r="J1636" s="6">
        <v>2920.33</v>
      </c>
      <c r="K1636" t="s">
        <v>3329</v>
      </c>
      <c r="L1636" t="s">
        <v>3330</v>
      </c>
    </row>
    <row r="1637" spans="1:12" ht="15" customHeight="1" x14ac:dyDescent="0.25">
      <c r="A1637">
        <v>1636</v>
      </c>
      <c r="B1637" s="5">
        <v>45782</v>
      </c>
      <c r="C1637" t="s">
        <v>33</v>
      </c>
      <c r="D1637" t="s">
        <v>79</v>
      </c>
      <c r="E1637" t="s">
        <v>80</v>
      </c>
      <c r="F1637" t="s">
        <v>120</v>
      </c>
      <c r="G1637" s="6">
        <v>1015.45</v>
      </c>
      <c r="H1637" s="7">
        <v>0.2</v>
      </c>
      <c r="I1637" s="6">
        <v>203.09</v>
      </c>
      <c r="J1637" s="6">
        <v>1218.54</v>
      </c>
      <c r="K1637" t="s">
        <v>3331</v>
      </c>
      <c r="L1637" t="s">
        <v>3332</v>
      </c>
    </row>
    <row r="1638" spans="1:12" ht="15" customHeight="1" x14ac:dyDescent="0.25">
      <c r="A1638">
        <v>1637</v>
      </c>
      <c r="B1638" s="5">
        <v>45672</v>
      </c>
      <c r="C1638" t="s">
        <v>33</v>
      </c>
      <c r="D1638" t="s">
        <v>28</v>
      </c>
      <c r="E1638" t="s">
        <v>29</v>
      </c>
      <c r="F1638" t="s">
        <v>50</v>
      </c>
      <c r="G1638" s="6">
        <v>788.24</v>
      </c>
      <c r="H1638" s="7">
        <v>2.1000000000000001E-2</v>
      </c>
      <c r="I1638" s="6">
        <v>16.55</v>
      </c>
      <c r="J1638" s="6">
        <v>804.79</v>
      </c>
      <c r="K1638" t="s">
        <v>3333</v>
      </c>
      <c r="L1638" t="s">
        <v>3334</v>
      </c>
    </row>
    <row r="1639" spans="1:12" ht="15" customHeight="1" x14ac:dyDescent="0.25">
      <c r="A1639">
        <v>1638</v>
      </c>
      <c r="B1639" s="5">
        <v>45789</v>
      </c>
      <c r="C1639" t="s">
        <v>47</v>
      </c>
      <c r="D1639" t="s">
        <v>55</v>
      </c>
      <c r="E1639" t="s">
        <v>56</v>
      </c>
      <c r="F1639" t="s">
        <v>120</v>
      </c>
      <c r="G1639" s="6">
        <v>3023.42</v>
      </c>
      <c r="H1639" s="7">
        <v>5.5E-2</v>
      </c>
      <c r="I1639" s="6">
        <v>166.29</v>
      </c>
      <c r="J1639" s="6">
        <v>3189.71</v>
      </c>
      <c r="K1639" t="s">
        <v>3335</v>
      </c>
      <c r="L1639" t="s">
        <v>3336</v>
      </c>
    </row>
    <row r="1640" spans="1:12" ht="15" customHeight="1" x14ac:dyDescent="0.25">
      <c r="A1640">
        <v>1639</v>
      </c>
      <c r="B1640" s="5">
        <v>45931</v>
      </c>
      <c r="C1640" t="s">
        <v>27</v>
      </c>
      <c r="D1640" t="s">
        <v>28</v>
      </c>
      <c r="E1640" t="s">
        <v>29</v>
      </c>
      <c r="F1640" t="s">
        <v>76</v>
      </c>
      <c r="G1640" s="6">
        <v>2880.28</v>
      </c>
      <c r="H1640" s="7">
        <v>2.1000000000000001E-2</v>
      </c>
      <c r="I1640" s="6">
        <v>60.49</v>
      </c>
      <c r="J1640" s="6">
        <v>2940.77</v>
      </c>
      <c r="K1640" t="s">
        <v>3337</v>
      </c>
      <c r="L1640" t="s">
        <v>3338</v>
      </c>
    </row>
    <row r="1641" spans="1:12" ht="15" customHeight="1" x14ac:dyDescent="0.25">
      <c r="A1641">
        <v>1640</v>
      </c>
      <c r="B1641" s="5">
        <v>45772</v>
      </c>
      <c r="C1641" t="s">
        <v>27</v>
      </c>
      <c r="D1641" t="s">
        <v>55</v>
      </c>
      <c r="E1641" t="s">
        <v>56</v>
      </c>
      <c r="F1641" t="s">
        <v>84</v>
      </c>
      <c r="G1641" s="6">
        <v>4198.47</v>
      </c>
      <c r="H1641" s="7">
        <v>5.5E-2</v>
      </c>
      <c r="I1641" s="6">
        <v>230.92</v>
      </c>
      <c r="J1641" s="6">
        <v>4429.3900000000003</v>
      </c>
      <c r="K1641" t="s">
        <v>3339</v>
      </c>
      <c r="L1641" t="s">
        <v>3340</v>
      </c>
    </row>
    <row r="1642" spans="1:12" ht="15" customHeight="1" x14ac:dyDescent="0.25">
      <c r="A1642">
        <v>1641</v>
      </c>
      <c r="B1642" s="5">
        <v>45853</v>
      </c>
      <c r="C1642" t="s">
        <v>27</v>
      </c>
      <c r="D1642" t="s">
        <v>55</v>
      </c>
      <c r="E1642" t="s">
        <v>56</v>
      </c>
      <c r="F1642" t="s">
        <v>106</v>
      </c>
      <c r="G1642" s="6">
        <v>2970.32</v>
      </c>
      <c r="H1642" s="7">
        <v>5.5E-2</v>
      </c>
      <c r="I1642" s="6">
        <v>163.37</v>
      </c>
      <c r="J1642" s="6">
        <v>3133.69</v>
      </c>
      <c r="K1642" t="s">
        <v>3341</v>
      </c>
      <c r="L1642" t="s">
        <v>3342</v>
      </c>
    </row>
    <row r="1643" spans="1:12" ht="15" customHeight="1" x14ac:dyDescent="0.25">
      <c r="A1643">
        <v>1642</v>
      </c>
      <c r="B1643" s="5">
        <v>45772</v>
      </c>
      <c r="C1643" t="s">
        <v>47</v>
      </c>
      <c r="D1643" t="s">
        <v>42</v>
      </c>
      <c r="E1643" t="s">
        <v>43</v>
      </c>
      <c r="F1643" t="s">
        <v>44</v>
      </c>
      <c r="G1643" s="6">
        <v>2498.34</v>
      </c>
      <c r="H1643" s="7">
        <v>0</v>
      </c>
      <c r="I1643" s="6">
        <v>0</v>
      </c>
      <c r="J1643" s="6">
        <v>2498.34</v>
      </c>
      <c r="K1643" t="s">
        <v>3343</v>
      </c>
      <c r="L1643" t="s">
        <v>3344</v>
      </c>
    </row>
    <row r="1644" spans="1:12" ht="15" customHeight="1" x14ac:dyDescent="0.25">
      <c r="A1644">
        <v>1643</v>
      </c>
      <c r="B1644" s="5">
        <v>45961</v>
      </c>
      <c r="C1644" t="s">
        <v>33</v>
      </c>
      <c r="D1644" t="s">
        <v>55</v>
      </c>
      <c r="E1644" t="s">
        <v>56</v>
      </c>
      <c r="F1644" t="s">
        <v>81</v>
      </c>
      <c r="G1644" s="6">
        <v>4222.47</v>
      </c>
      <c r="H1644" s="7">
        <v>5.5E-2</v>
      </c>
      <c r="I1644" s="6">
        <v>232.24</v>
      </c>
      <c r="J1644" s="6">
        <v>4454.71</v>
      </c>
      <c r="K1644" t="s">
        <v>3345</v>
      </c>
      <c r="L1644" t="s">
        <v>3346</v>
      </c>
    </row>
    <row r="1645" spans="1:12" ht="15" customHeight="1" x14ac:dyDescent="0.25">
      <c r="A1645">
        <v>1644</v>
      </c>
      <c r="B1645" s="5">
        <v>45818</v>
      </c>
      <c r="C1645" t="s">
        <v>27</v>
      </c>
      <c r="D1645" t="s">
        <v>55</v>
      </c>
      <c r="E1645" t="s">
        <v>56</v>
      </c>
      <c r="F1645" t="s">
        <v>84</v>
      </c>
      <c r="G1645" s="6">
        <v>4296.9799999999996</v>
      </c>
      <c r="H1645" s="7">
        <v>5.5E-2</v>
      </c>
      <c r="I1645" s="6">
        <v>236.33</v>
      </c>
      <c r="J1645" s="6">
        <v>4533.3100000000004</v>
      </c>
      <c r="K1645" t="s">
        <v>3347</v>
      </c>
      <c r="L1645" t="s">
        <v>3348</v>
      </c>
    </row>
    <row r="1646" spans="1:12" ht="15" customHeight="1" x14ac:dyDescent="0.25">
      <c r="A1646">
        <v>1645</v>
      </c>
      <c r="B1646" s="5">
        <v>45960</v>
      </c>
      <c r="C1646" t="s">
        <v>33</v>
      </c>
      <c r="D1646" t="s">
        <v>55</v>
      </c>
      <c r="E1646" t="s">
        <v>56</v>
      </c>
      <c r="F1646" t="s">
        <v>36</v>
      </c>
      <c r="G1646" s="6">
        <v>2447.37</v>
      </c>
      <c r="H1646" s="7">
        <v>5.5E-2</v>
      </c>
      <c r="I1646" s="6">
        <v>134.61000000000001</v>
      </c>
      <c r="J1646" s="6">
        <v>2581.98</v>
      </c>
      <c r="K1646" t="s">
        <v>3349</v>
      </c>
      <c r="L1646" t="s">
        <v>3350</v>
      </c>
    </row>
    <row r="1647" spans="1:12" ht="15" customHeight="1" x14ac:dyDescent="0.25">
      <c r="A1647">
        <v>1646</v>
      </c>
      <c r="B1647" s="5">
        <v>45722</v>
      </c>
      <c r="C1647" t="s">
        <v>47</v>
      </c>
      <c r="D1647" t="s">
        <v>42</v>
      </c>
      <c r="E1647" t="s">
        <v>43</v>
      </c>
      <c r="F1647" t="s">
        <v>44</v>
      </c>
      <c r="G1647" s="6">
        <v>3243.88</v>
      </c>
      <c r="H1647" s="7">
        <v>0</v>
      </c>
      <c r="I1647" s="6">
        <v>0</v>
      </c>
      <c r="J1647" s="6">
        <v>3243.88</v>
      </c>
      <c r="K1647" t="s">
        <v>3351</v>
      </c>
      <c r="L1647" t="s">
        <v>3352</v>
      </c>
    </row>
    <row r="1648" spans="1:12" ht="15" customHeight="1" x14ac:dyDescent="0.25">
      <c r="A1648">
        <v>1647</v>
      </c>
      <c r="B1648" s="5">
        <v>45933</v>
      </c>
      <c r="C1648" t="s">
        <v>33</v>
      </c>
      <c r="D1648" t="s">
        <v>63</v>
      </c>
      <c r="E1648" t="s">
        <v>64</v>
      </c>
      <c r="F1648" t="s">
        <v>50</v>
      </c>
      <c r="G1648" s="6">
        <v>3847.44</v>
      </c>
      <c r="H1648" s="7">
        <v>0.2</v>
      </c>
      <c r="I1648" s="6">
        <v>769.49</v>
      </c>
      <c r="J1648" s="6">
        <v>4616.93</v>
      </c>
      <c r="K1648" t="s">
        <v>3353</v>
      </c>
      <c r="L1648" t="s">
        <v>3354</v>
      </c>
    </row>
    <row r="1649" spans="1:12" ht="15" customHeight="1" x14ac:dyDescent="0.25">
      <c r="A1649">
        <v>1648</v>
      </c>
      <c r="B1649" s="5">
        <v>46006</v>
      </c>
      <c r="C1649" t="s">
        <v>47</v>
      </c>
      <c r="D1649" t="s">
        <v>42</v>
      </c>
      <c r="E1649" t="s">
        <v>43</v>
      </c>
      <c r="F1649" t="s">
        <v>44</v>
      </c>
      <c r="G1649" s="6">
        <v>3243.52</v>
      </c>
      <c r="H1649" s="7">
        <v>0</v>
      </c>
      <c r="I1649" s="6">
        <v>0</v>
      </c>
      <c r="J1649" s="6">
        <v>3243.52</v>
      </c>
      <c r="K1649" t="s">
        <v>3355</v>
      </c>
      <c r="L1649" t="s">
        <v>3356</v>
      </c>
    </row>
    <row r="1650" spans="1:12" ht="15" customHeight="1" x14ac:dyDescent="0.25">
      <c r="A1650">
        <v>1649</v>
      </c>
      <c r="B1650" s="5">
        <v>46017</v>
      </c>
      <c r="C1650" t="s">
        <v>27</v>
      </c>
      <c r="D1650" t="s">
        <v>34</v>
      </c>
      <c r="E1650" t="s">
        <v>35</v>
      </c>
      <c r="F1650" t="s">
        <v>50</v>
      </c>
      <c r="G1650" s="6">
        <v>231.8</v>
      </c>
      <c r="H1650" s="7">
        <v>0.2</v>
      </c>
      <c r="I1650" s="6">
        <v>46.36</v>
      </c>
      <c r="J1650" s="6">
        <v>278.16000000000003</v>
      </c>
      <c r="K1650" t="s">
        <v>3357</v>
      </c>
      <c r="L1650" t="s">
        <v>3358</v>
      </c>
    </row>
    <row r="1651" spans="1:12" ht="15" customHeight="1" x14ac:dyDescent="0.25">
      <c r="A1651">
        <v>1650</v>
      </c>
      <c r="B1651" s="5">
        <v>45721</v>
      </c>
      <c r="C1651" t="s">
        <v>27</v>
      </c>
      <c r="D1651" t="s">
        <v>94</v>
      </c>
      <c r="E1651" t="s">
        <v>95</v>
      </c>
      <c r="F1651" t="s">
        <v>44</v>
      </c>
      <c r="G1651" s="6">
        <v>2619.17</v>
      </c>
      <c r="H1651" s="7">
        <v>0</v>
      </c>
      <c r="I1651" s="6">
        <v>0</v>
      </c>
      <c r="J1651" s="6">
        <v>2619.17</v>
      </c>
      <c r="K1651" t="s">
        <v>3359</v>
      </c>
      <c r="L1651" t="s">
        <v>3360</v>
      </c>
    </row>
    <row r="1652" spans="1:12" ht="15" customHeight="1" x14ac:dyDescent="0.25">
      <c r="A1652">
        <v>1651</v>
      </c>
      <c r="B1652" s="5">
        <v>45768</v>
      </c>
      <c r="C1652" t="s">
        <v>47</v>
      </c>
      <c r="D1652" t="s">
        <v>181</v>
      </c>
      <c r="E1652" t="s">
        <v>182</v>
      </c>
      <c r="F1652" t="s">
        <v>81</v>
      </c>
      <c r="G1652" s="6">
        <v>2268.0100000000002</v>
      </c>
      <c r="H1652" s="7">
        <v>0.2</v>
      </c>
      <c r="I1652" s="6">
        <v>453.6</v>
      </c>
      <c r="J1652" s="6">
        <v>2721.61</v>
      </c>
      <c r="K1652" t="s">
        <v>3361</v>
      </c>
      <c r="L1652" t="s">
        <v>3362</v>
      </c>
    </row>
    <row r="1653" spans="1:12" ht="15" customHeight="1" x14ac:dyDescent="0.25">
      <c r="A1653">
        <v>1652</v>
      </c>
      <c r="B1653" s="5">
        <v>45828</v>
      </c>
      <c r="C1653" t="s">
        <v>33</v>
      </c>
      <c r="D1653" t="s">
        <v>94</v>
      </c>
      <c r="E1653" t="s">
        <v>95</v>
      </c>
      <c r="F1653" t="s">
        <v>44</v>
      </c>
      <c r="G1653" s="6">
        <v>2291.92</v>
      </c>
      <c r="H1653" s="7">
        <v>0</v>
      </c>
      <c r="I1653" s="6">
        <v>0</v>
      </c>
      <c r="J1653" s="6">
        <v>2291.92</v>
      </c>
      <c r="K1653" t="s">
        <v>3363</v>
      </c>
      <c r="L1653" t="s">
        <v>3364</v>
      </c>
    </row>
    <row r="1654" spans="1:12" ht="15" customHeight="1" x14ac:dyDescent="0.25">
      <c r="A1654">
        <v>1653</v>
      </c>
      <c r="B1654" s="5">
        <v>46016</v>
      </c>
      <c r="C1654" t="s">
        <v>27</v>
      </c>
      <c r="D1654" t="s">
        <v>100</v>
      </c>
      <c r="E1654" t="s">
        <v>101</v>
      </c>
      <c r="F1654" t="s">
        <v>44</v>
      </c>
      <c r="G1654" s="6">
        <v>4015.58</v>
      </c>
      <c r="H1654" s="7">
        <v>0</v>
      </c>
      <c r="I1654" s="6">
        <v>0</v>
      </c>
      <c r="J1654" s="6">
        <v>4015.58</v>
      </c>
      <c r="K1654" t="s">
        <v>3365</v>
      </c>
      <c r="L1654" t="s">
        <v>3366</v>
      </c>
    </row>
    <row r="1655" spans="1:12" ht="15" customHeight="1" x14ac:dyDescent="0.25">
      <c r="A1655">
        <v>1654</v>
      </c>
      <c r="B1655" s="5">
        <v>45811</v>
      </c>
      <c r="C1655" t="s">
        <v>33</v>
      </c>
      <c r="D1655" t="s">
        <v>42</v>
      </c>
      <c r="E1655" t="s">
        <v>43</v>
      </c>
      <c r="F1655" t="s">
        <v>44</v>
      </c>
      <c r="G1655" s="6">
        <v>3382.2</v>
      </c>
      <c r="H1655" s="7">
        <v>0</v>
      </c>
      <c r="I1655" s="6">
        <v>0</v>
      </c>
      <c r="J1655" s="6">
        <v>3382.2</v>
      </c>
      <c r="K1655" t="s">
        <v>3367</v>
      </c>
      <c r="L1655" t="s">
        <v>3368</v>
      </c>
    </row>
    <row r="1656" spans="1:12" ht="15" customHeight="1" x14ac:dyDescent="0.25">
      <c r="A1656">
        <v>1655</v>
      </c>
      <c r="B1656" s="5">
        <v>45938</v>
      </c>
      <c r="C1656" t="s">
        <v>33</v>
      </c>
      <c r="D1656" t="s">
        <v>94</v>
      </c>
      <c r="E1656" t="s">
        <v>95</v>
      </c>
      <c r="F1656" t="s">
        <v>44</v>
      </c>
      <c r="G1656" s="6">
        <v>1556.09</v>
      </c>
      <c r="H1656" s="7">
        <v>0</v>
      </c>
      <c r="I1656" s="6">
        <v>0</v>
      </c>
      <c r="J1656" s="6">
        <v>1556.09</v>
      </c>
      <c r="K1656" t="s">
        <v>3369</v>
      </c>
      <c r="L1656" t="s">
        <v>3370</v>
      </c>
    </row>
    <row r="1657" spans="1:12" ht="15" customHeight="1" x14ac:dyDescent="0.25">
      <c r="A1657">
        <v>1656</v>
      </c>
      <c r="B1657" s="5">
        <v>45694</v>
      </c>
      <c r="C1657" t="s">
        <v>47</v>
      </c>
      <c r="D1657" t="s">
        <v>42</v>
      </c>
      <c r="E1657" t="s">
        <v>43</v>
      </c>
      <c r="F1657" t="s">
        <v>44</v>
      </c>
      <c r="G1657" s="6">
        <v>2479.3000000000002</v>
      </c>
      <c r="H1657" s="7">
        <v>0</v>
      </c>
      <c r="I1657" s="6">
        <v>0</v>
      </c>
      <c r="J1657" s="6">
        <v>2479.3000000000002</v>
      </c>
      <c r="K1657" t="s">
        <v>3371</v>
      </c>
      <c r="L1657" t="s">
        <v>3372</v>
      </c>
    </row>
    <row r="1658" spans="1:12" ht="15" customHeight="1" x14ac:dyDescent="0.25">
      <c r="A1658">
        <v>1657</v>
      </c>
      <c r="B1658" s="5">
        <v>45938</v>
      </c>
      <c r="C1658" t="s">
        <v>33</v>
      </c>
      <c r="D1658" t="s">
        <v>42</v>
      </c>
      <c r="E1658" t="s">
        <v>43</v>
      </c>
      <c r="F1658" t="s">
        <v>44</v>
      </c>
      <c r="G1658" s="6">
        <v>2114.16</v>
      </c>
      <c r="H1658" s="7">
        <v>0</v>
      </c>
      <c r="I1658" s="6">
        <v>0</v>
      </c>
      <c r="J1658" s="6">
        <v>2114.16</v>
      </c>
      <c r="K1658" t="s">
        <v>3373</v>
      </c>
      <c r="L1658" t="s">
        <v>3374</v>
      </c>
    </row>
    <row r="1659" spans="1:12" ht="15" customHeight="1" x14ac:dyDescent="0.25">
      <c r="A1659">
        <v>1658</v>
      </c>
      <c r="B1659" s="5">
        <v>45685</v>
      </c>
      <c r="C1659" t="s">
        <v>27</v>
      </c>
      <c r="D1659" t="s">
        <v>42</v>
      </c>
      <c r="E1659" t="s">
        <v>43</v>
      </c>
      <c r="F1659" t="s">
        <v>44</v>
      </c>
      <c r="G1659" s="6">
        <v>3503.01</v>
      </c>
      <c r="H1659" s="7">
        <v>0</v>
      </c>
      <c r="I1659" s="6">
        <v>0</v>
      </c>
      <c r="J1659" s="6">
        <v>3503.01</v>
      </c>
      <c r="K1659" t="s">
        <v>3375</v>
      </c>
      <c r="L1659" t="s">
        <v>3376</v>
      </c>
    </row>
    <row r="1660" spans="1:12" ht="15" customHeight="1" x14ac:dyDescent="0.25">
      <c r="A1660">
        <v>1659</v>
      </c>
      <c r="B1660" s="5">
        <v>45728</v>
      </c>
      <c r="C1660" t="s">
        <v>27</v>
      </c>
      <c r="D1660" t="s">
        <v>28</v>
      </c>
      <c r="E1660" t="s">
        <v>29</v>
      </c>
      <c r="F1660" t="s">
        <v>76</v>
      </c>
      <c r="G1660" s="6">
        <v>2033.13</v>
      </c>
      <c r="H1660" s="7">
        <v>2.1000000000000001E-2</v>
      </c>
      <c r="I1660" s="6">
        <v>42.7</v>
      </c>
      <c r="J1660" s="6">
        <v>2075.83</v>
      </c>
      <c r="K1660" t="s">
        <v>3377</v>
      </c>
      <c r="L1660" t="s">
        <v>3378</v>
      </c>
    </row>
    <row r="1661" spans="1:12" ht="15" customHeight="1" x14ac:dyDescent="0.25">
      <c r="A1661">
        <v>1660</v>
      </c>
      <c r="B1661" s="5">
        <v>45758</v>
      </c>
      <c r="C1661" t="s">
        <v>33</v>
      </c>
      <c r="D1661" t="s">
        <v>28</v>
      </c>
      <c r="E1661" t="s">
        <v>29</v>
      </c>
      <c r="F1661" t="s">
        <v>39</v>
      </c>
      <c r="G1661" s="6">
        <v>3330.11</v>
      </c>
      <c r="H1661" s="7">
        <v>2.1000000000000001E-2</v>
      </c>
      <c r="I1661" s="6">
        <v>69.930000000000007</v>
      </c>
      <c r="J1661" s="6">
        <v>3400.04</v>
      </c>
      <c r="K1661" t="s">
        <v>3379</v>
      </c>
      <c r="L1661" t="s">
        <v>3380</v>
      </c>
    </row>
    <row r="1662" spans="1:12" ht="15" customHeight="1" x14ac:dyDescent="0.25">
      <c r="A1662">
        <v>1661</v>
      </c>
      <c r="B1662" s="5">
        <v>45733</v>
      </c>
      <c r="C1662" t="s">
        <v>27</v>
      </c>
      <c r="D1662" t="s">
        <v>42</v>
      </c>
      <c r="E1662" t="s">
        <v>43</v>
      </c>
      <c r="F1662" t="s">
        <v>44</v>
      </c>
      <c r="G1662" s="6">
        <v>4158.4799999999996</v>
      </c>
      <c r="H1662" s="7">
        <v>0</v>
      </c>
      <c r="I1662" s="6">
        <v>0</v>
      </c>
      <c r="J1662" s="6">
        <v>4158.4799999999996</v>
      </c>
      <c r="K1662" t="s">
        <v>3381</v>
      </c>
      <c r="L1662" t="s">
        <v>3382</v>
      </c>
    </row>
    <row r="1663" spans="1:12" ht="15" customHeight="1" x14ac:dyDescent="0.25">
      <c r="A1663">
        <v>1662</v>
      </c>
      <c r="B1663" s="5">
        <v>45707</v>
      </c>
      <c r="C1663" t="s">
        <v>33</v>
      </c>
      <c r="D1663" t="s">
        <v>100</v>
      </c>
      <c r="E1663" t="s">
        <v>101</v>
      </c>
      <c r="F1663" t="s">
        <v>44</v>
      </c>
      <c r="G1663" s="6">
        <v>2937.3</v>
      </c>
      <c r="H1663" s="7">
        <v>0</v>
      </c>
      <c r="I1663" s="6">
        <v>0</v>
      </c>
      <c r="J1663" s="6">
        <v>2937.3</v>
      </c>
      <c r="K1663" t="s">
        <v>3383</v>
      </c>
      <c r="L1663" t="s">
        <v>3384</v>
      </c>
    </row>
    <row r="1664" spans="1:12" ht="15" customHeight="1" x14ac:dyDescent="0.25">
      <c r="A1664">
        <v>1663</v>
      </c>
      <c r="B1664" s="5">
        <v>45831</v>
      </c>
      <c r="C1664" t="s">
        <v>33</v>
      </c>
      <c r="D1664" t="s">
        <v>94</v>
      </c>
      <c r="E1664" t="s">
        <v>95</v>
      </c>
      <c r="F1664" t="s">
        <v>44</v>
      </c>
      <c r="G1664" s="6">
        <v>2924.32</v>
      </c>
      <c r="H1664" s="7">
        <v>0</v>
      </c>
      <c r="I1664" s="6">
        <v>0</v>
      </c>
      <c r="J1664" s="6">
        <v>2924.32</v>
      </c>
      <c r="K1664" t="s">
        <v>3385</v>
      </c>
      <c r="L1664" t="s">
        <v>3386</v>
      </c>
    </row>
    <row r="1665" spans="1:13" ht="15" customHeight="1" x14ac:dyDescent="0.25">
      <c r="A1665">
        <v>1664</v>
      </c>
      <c r="B1665" s="5">
        <v>45861</v>
      </c>
      <c r="C1665" t="s">
        <v>27</v>
      </c>
      <c r="D1665" t="s">
        <v>63</v>
      </c>
      <c r="E1665" t="s">
        <v>64</v>
      </c>
      <c r="F1665" t="s">
        <v>81</v>
      </c>
      <c r="G1665" s="6">
        <v>2239.73</v>
      </c>
      <c r="H1665" s="7">
        <v>0.2</v>
      </c>
      <c r="I1665" s="6">
        <v>447.95</v>
      </c>
      <c r="J1665" s="6">
        <v>2687.68</v>
      </c>
      <c r="K1665" t="s">
        <v>3387</v>
      </c>
      <c r="L1665" t="s">
        <v>3388</v>
      </c>
    </row>
    <row r="1666" spans="1:13" ht="15" customHeight="1" x14ac:dyDescent="0.25">
      <c r="A1666">
        <v>1665</v>
      </c>
      <c r="B1666" s="5">
        <v>46001</v>
      </c>
      <c r="C1666" t="s">
        <v>33</v>
      </c>
      <c r="D1666" t="s">
        <v>34</v>
      </c>
      <c r="E1666" t="s">
        <v>35</v>
      </c>
      <c r="F1666" t="s">
        <v>76</v>
      </c>
      <c r="G1666" s="6">
        <v>11000</v>
      </c>
      <c r="H1666" s="7">
        <v>0.2</v>
      </c>
      <c r="I1666" s="6">
        <v>2200</v>
      </c>
      <c r="J1666" s="6">
        <v>13200</v>
      </c>
      <c r="K1666" t="s">
        <v>3389</v>
      </c>
      <c r="L1666" t="s">
        <v>3390</v>
      </c>
      <c r="M1666" t="s">
        <v>143</v>
      </c>
    </row>
    <row r="1667" spans="1:13" ht="15" customHeight="1" x14ac:dyDescent="0.25">
      <c r="A1667">
        <v>1666</v>
      </c>
      <c r="B1667" s="5">
        <v>45981</v>
      </c>
      <c r="C1667" t="s">
        <v>27</v>
      </c>
      <c r="D1667" t="s">
        <v>63</v>
      </c>
      <c r="E1667" t="s">
        <v>64</v>
      </c>
      <c r="F1667" t="s">
        <v>50</v>
      </c>
      <c r="G1667" s="6">
        <v>2967.12</v>
      </c>
      <c r="H1667" s="7">
        <v>0.2</v>
      </c>
      <c r="I1667" s="6">
        <v>593.41999999999996</v>
      </c>
      <c r="J1667" s="6">
        <v>3560.54</v>
      </c>
      <c r="K1667" t="s">
        <v>3391</v>
      </c>
      <c r="L1667" t="s">
        <v>3392</v>
      </c>
    </row>
    <row r="1668" spans="1:13" ht="15" customHeight="1" x14ac:dyDescent="0.25">
      <c r="A1668">
        <v>1667</v>
      </c>
      <c r="B1668" s="5">
        <v>45720</v>
      </c>
      <c r="C1668" t="s">
        <v>33</v>
      </c>
      <c r="D1668" t="s">
        <v>28</v>
      </c>
      <c r="E1668" t="s">
        <v>29</v>
      </c>
      <c r="F1668" t="s">
        <v>120</v>
      </c>
      <c r="G1668" s="6">
        <v>2242.35</v>
      </c>
      <c r="H1668" s="7">
        <v>2.1000000000000001E-2</v>
      </c>
      <c r="I1668" s="6">
        <v>47.09</v>
      </c>
      <c r="J1668" s="6">
        <v>2289.44</v>
      </c>
      <c r="K1668" t="s">
        <v>3393</v>
      </c>
      <c r="L1668" t="s">
        <v>3394</v>
      </c>
    </row>
    <row r="1669" spans="1:13" ht="15" customHeight="1" x14ac:dyDescent="0.25">
      <c r="A1669">
        <v>1668</v>
      </c>
      <c r="B1669" s="5">
        <v>45951</v>
      </c>
      <c r="C1669" t="s">
        <v>33</v>
      </c>
      <c r="D1669" t="s">
        <v>28</v>
      </c>
      <c r="E1669" t="s">
        <v>29</v>
      </c>
      <c r="F1669" t="s">
        <v>76</v>
      </c>
      <c r="G1669" s="6">
        <v>4444.08</v>
      </c>
      <c r="H1669" s="7">
        <v>2.1000000000000001E-2</v>
      </c>
      <c r="I1669" s="6">
        <v>93.33</v>
      </c>
      <c r="J1669" s="6">
        <v>4537.41</v>
      </c>
      <c r="K1669" t="s">
        <v>3395</v>
      </c>
      <c r="L1669" t="s">
        <v>3396</v>
      </c>
    </row>
    <row r="1670" spans="1:13" ht="15" customHeight="1" x14ac:dyDescent="0.25">
      <c r="A1670">
        <v>1669</v>
      </c>
      <c r="B1670" s="5">
        <v>45961</v>
      </c>
      <c r="C1670" t="s">
        <v>27</v>
      </c>
      <c r="D1670" t="s">
        <v>42</v>
      </c>
      <c r="E1670" t="s">
        <v>43</v>
      </c>
      <c r="F1670" t="s">
        <v>44</v>
      </c>
      <c r="G1670" s="6">
        <v>2962.06</v>
      </c>
      <c r="H1670" s="7">
        <v>0</v>
      </c>
      <c r="I1670" s="6">
        <v>0</v>
      </c>
      <c r="J1670" s="6">
        <v>2962.06</v>
      </c>
      <c r="K1670" t="s">
        <v>3397</v>
      </c>
      <c r="L1670" t="s">
        <v>3398</v>
      </c>
    </row>
    <row r="1671" spans="1:13" ht="15" customHeight="1" x14ac:dyDescent="0.25">
      <c r="A1671">
        <v>1670</v>
      </c>
      <c r="B1671" s="5">
        <v>45950</v>
      </c>
      <c r="C1671" t="s">
        <v>27</v>
      </c>
      <c r="D1671" t="s">
        <v>79</v>
      </c>
      <c r="E1671" t="s">
        <v>80</v>
      </c>
      <c r="F1671" t="s">
        <v>50</v>
      </c>
      <c r="G1671" s="6">
        <v>633.54999999999995</v>
      </c>
      <c r="H1671" s="7">
        <v>0.2</v>
      </c>
      <c r="I1671" s="6">
        <v>126.71</v>
      </c>
      <c r="J1671" s="6">
        <v>760.26</v>
      </c>
      <c r="K1671" t="s">
        <v>3399</v>
      </c>
      <c r="L1671" t="s">
        <v>3400</v>
      </c>
    </row>
    <row r="1672" spans="1:13" ht="15" customHeight="1" x14ac:dyDescent="0.25">
      <c r="A1672">
        <v>1671</v>
      </c>
      <c r="B1672" s="5">
        <v>45933</v>
      </c>
      <c r="C1672" t="s">
        <v>27</v>
      </c>
      <c r="D1672" t="s">
        <v>100</v>
      </c>
      <c r="E1672" t="s">
        <v>101</v>
      </c>
      <c r="F1672" t="s">
        <v>44</v>
      </c>
      <c r="G1672" s="6">
        <v>3750.88</v>
      </c>
      <c r="H1672" s="7">
        <v>0</v>
      </c>
      <c r="I1672" s="6">
        <v>0</v>
      </c>
      <c r="J1672" s="6">
        <v>3750.88</v>
      </c>
      <c r="K1672" t="s">
        <v>3401</v>
      </c>
      <c r="L1672" t="s">
        <v>3402</v>
      </c>
    </row>
    <row r="1673" spans="1:13" ht="15" customHeight="1" x14ac:dyDescent="0.25">
      <c r="A1673">
        <v>1672</v>
      </c>
      <c r="B1673" s="5">
        <v>45932</v>
      </c>
      <c r="C1673" t="s">
        <v>47</v>
      </c>
      <c r="D1673" t="s">
        <v>172</v>
      </c>
      <c r="E1673" t="s">
        <v>173</v>
      </c>
      <c r="F1673" t="s">
        <v>106</v>
      </c>
      <c r="G1673" s="6">
        <v>3542.96</v>
      </c>
      <c r="H1673" s="7">
        <v>0.2</v>
      </c>
      <c r="I1673" s="6">
        <v>708.59</v>
      </c>
      <c r="J1673" s="6">
        <v>4251.55</v>
      </c>
      <c r="K1673" t="s">
        <v>3403</v>
      </c>
      <c r="L1673" t="s">
        <v>3404</v>
      </c>
      <c r="M1673" t="s">
        <v>286</v>
      </c>
    </row>
    <row r="1674" spans="1:13" ht="15" customHeight="1" x14ac:dyDescent="0.25">
      <c r="A1674">
        <v>1673</v>
      </c>
      <c r="B1674" s="5">
        <v>45957</v>
      </c>
      <c r="C1674" t="s">
        <v>33</v>
      </c>
      <c r="D1674" t="s">
        <v>172</v>
      </c>
      <c r="E1674" t="s">
        <v>173</v>
      </c>
      <c r="F1674" t="s">
        <v>120</v>
      </c>
      <c r="G1674" s="6">
        <v>2462.3000000000002</v>
      </c>
      <c r="H1674" s="7">
        <v>0.2</v>
      </c>
      <c r="I1674" s="6">
        <v>492.46</v>
      </c>
      <c r="J1674" s="6">
        <v>2954.76</v>
      </c>
      <c r="K1674" t="s">
        <v>3405</v>
      </c>
      <c r="L1674" t="s">
        <v>3406</v>
      </c>
    </row>
    <row r="1675" spans="1:13" ht="15" customHeight="1" x14ac:dyDescent="0.25">
      <c r="A1675">
        <v>1674</v>
      </c>
      <c r="B1675" s="5">
        <v>45750</v>
      </c>
      <c r="C1675" t="s">
        <v>33</v>
      </c>
      <c r="D1675" t="s">
        <v>94</v>
      </c>
      <c r="E1675" t="s">
        <v>95</v>
      </c>
      <c r="F1675" t="s">
        <v>44</v>
      </c>
      <c r="G1675" s="6">
        <v>2238.04</v>
      </c>
      <c r="H1675" s="7">
        <v>0</v>
      </c>
      <c r="I1675" s="6">
        <v>0</v>
      </c>
      <c r="J1675" s="6">
        <v>2238.04</v>
      </c>
      <c r="K1675" t="s">
        <v>3407</v>
      </c>
      <c r="L1675" t="s">
        <v>3408</v>
      </c>
    </row>
    <row r="1676" spans="1:13" ht="15" customHeight="1" x14ac:dyDescent="0.25">
      <c r="A1676">
        <v>1675</v>
      </c>
      <c r="B1676" s="5">
        <v>45818</v>
      </c>
      <c r="C1676" t="s">
        <v>27</v>
      </c>
      <c r="D1676" t="s">
        <v>79</v>
      </c>
      <c r="E1676" t="s">
        <v>80</v>
      </c>
      <c r="F1676" t="s">
        <v>30</v>
      </c>
      <c r="G1676" s="6">
        <v>623.86</v>
      </c>
      <c r="H1676" s="7">
        <v>0.2</v>
      </c>
      <c r="I1676" s="6">
        <v>124.77</v>
      </c>
      <c r="J1676" s="6">
        <v>748.63</v>
      </c>
      <c r="K1676" t="s">
        <v>3409</v>
      </c>
      <c r="L1676" t="s">
        <v>3410</v>
      </c>
    </row>
    <row r="1677" spans="1:13" ht="15" customHeight="1" x14ac:dyDescent="0.25">
      <c r="A1677">
        <v>1676</v>
      </c>
      <c r="B1677" s="5">
        <v>45702</v>
      </c>
      <c r="C1677" t="s">
        <v>33</v>
      </c>
      <c r="D1677" t="s">
        <v>34</v>
      </c>
      <c r="E1677" t="s">
        <v>35</v>
      </c>
      <c r="F1677" t="s">
        <v>39</v>
      </c>
      <c r="G1677" s="6">
        <v>2566.23</v>
      </c>
      <c r="H1677" s="7">
        <v>0.2</v>
      </c>
      <c r="I1677" s="6">
        <v>513.25</v>
      </c>
      <c r="J1677" s="6">
        <v>3079.48</v>
      </c>
      <c r="K1677" t="s">
        <v>3411</v>
      </c>
      <c r="L1677" t="s">
        <v>3412</v>
      </c>
    </row>
    <row r="1678" spans="1:13" ht="15" customHeight="1" x14ac:dyDescent="0.25">
      <c r="A1678">
        <v>1677</v>
      </c>
      <c r="B1678" s="5">
        <v>45936</v>
      </c>
      <c r="C1678" t="s">
        <v>33</v>
      </c>
      <c r="D1678" t="s">
        <v>79</v>
      </c>
      <c r="E1678" t="s">
        <v>80</v>
      </c>
      <c r="F1678" t="s">
        <v>120</v>
      </c>
      <c r="G1678" s="6">
        <v>838.49</v>
      </c>
      <c r="H1678" s="7">
        <v>0.2</v>
      </c>
      <c r="I1678" s="6">
        <v>167.7</v>
      </c>
      <c r="J1678" s="6">
        <v>1006.19</v>
      </c>
      <c r="K1678" t="s">
        <v>3413</v>
      </c>
      <c r="L1678" t="s">
        <v>3414</v>
      </c>
    </row>
    <row r="1679" spans="1:13" ht="15" customHeight="1" x14ac:dyDescent="0.25">
      <c r="A1679">
        <v>1678</v>
      </c>
      <c r="B1679" s="5">
        <v>45923</v>
      </c>
      <c r="C1679" t="s">
        <v>33</v>
      </c>
      <c r="D1679" t="s">
        <v>55</v>
      </c>
      <c r="E1679" t="s">
        <v>56</v>
      </c>
      <c r="F1679" t="s">
        <v>174</v>
      </c>
      <c r="G1679" s="6">
        <v>4078.42</v>
      </c>
      <c r="H1679" s="7">
        <v>5.5E-2</v>
      </c>
      <c r="I1679" s="6">
        <v>224.31</v>
      </c>
      <c r="J1679" s="6">
        <v>4302.7299999999996</v>
      </c>
      <c r="K1679" t="s">
        <v>3415</v>
      </c>
      <c r="L1679" t="s">
        <v>3416</v>
      </c>
    </row>
    <row r="1680" spans="1:13" ht="15" customHeight="1" x14ac:dyDescent="0.25">
      <c r="A1680">
        <v>1679</v>
      </c>
      <c r="B1680" s="5">
        <v>45953</v>
      </c>
      <c r="C1680" t="s">
        <v>27</v>
      </c>
      <c r="D1680" t="s">
        <v>115</v>
      </c>
      <c r="E1680" t="s">
        <v>116</v>
      </c>
      <c r="F1680" t="s">
        <v>50</v>
      </c>
      <c r="G1680" s="6">
        <v>2247.7600000000002</v>
      </c>
      <c r="H1680" s="7">
        <v>0.2</v>
      </c>
      <c r="I1680" s="6">
        <v>449.55</v>
      </c>
      <c r="J1680" s="6">
        <v>2697.31</v>
      </c>
      <c r="K1680" t="s">
        <v>3417</v>
      </c>
      <c r="L1680" t="s">
        <v>3418</v>
      </c>
      <c r="M1680" t="s">
        <v>119</v>
      </c>
    </row>
    <row r="1681" spans="1:13" ht="15" customHeight="1" x14ac:dyDescent="0.25">
      <c r="A1681">
        <v>1680</v>
      </c>
      <c r="B1681" s="5">
        <v>45919</v>
      </c>
      <c r="C1681" t="s">
        <v>47</v>
      </c>
      <c r="D1681" t="s">
        <v>172</v>
      </c>
      <c r="E1681" t="s">
        <v>173</v>
      </c>
      <c r="F1681" t="s">
        <v>87</v>
      </c>
      <c r="G1681" s="6">
        <v>1007.49</v>
      </c>
      <c r="H1681" s="7">
        <v>0.2</v>
      </c>
      <c r="I1681" s="6">
        <v>201.5</v>
      </c>
      <c r="J1681" s="6">
        <v>1208.99</v>
      </c>
      <c r="K1681" t="s">
        <v>3419</v>
      </c>
      <c r="L1681" t="s">
        <v>3420</v>
      </c>
    </row>
    <row r="1682" spans="1:13" ht="15" customHeight="1" x14ac:dyDescent="0.25">
      <c r="A1682">
        <v>1681</v>
      </c>
      <c r="B1682" s="5">
        <v>45754</v>
      </c>
      <c r="C1682" t="s">
        <v>33</v>
      </c>
      <c r="D1682" t="s">
        <v>55</v>
      </c>
      <c r="E1682" t="s">
        <v>56</v>
      </c>
      <c r="F1682" t="s">
        <v>71</v>
      </c>
      <c r="G1682" s="6">
        <v>706.17</v>
      </c>
      <c r="H1682" s="7">
        <v>5.5E-2</v>
      </c>
      <c r="I1682" s="6">
        <v>38.840000000000003</v>
      </c>
      <c r="J1682" s="6">
        <v>745.01</v>
      </c>
      <c r="K1682" t="s">
        <v>3421</v>
      </c>
      <c r="L1682" t="s">
        <v>3422</v>
      </c>
    </row>
    <row r="1683" spans="1:13" ht="15" customHeight="1" x14ac:dyDescent="0.25">
      <c r="A1683">
        <v>1682</v>
      </c>
      <c r="B1683" s="5">
        <v>45960</v>
      </c>
      <c r="C1683" t="s">
        <v>27</v>
      </c>
      <c r="D1683" t="s">
        <v>172</v>
      </c>
      <c r="E1683" t="s">
        <v>173</v>
      </c>
      <c r="F1683" t="s">
        <v>30</v>
      </c>
      <c r="G1683" s="6">
        <v>1667.07</v>
      </c>
      <c r="H1683" s="7">
        <v>0.2</v>
      </c>
      <c r="I1683" s="6">
        <v>333.41</v>
      </c>
      <c r="J1683" s="6">
        <v>2000.48</v>
      </c>
      <c r="K1683" t="s">
        <v>3423</v>
      </c>
      <c r="L1683" t="s">
        <v>3424</v>
      </c>
    </row>
    <row r="1684" spans="1:13" ht="15" customHeight="1" x14ac:dyDescent="0.25">
      <c r="A1684">
        <v>1683</v>
      </c>
      <c r="B1684" s="5">
        <v>45939</v>
      </c>
      <c r="C1684" t="s">
        <v>27</v>
      </c>
      <c r="D1684" t="s">
        <v>63</v>
      </c>
      <c r="E1684" t="s">
        <v>64</v>
      </c>
      <c r="F1684" t="s">
        <v>36</v>
      </c>
      <c r="G1684" s="6">
        <v>1206.96</v>
      </c>
      <c r="H1684" s="7">
        <v>0.2</v>
      </c>
      <c r="I1684" s="6">
        <v>241.39</v>
      </c>
      <c r="J1684" s="6">
        <v>1448.35</v>
      </c>
      <c r="K1684" t="s">
        <v>3425</v>
      </c>
      <c r="L1684" t="s">
        <v>3426</v>
      </c>
    </row>
    <row r="1685" spans="1:13" ht="15" customHeight="1" x14ac:dyDescent="0.25">
      <c r="A1685">
        <v>1684</v>
      </c>
      <c r="B1685" s="5">
        <v>45700</v>
      </c>
      <c r="C1685" t="s">
        <v>33</v>
      </c>
      <c r="D1685" t="s">
        <v>63</v>
      </c>
      <c r="E1685" t="s">
        <v>64</v>
      </c>
      <c r="F1685" t="s">
        <v>120</v>
      </c>
      <c r="G1685" s="6">
        <v>4255.75</v>
      </c>
      <c r="H1685" s="7">
        <v>0.2</v>
      </c>
      <c r="I1685" s="6">
        <v>851.15</v>
      </c>
      <c r="J1685" s="6">
        <v>5106.8999999999996</v>
      </c>
      <c r="K1685" t="s">
        <v>3427</v>
      </c>
      <c r="L1685" t="s">
        <v>3428</v>
      </c>
    </row>
    <row r="1686" spans="1:13" ht="15" customHeight="1" x14ac:dyDescent="0.25">
      <c r="A1686">
        <v>1685</v>
      </c>
      <c r="B1686" s="5">
        <v>45762</v>
      </c>
      <c r="C1686" t="s">
        <v>27</v>
      </c>
      <c r="D1686" t="s">
        <v>28</v>
      </c>
      <c r="E1686" t="s">
        <v>29</v>
      </c>
      <c r="F1686" t="s">
        <v>81</v>
      </c>
      <c r="G1686" s="6">
        <v>391.87</v>
      </c>
      <c r="H1686" s="7">
        <v>2.1000000000000001E-2</v>
      </c>
      <c r="I1686" s="6">
        <v>8.23</v>
      </c>
      <c r="J1686" s="6">
        <v>400.1</v>
      </c>
      <c r="K1686" t="s">
        <v>3429</v>
      </c>
      <c r="L1686" t="s">
        <v>3430</v>
      </c>
    </row>
    <row r="1687" spans="1:13" ht="15" customHeight="1" x14ac:dyDescent="0.25">
      <c r="A1687">
        <v>1686</v>
      </c>
      <c r="B1687" s="5">
        <v>45756</v>
      </c>
      <c r="C1687" t="s">
        <v>27</v>
      </c>
      <c r="D1687" t="s">
        <v>42</v>
      </c>
      <c r="E1687" t="s">
        <v>43</v>
      </c>
      <c r="F1687" t="s">
        <v>44</v>
      </c>
      <c r="G1687" s="6">
        <v>3152.74</v>
      </c>
      <c r="H1687" s="7">
        <v>0</v>
      </c>
      <c r="I1687" s="6">
        <v>0</v>
      </c>
      <c r="J1687" s="6">
        <v>3152.74</v>
      </c>
      <c r="K1687" t="s">
        <v>3431</v>
      </c>
      <c r="L1687" t="s">
        <v>3432</v>
      </c>
    </row>
    <row r="1688" spans="1:13" ht="15" customHeight="1" x14ac:dyDescent="0.25">
      <c r="A1688">
        <v>1687</v>
      </c>
      <c r="B1688" s="5">
        <v>45736</v>
      </c>
      <c r="C1688" t="s">
        <v>27</v>
      </c>
      <c r="D1688" t="s">
        <v>172</v>
      </c>
      <c r="E1688" t="s">
        <v>173</v>
      </c>
      <c r="F1688" t="s">
        <v>36</v>
      </c>
      <c r="G1688" s="6">
        <v>1478.31</v>
      </c>
      <c r="H1688" s="7">
        <v>0.2</v>
      </c>
      <c r="I1688" s="6">
        <v>295.66000000000003</v>
      </c>
      <c r="J1688" s="6">
        <v>1773.97</v>
      </c>
      <c r="K1688" t="s">
        <v>3433</v>
      </c>
      <c r="L1688" t="s">
        <v>3434</v>
      </c>
    </row>
    <row r="1689" spans="1:13" ht="15" customHeight="1" x14ac:dyDescent="0.25">
      <c r="A1689">
        <v>1688</v>
      </c>
      <c r="B1689" s="5">
        <v>45784</v>
      </c>
      <c r="C1689" t="s">
        <v>33</v>
      </c>
      <c r="D1689" t="s">
        <v>94</v>
      </c>
      <c r="E1689" t="s">
        <v>95</v>
      </c>
      <c r="F1689" t="s">
        <v>44</v>
      </c>
      <c r="G1689" s="6">
        <v>811.55</v>
      </c>
      <c r="H1689" s="7">
        <v>0</v>
      </c>
      <c r="I1689" s="6">
        <v>0</v>
      </c>
      <c r="J1689" s="6">
        <v>811.55</v>
      </c>
      <c r="K1689" t="s">
        <v>3435</v>
      </c>
      <c r="L1689" t="s">
        <v>3436</v>
      </c>
    </row>
    <row r="1690" spans="1:13" ht="15" customHeight="1" x14ac:dyDescent="0.25">
      <c r="A1690">
        <v>1689</v>
      </c>
      <c r="B1690" s="5">
        <v>45691</v>
      </c>
      <c r="C1690" t="s">
        <v>27</v>
      </c>
      <c r="D1690" t="s">
        <v>172</v>
      </c>
      <c r="E1690" t="s">
        <v>173</v>
      </c>
      <c r="F1690" t="s">
        <v>87</v>
      </c>
      <c r="G1690" s="6">
        <v>1535.76</v>
      </c>
      <c r="H1690" s="7">
        <v>0.2</v>
      </c>
      <c r="I1690" s="6">
        <v>307.14999999999998</v>
      </c>
      <c r="J1690" s="6">
        <v>1842.91</v>
      </c>
      <c r="K1690" t="s">
        <v>3437</v>
      </c>
      <c r="L1690" t="s">
        <v>3438</v>
      </c>
    </row>
    <row r="1691" spans="1:13" ht="15" customHeight="1" x14ac:dyDescent="0.25">
      <c r="A1691">
        <v>1690</v>
      </c>
      <c r="B1691" s="5">
        <v>45798</v>
      </c>
      <c r="C1691" t="s">
        <v>47</v>
      </c>
      <c r="D1691" t="s">
        <v>42</v>
      </c>
      <c r="E1691" t="s">
        <v>43</v>
      </c>
      <c r="F1691" t="s">
        <v>44</v>
      </c>
      <c r="G1691" s="6">
        <v>2705.17</v>
      </c>
      <c r="H1691" s="7">
        <v>0</v>
      </c>
      <c r="I1691" s="6">
        <v>0</v>
      </c>
      <c r="J1691" s="6">
        <v>2705.17</v>
      </c>
      <c r="K1691" t="s">
        <v>3439</v>
      </c>
      <c r="L1691" t="s">
        <v>3440</v>
      </c>
    </row>
    <row r="1692" spans="1:13" ht="15" customHeight="1" x14ac:dyDescent="0.25">
      <c r="A1692">
        <v>1691</v>
      </c>
      <c r="B1692" s="5">
        <v>45721</v>
      </c>
      <c r="C1692" t="s">
        <v>47</v>
      </c>
      <c r="D1692" t="s">
        <v>115</v>
      </c>
      <c r="E1692" t="s">
        <v>116</v>
      </c>
      <c r="F1692" t="s">
        <v>44</v>
      </c>
      <c r="G1692" s="6">
        <v>3547.99</v>
      </c>
      <c r="H1692" s="7">
        <v>0</v>
      </c>
      <c r="I1692" s="6">
        <v>0</v>
      </c>
      <c r="J1692" s="6">
        <v>3547.99</v>
      </c>
      <c r="K1692" t="s">
        <v>3441</v>
      </c>
      <c r="L1692" t="s">
        <v>3442</v>
      </c>
      <c r="M1692" t="s">
        <v>119</v>
      </c>
    </row>
    <row r="1693" spans="1:13" ht="15" customHeight="1" x14ac:dyDescent="0.25">
      <c r="A1693">
        <v>1692</v>
      </c>
      <c r="B1693" s="5">
        <v>45908</v>
      </c>
      <c r="C1693" t="s">
        <v>27</v>
      </c>
      <c r="D1693" t="s">
        <v>42</v>
      </c>
      <c r="E1693" t="s">
        <v>43</v>
      </c>
      <c r="F1693" t="s">
        <v>44</v>
      </c>
      <c r="G1693" s="6">
        <v>2637.36</v>
      </c>
      <c r="H1693" s="7">
        <v>0</v>
      </c>
      <c r="I1693" s="6">
        <v>0</v>
      </c>
      <c r="J1693" s="6">
        <v>2637.36</v>
      </c>
      <c r="K1693" t="s">
        <v>3443</v>
      </c>
      <c r="L1693" t="s">
        <v>3444</v>
      </c>
    </row>
    <row r="1694" spans="1:13" ht="15" customHeight="1" x14ac:dyDescent="0.25">
      <c r="A1694">
        <v>1693</v>
      </c>
      <c r="B1694" s="5">
        <v>45708</v>
      </c>
      <c r="C1694" t="s">
        <v>47</v>
      </c>
      <c r="D1694" t="s">
        <v>172</v>
      </c>
      <c r="E1694" t="s">
        <v>173</v>
      </c>
      <c r="F1694" t="s">
        <v>30</v>
      </c>
      <c r="G1694" s="6">
        <v>4042.84</v>
      </c>
      <c r="H1694" s="7">
        <v>0.2</v>
      </c>
      <c r="I1694" s="6">
        <v>808.57</v>
      </c>
      <c r="J1694" s="6">
        <v>4851.41</v>
      </c>
      <c r="K1694" t="s">
        <v>3445</v>
      </c>
      <c r="L1694" t="s">
        <v>3446</v>
      </c>
    </row>
    <row r="1695" spans="1:13" ht="15" customHeight="1" x14ac:dyDescent="0.25">
      <c r="A1695">
        <v>1694</v>
      </c>
      <c r="B1695" s="5">
        <v>45930</v>
      </c>
      <c r="C1695" t="s">
        <v>47</v>
      </c>
      <c r="D1695" t="s">
        <v>28</v>
      </c>
      <c r="E1695" t="s">
        <v>29</v>
      </c>
      <c r="F1695" t="s">
        <v>36</v>
      </c>
      <c r="G1695" s="6">
        <v>2518.39</v>
      </c>
      <c r="H1695" s="7">
        <v>2.1000000000000001E-2</v>
      </c>
      <c r="I1695" s="6">
        <v>52.89</v>
      </c>
      <c r="J1695" s="6">
        <v>2571.2800000000002</v>
      </c>
      <c r="K1695" t="s">
        <v>3447</v>
      </c>
      <c r="L1695" t="s">
        <v>3448</v>
      </c>
    </row>
    <row r="1696" spans="1:13" ht="15" customHeight="1" x14ac:dyDescent="0.25">
      <c r="A1696">
        <v>1695</v>
      </c>
      <c r="B1696" s="5">
        <v>46009</v>
      </c>
      <c r="C1696" t="s">
        <v>27</v>
      </c>
      <c r="D1696" t="s">
        <v>28</v>
      </c>
      <c r="E1696" t="s">
        <v>29</v>
      </c>
      <c r="F1696" t="s">
        <v>30</v>
      </c>
      <c r="G1696" s="6">
        <v>2349.96</v>
      </c>
      <c r="H1696" s="7">
        <v>2.1000000000000001E-2</v>
      </c>
      <c r="I1696" s="6">
        <v>49.35</v>
      </c>
      <c r="J1696" s="6">
        <v>2399.31</v>
      </c>
      <c r="K1696" t="s">
        <v>3449</v>
      </c>
      <c r="L1696" t="s">
        <v>3450</v>
      </c>
    </row>
    <row r="1697" spans="1:13" ht="15" customHeight="1" x14ac:dyDescent="0.25">
      <c r="A1697">
        <v>1696</v>
      </c>
      <c r="B1697" s="5">
        <v>45685</v>
      </c>
      <c r="C1697" t="s">
        <v>33</v>
      </c>
      <c r="D1697" t="s">
        <v>28</v>
      </c>
      <c r="E1697" t="s">
        <v>29</v>
      </c>
      <c r="F1697" t="s">
        <v>120</v>
      </c>
      <c r="G1697" s="6">
        <v>4139.51</v>
      </c>
      <c r="H1697" s="7">
        <v>2.1000000000000001E-2</v>
      </c>
      <c r="I1697" s="6">
        <v>86.93</v>
      </c>
      <c r="J1697" s="6">
        <v>4226.4399999999996</v>
      </c>
      <c r="K1697" t="s">
        <v>3451</v>
      </c>
      <c r="L1697" t="s">
        <v>3452</v>
      </c>
    </row>
    <row r="1698" spans="1:13" ht="15" customHeight="1" x14ac:dyDescent="0.25">
      <c r="A1698">
        <v>1697</v>
      </c>
      <c r="B1698" s="5">
        <v>45751</v>
      </c>
      <c r="C1698" t="s">
        <v>27</v>
      </c>
      <c r="D1698" t="s">
        <v>42</v>
      </c>
      <c r="E1698" t="s">
        <v>43</v>
      </c>
      <c r="F1698" t="s">
        <v>44</v>
      </c>
      <c r="G1698" s="6">
        <v>2649.6</v>
      </c>
      <c r="H1698" s="7">
        <v>0</v>
      </c>
      <c r="I1698" s="6">
        <v>0</v>
      </c>
      <c r="J1698" s="6">
        <v>2649.6</v>
      </c>
      <c r="K1698" t="s">
        <v>3453</v>
      </c>
      <c r="L1698" t="s">
        <v>3454</v>
      </c>
    </row>
    <row r="1699" spans="1:13" ht="15" customHeight="1" x14ac:dyDescent="0.25">
      <c r="A1699">
        <v>1698</v>
      </c>
      <c r="B1699" s="5">
        <v>45877</v>
      </c>
      <c r="C1699" t="s">
        <v>27</v>
      </c>
      <c r="D1699" t="s">
        <v>55</v>
      </c>
      <c r="E1699" t="s">
        <v>56</v>
      </c>
      <c r="F1699" t="s">
        <v>81</v>
      </c>
      <c r="G1699" s="6">
        <v>2381.0300000000002</v>
      </c>
      <c r="H1699" s="7">
        <v>5.5E-2</v>
      </c>
      <c r="I1699" s="6">
        <v>130.96</v>
      </c>
      <c r="J1699" s="6">
        <v>2511.9899999999998</v>
      </c>
      <c r="K1699" t="s">
        <v>3455</v>
      </c>
      <c r="L1699" t="s">
        <v>3456</v>
      </c>
    </row>
    <row r="1700" spans="1:13" ht="15" customHeight="1" x14ac:dyDescent="0.25">
      <c r="A1700">
        <v>1699</v>
      </c>
      <c r="B1700" s="5">
        <v>45702</v>
      </c>
      <c r="C1700" t="s">
        <v>33</v>
      </c>
      <c r="D1700" t="s">
        <v>55</v>
      </c>
      <c r="E1700" t="s">
        <v>56</v>
      </c>
      <c r="F1700" t="s">
        <v>36</v>
      </c>
      <c r="G1700" s="6">
        <v>4267.75</v>
      </c>
      <c r="H1700" s="7">
        <v>5.5E-2</v>
      </c>
      <c r="I1700" s="6">
        <v>234.73</v>
      </c>
      <c r="J1700" s="6">
        <v>4502.4799999999996</v>
      </c>
      <c r="K1700" t="s">
        <v>3457</v>
      </c>
      <c r="L1700" t="s">
        <v>3458</v>
      </c>
    </row>
    <row r="1701" spans="1:13" ht="15" customHeight="1" x14ac:dyDescent="0.25">
      <c r="A1701">
        <v>1700</v>
      </c>
      <c r="B1701" s="5">
        <v>45982</v>
      </c>
      <c r="C1701" t="s">
        <v>47</v>
      </c>
      <c r="D1701" t="s">
        <v>42</v>
      </c>
      <c r="E1701" t="s">
        <v>43</v>
      </c>
      <c r="F1701" t="s">
        <v>44</v>
      </c>
      <c r="G1701" s="6">
        <v>3551.89</v>
      </c>
      <c r="H1701" s="7">
        <v>0</v>
      </c>
      <c r="I1701" s="6">
        <v>0</v>
      </c>
      <c r="J1701" s="6">
        <v>3551.89</v>
      </c>
      <c r="K1701" t="s">
        <v>3459</v>
      </c>
      <c r="L1701" t="s">
        <v>3460</v>
      </c>
    </row>
    <row r="1702" spans="1:13" ht="15" customHeight="1" x14ac:dyDescent="0.25">
      <c r="A1702">
        <v>1701</v>
      </c>
      <c r="B1702" s="5">
        <v>45701</v>
      </c>
      <c r="C1702" t="s">
        <v>33</v>
      </c>
      <c r="D1702" t="s">
        <v>172</v>
      </c>
      <c r="E1702" t="s">
        <v>173</v>
      </c>
      <c r="F1702" t="s">
        <v>106</v>
      </c>
      <c r="G1702" s="6">
        <v>3365.87</v>
      </c>
      <c r="H1702" s="7">
        <v>0.2</v>
      </c>
      <c r="I1702" s="6">
        <v>673.17</v>
      </c>
      <c r="J1702" s="6">
        <v>4039.04</v>
      </c>
      <c r="K1702" t="s">
        <v>3461</v>
      </c>
      <c r="L1702" t="s">
        <v>3462</v>
      </c>
    </row>
    <row r="1703" spans="1:13" ht="15" customHeight="1" x14ac:dyDescent="0.25">
      <c r="A1703">
        <v>1702</v>
      </c>
      <c r="B1703" s="5">
        <v>45875</v>
      </c>
      <c r="C1703" t="s">
        <v>33</v>
      </c>
      <c r="D1703" t="s">
        <v>94</v>
      </c>
      <c r="E1703" t="s">
        <v>95</v>
      </c>
      <c r="F1703" t="s">
        <v>44</v>
      </c>
      <c r="G1703" s="6">
        <v>2831.1</v>
      </c>
      <c r="H1703" s="7">
        <v>0</v>
      </c>
      <c r="I1703" s="6">
        <v>0</v>
      </c>
      <c r="J1703" s="6">
        <v>2831.1</v>
      </c>
      <c r="K1703" t="s">
        <v>3463</v>
      </c>
      <c r="L1703" t="s">
        <v>3464</v>
      </c>
    </row>
    <row r="1704" spans="1:13" ht="15" customHeight="1" x14ac:dyDescent="0.25">
      <c r="A1704">
        <v>1703</v>
      </c>
      <c r="B1704" s="5">
        <v>46008</v>
      </c>
      <c r="C1704" t="s">
        <v>47</v>
      </c>
      <c r="D1704" t="s">
        <v>79</v>
      </c>
      <c r="E1704" t="s">
        <v>80</v>
      </c>
      <c r="F1704" t="s">
        <v>106</v>
      </c>
      <c r="G1704" s="6">
        <v>4490.96</v>
      </c>
      <c r="H1704" s="7">
        <v>0.2</v>
      </c>
      <c r="I1704" s="6">
        <v>898.19</v>
      </c>
      <c r="J1704" s="6">
        <v>5389.15</v>
      </c>
      <c r="K1704" t="s">
        <v>3465</v>
      </c>
      <c r="L1704" t="s">
        <v>3466</v>
      </c>
    </row>
    <row r="1705" spans="1:13" ht="15" customHeight="1" x14ac:dyDescent="0.25">
      <c r="A1705">
        <v>1704</v>
      </c>
      <c r="B1705" s="5">
        <v>45973</v>
      </c>
      <c r="C1705" t="s">
        <v>33</v>
      </c>
      <c r="D1705" t="s">
        <v>63</v>
      </c>
      <c r="E1705" t="s">
        <v>64</v>
      </c>
      <c r="F1705" t="s">
        <v>81</v>
      </c>
      <c r="G1705" s="6">
        <v>920.61</v>
      </c>
      <c r="H1705" s="7">
        <v>0.2</v>
      </c>
      <c r="I1705" s="6">
        <v>184.12</v>
      </c>
      <c r="J1705" s="6">
        <v>1104.73</v>
      </c>
      <c r="K1705" t="s">
        <v>3467</v>
      </c>
      <c r="L1705" t="s">
        <v>3468</v>
      </c>
    </row>
    <row r="1706" spans="1:13" ht="15" customHeight="1" x14ac:dyDescent="0.25">
      <c r="A1706">
        <v>1705</v>
      </c>
      <c r="B1706" s="5">
        <v>45931</v>
      </c>
      <c r="C1706" t="s">
        <v>27</v>
      </c>
      <c r="D1706" t="s">
        <v>63</v>
      </c>
      <c r="E1706" t="s">
        <v>64</v>
      </c>
      <c r="F1706" t="s">
        <v>71</v>
      </c>
      <c r="G1706" s="6">
        <v>3393.53</v>
      </c>
      <c r="H1706" s="7">
        <v>0.2</v>
      </c>
      <c r="I1706" s="6">
        <v>678.71</v>
      </c>
      <c r="J1706" s="6">
        <v>4072.24</v>
      </c>
      <c r="K1706" t="s">
        <v>3469</v>
      </c>
      <c r="L1706" t="s">
        <v>3470</v>
      </c>
    </row>
    <row r="1707" spans="1:13" ht="15" customHeight="1" x14ac:dyDescent="0.25">
      <c r="A1707">
        <v>1706</v>
      </c>
      <c r="B1707" s="5">
        <v>46008</v>
      </c>
      <c r="C1707" t="s">
        <v>27</v>
      </c>
      <c r="D1707" t="s">
        <v>100</v>
      </c>
      <c r="E1707" t="s">
        <v>101</v>
      </c>
      <c r="F1707" t="s">
        <v>44</v>
      </c>
      <c r="G1707" s="6">
        <v>3257.7</v>
      </c>
      <c r="H1707" s="7">
        <v>0</v>
      </c>
      <c r="I1707" s="6">
        <v>0</v>
      </c>
      <c r="J1707" s="6">
        <v>3257.7</v>
      </c>
      <c r="K1707" t="s">
        <v>3471</v>
      </c>
      <c r="L1707" t="s">
        <v>3472</v>
      </c>
    </row>
    <row r="1708" spans="1:13" ht="15" customHeight="1" x14ac:dyDescent="0.25">
      <c r="A1708">
        <v>1707</v>
      </c>
      <c r="B1708" s="5">
        <v>45926</v>
      </c>
      <c r="C1708" t="s">
        <v>27</v>
      </c>
      <c r="D1708" t="s">
        <v>100</v>
      </c>
      <c r="E1708" t="s">
        <v>101</v>
      </c>
      <c r="F1708" t="s">
        <v>44</v>
      </c>
      <c r="G1708" s="6">
        <v>2219.5500000000002</v>
      </c>
      <c r="H1708" s="7">
        <v>0</v>
      </c>
      <c r="I1708" s="6">
        <v>0</v>
      </c>
      <c r="J1708" s="6">
        <v>2219.5500000000002</v>
      </c>
      <c r="K1708" t="s">
        <v>3473</v>
      </c>
      <c r="L1708" t="s">
        <v>3474</v>
      </c>
    </row>
    <row r="1709" spans="1:13" ht="15" customHeight="1" x14ac:dyDescent="0.25">
      <c r="A1709">
        <v>1708</v>
      </c>
      <c r="B1709" s="5">
        <v>45684</v>
      </c>
      <c r="C1709" t="s">
        <v>33</v>
      </c>
      <c r="D1709" t="s">
        <v>172</v>
      </c>
      <c r="E1709" t="s">
        <v>173</v>
      </c>
      <c r="F1709" t="s">
        <v>36</v>
      </c>
      <c r="G1709" s="6">
        <v>17190.36</v>
      </c>
      <c r="H1709" s="7">
        <v>0.2</v>
      </c>
      <c r="I1709" s="6">
        <v>3438.07</v>
      </c>
      <c r="J1709" s="6">
        <v>20628.43</v>
      </c>
      <c r="K1709" t="s">
        <v>3475</v>
      </c>
      <c r="L1709" t="s">
        <v>3476</v>
      </c>
      <c r="M1709" t="s">
        <v>580</v>
      </c>
    </row>
    <row r="1710" spans="1:13" ht="15" customHeight="1" x14ac:dyDescent="0.25">
      <c r="A1710">
        <v>1709</v>
      </c>
      <c r="B1710" s="5">
        <v>45831</v>
      </c>
      <c r="C1710" t="s">
        <v>47</v>
      </c>
      <c r="D1710" t="s">
        <v>94</v>
      </c>
      <c r="E1710" t="s">
        <v>95</v>
      </c>
      <c r="F1710" t="s">
        <v>44</v>
      </c>
      <c r="G1710" s="6">
        <v>1124.4100000000001</v>
      </c>
      <c r="H1710" s="7">
        <v>0</v>
      </c>
      <c r="I1710" s="6">
        <v>0</v>
      </c>
      <c r="J1710" s="6">
        <v>1124.4100000000001</v>
      </c>
      <c r="K1710" t="s">
        <v>3477</v>
      </c>
      <c r="L1710" t="s">
        <v>3478</v>
      </c>
    </row>
    <row r="1711" spans="1:13" ht="15" customHeight="1" x14ac:dyDescent="0.25">
      <c r="A1711">
        <v>1710</v>
      </c>
      <c r="B1711" s="5">
        <v>45905</v>
      </c>
      <c r="C1711" t="s">
        <v>33</v>
      </c>
      <c r="D1711" t="s">
        <v>55</v>
      </c>
      <c r="E1711" t="s">
        <v>56</v>
      </c>
      <c r="F1711" t="s">
        <v>71</v>
      </c>
      <c r="G1711" s="6">
        <v>1377.47</v>
      </c>
      <c r="H1711" s="7">
        <v>5.5E-2</v>
      </c>
      <c r="I1711" s="6">
        <v>75.760000000000005</v>
      </c>
      <c r="J1711" s="6">
        <v>1453.23</v>
      </c>
      <c r="K1711" t="s">
        <v>3479</v>
      </c>
      <c r="L1711" t="s">
        <v>3480</v>
      </c>
    </row>
    <row r="1712" spans="1:13" ht="15" customHeight="1" x14ac:dyDescent="0.25">
      <c r="A1712">
        <v>1711</v>
      </c>
      <c r="B1712" s="5">
        <v>45859</v>
      </c>
      <c r="C1712" t="s">
        <v>27</v>
      </c>
      <c r="D1712" t="s">
        <v>181</v>
      </c>
      <c r="E1712" t="s">
        <v>182</v>
      </c>
      <c r="F1712" t="s">
        <v>174</v>
      </c>
      <c r="G1712" s="6">
        <v>1041.19</v>
      </c>
      <c r="H1712" s="7">
        <v>0.2</v>
      </c>
      <c r="I1712" s="6">
        <v>208.24</v>
      </c>
      <c r="J1712" s="6">
        <v>1249.43</v>
      </c>
      <c r="K1712" t="s">
        <v>3481</v>
      </c>
      <c r="L1712" t="s">
        <v>3482</v>
      </c>
    </row>
    <row r="1713" spans="1:12" ht="15" customHeight="1" x14ac:dyDescent="0.25">
      <c r="A1713">
        <v>1712</v>
      </c>
      <c r="B1713" s="5">
        <v>45895</v>
      </c>
      <c r="C1713" t="s">
        <v>27</v>
      </c>
      <c r="D1713" t="s">
        <v>42</v>
      </c>
      <c r="E1713" t="s">
        <v>43</v>
      </c>
      <c r="F1713" t="s">
        <v>44</v>
      </c>
      <c r="G1713" s="6">
        <v>3836.04</v>
      </c>
      <c r="H1713" s="7">
        <v>0</v>
      </c>
      <c r="I1713" s="6">
        <v>0</v>
      </c>
      <c r="J1713" s="6">
        <v>3836.04</v>
      </c>
      <c r="K1713" t="s">
        <v>3483</v>
      </c>
      <c r="L1713" t="s">
        <v>3484</v>
      </c>
    </row>
    <row r="1714" spans="1:12" ht="15" customHeight="1" x14ac:dyDescent="0.25">
      <c r="A1714">
        <v>1713</v>
      </c>
      <c r="B1714" s="5">
        <v>45826</v>
      </c>
      <c r="C1714" t="s">
        <v>47</v>
      </c>
      <c r="D1714" t="s">
        <v>28</v>
      </c>
      <c r="E1714" t="s">
        <v>29</v>
      </c>
      <c r="F1714" t="s">
        <v>87</v>
      </c>
      <c r="G1714" s="6">
        <v>1398.71</v>
      </c>
      <c r="H1714" s="7">
        <v>2.1000000000000001E-2</v>
      </c>
      <c r="I1714" s="6">
        <v>29.37</v>
      </c>
      <c r="J1714" s="6">
        <v>1428.08</v>
      </c>
      <c r="K1714" t="s">
        <v>3485</v>
      </c>
      <c r="L1714" t="s">
        <v>3486</v>
      </c>
    </row>
    <row r="1715" spans="1:12" ht="15" customHeight="1" x14ac:dyDescent="0.25">
      <c r="A1715">
        <v>1714</v>
      </c>
      <c r="B1715" s="5">
        <v>45863</v>
      </c>
      <c r="C1715" t="s">
        <v>47</v>
      </c>
      <c r="D1715" t="s">
        <v>100</v>
      </c>
      <c r="E1715" t="s">
        <v>101</v>
      </c>
      <c r="F1715" t="s">
        <v>44</v>
      </c>
      <c r="G1715" s="6">
        <v>2043.21</v>
      </c>
      <c r="H1715" s="7">
        <v>0</v>
      </c>
      <c r="I1715" s="6">
        <v>0</v>
      </c>
      <c r="J1715" s="6">
        <v>2043.21</v>
      </c>
      <c r="K1715" t="s">
        <v>3487</v>
      </c>
      <c r="L1715" t="s">
        <v>3488</v>
      </c>
    </row>
    <row r="1716" spans="1:12" ht="15" customHeight="1" x14ac:dyDescent="0.25">
      <c r="A1716">
        <v>1715</v>
      </c>
      <c r="B1716" s="5">
        <v>45736</v>
      </c>
      <c r="C1716" t="s">
        <v>33</v>
      </c>
      <c r="D1716" t="s">
        <v>28</v>
      </c>
      <c r="E1716" t="s">
        <v>29</v>
      </c>
      <c r="F1716" t="s">
        <v>76</v>
      </c>
      <c r="G1716" s="6">
        <v>1895.38</v>
      </c>
      <c r="H1716" s="7">
        <v>2.1000000000000001E-2</v>
      </c>
      <c r="I1716" s="6">
        <v>39.799999999999997</v>
      </c>
      <c r="J1716" s="6">
        <v>1935.18</v>
      </c>
      <c r="K1716" t="s">
        <v>3489</v>
      </c>
      <c r="L1716" t="s">
        <v>3490</v>
      </c>
    </row>
    <row r="1717" spans="1:12" ht="15" customHeight="1" x14ac:dyDescent="0.25">
      <c r="A1717">
        <v>1716</v>
      </c>
      <c r="B1717" s="5">
        <v>45786</v>
      </c>
      <c r="C1717" t="s">
        <v>33</v>
      </c>
      <c r="D1717" t="s">
        <v>42</v>
      </c>
      <c r="E1717" t="s">
        <v>43</v>
      </c>
      <c r="F1717" t="s">
        <v>44</v>
      </c>
      <c r="G1717" s="6">
        <v>2748.86</v>
      </c>
      <c r="H1717" s="7">
        <v>0</v>
      </c>
      <c r="I1717" s="6">
        <v>0</v>
      </c>
      <c r="J1717" s="6">
        <v>2748.86</v>
      </c>
      <c r="K1717" t="s">
        <v>3491</v>
      </c>
      <c r="L1717" t="s">
        <v>3492</v>
      </c>
    </row>
    <row r="1718" spans="1:12" ht="15" customHeight="1" x14ac:dyDescent="0.25">
      <c r="A1718">
        <v>1717</v>
      </c>
      <c r="B1718" s="5">
        <v>45751</v>
      </c>
      <c r="C1718" t="s">
        <v>47</v>
      </c>
      <c r="D1718" t="s">
        <v>63</v>
      </c>
      <c r="E1718" t="s">
        <v>64</v>
      </c>
      <c r="F1718" t="s">
        <v>174</v>
      </c>
      <c r="G1718" s="6">
        <v>2451.0100000000002</v>
      </c>
      <c r="H1718" s="7">
        <v>0.2</v>
      </c>
      <c r="I1718" s="6">
        <v>490.2</v>
      </c>
      <c r="J1718" s="6">
        <v>2941.21</v>
      </c>
      <c r="K1718" t="s">
        <v>3493</v>
      </c>
      <c r="L1718" t="s">
        <v>3494</v>
      </c>
    </row>
    <row r="1719" spans="1:12" ht="15" customHeight="1" x14ac:dyDescent="0.25">
      <c r="A1719">
        <v>1718</v>
      </c>
      <c r="B1719" s="5">
        <v>45882</v>
      </c>
      <c r="C1719" t="s">
        <v>47</v>
      </c>
      <c r="D1719" t="s">
        <v>34</v>
      </c>
      <c r="E1719" t="s">
        <v>35</v>
      </c>
      <c r="F1719" t="s">
        <v>50</v>
      </c>
      <c r="G1719" s="6">
        <v>795.31</v>
      </c>
      <c r="H1719" s="7">
        <v>0.2</v>
      </c>
      <c r="I1719" s="6">
        <v>159.06</v>
      </c>
      <c r="J1719" s="6">
        <v>954.37</v>
      </c>
      <c r="K1719" t="s">
        <v>3495</v>
      </c>
      <c r="L1719" t="s">
        <v>3496</v>
      </c>
    </row>
    <row r="1720" spans="1:12" ht="15" customHeight="1" x14ac:dyDescent="0.25">
      <c r="A1720">
        <v>1719</v>
      </c>
      <c r="B1720" s="5">
        <v>46021</v>
      </c>
      <c r="C1720" t="s">
        <v>47</v>
      </c>
      <c r="D1720" t="s">
        <v>28</v>
      </c>
      <c r="E1720" t="s">
        <v>29</v>
      </c>
      <c r="F1720" t="s">
        <v>71</v>
      </c>
      <c r="G1720" s="6">
        <v>957.21</v>
      </c>
      <c r="H1720" s="7">
        <v>2.1000000000000001E-2</v>
      </c>
      <c r="I1720" s="6">
        <v>20.100000000000001</v>
      </c>
      <c r="J1720" s="6">
        <v>977.31</v>
      </c>
      <c r="K1720" t="s">
        <v>3497</v>
      </c>
      <c r="L1720" t="s">
        <v>3498</v>
      </c>
    </row>
    <row r="1721" spans="1:12" ht="15" customHeight="1" x14ac:dyDescent="0.25">
      <c r="A1721">
        <v>1720</v>
      </c>
      <c r="B1721" s="5">
        <v>45873</v>
      </c>
      <c r="C1721" t="s">
        <v>33</v>
      </c>
      <c r="D1721" t="s">
        <v>28</v>
      </c>
      <c r="E1721" t="s">
        <v>29</v>
      </c>
      <c r="F1721" t="s">
        <v>39</v>
      </c>
      <c r="G1721" s="6">
        <v>3368.14</v>
      </c>
      <c r="H1721" s="7">
        <v>2.1000000000000001E-2</v>
      </c>
      <c r="I1721" s="6">
        <v>70.73</v>
      </c>
      <c r="J1721" s="6">
        <v>3438.87</v>
      </c>
      <c r="K1721" t="s">
        <v>3499</v>
      </c>
      <c r="L1721" t="s">
        <v>3500</v>
      </c>
    </row>
    <row r="1722" spans="1:12" ht="15" customHeight="1" x14ac:dyDescent="0.25">
      <c r="A1722">
        <v>1721</v>
      </c>
      <c r="B1722" s="5">
        <v>45903</v>
      </c>
      <c r="C1722" t="s">
        <v>27</v>
      </c>
      <c r="D1722" t="s">
        <v>28</v>
      </c>
      <c r="E1722" t="s">
        <v>29</v>
      </c>
      <c r="F1722" t="s">
        <v>174</v>
      </c>
      <c r="G1722" s="6">
        <v>4321.87</v>
      </c>
      <c r="H1722" s="7">
        <v>2.1000000000000001E-2</v>
      </c>
      <c r="I1722" s="6">
        <v>90.76</v>
      </c>
      <c r="J1722" s="6">
        <v>4412.63</v>
      </c>
      <c r="K1722" t="s">
        <v>3501</v>
      </c>
      <c r="L1722" t="s">
        <v>3502</v>
      </c>
    </row>
    <row r="1723" spans="1:12" ht="15" customHeight="1" x14ac:dyDescent="0.25">
      <c r="A1723">
        <v>1722</v>
      </c>
      <c r="B1723" s="5">
        <v>45911</v>
      </c>
      <c r="C1723" t="s">
        <v>47</v>
      </c>
      <c r="D1723" t="s">
        <v>79</v>
      </c>
      <c r="E1723" t="s">
        <v>80</v>
      </c>
      <c r="F1723" t="s">
        <v>81</v>
      </c>
      <c r="G1723" s="6">
        <v>3615.2</v>
      </c>
      <c r="H1723" s="7">
        <v>0.2</v>
      </c>
      <c r="I1723" s="6">
        <v>723.04</v>
      </c>
      <c r="J1723" s="6">
        <v>4338.24</v>
      </c>
      <c r="K1723" t="s">
        <v>3503</v>
      </c>
      <c r="L1723" t="s">
        <v>3504</v>
      </c>
    </row>
    <row r="1724" spans="1:12" ht="15" customHeight="1" x14ac:dyDescent="0.25">
      <c r="A1724">
        <v>1723</v>
      </c>
      <c r="B1724" s="5">
        <v>45862</v>
      </c>
      <c r="C1724" t="s">
        <v>47</v>
      </c>
      <c r="D1724" t="s">
        <v>42</v>
      </c>
      <c r="E1724" t="s">
        <v>43</v>
      </c>
      <c r="F1724" t="s">
        <v>44</v>
      </c>
      <c r="G1724" s="6">
        <v>4016.55</v>
      </c>
      <c r="H1724" s="7">
        <v>0</v>
      </c>
      <c r="I1724" s="6">
        <v>0</v>
      </c>
      <c r="J1724" s="6">
        <v>4016.55</v>
      </c>
      <c r="K1724" t="s">
        <v>3505</v>
      </c>
      <c r="L1724" t="s">
        <v>3506</v>
      </c>
    </row>
    <row r="1725" spans="1:12" ht="15" customHeight="1" x14ac:dyDescent="0.25">
      <c r="A1725">
        <v>1724</v>
      </c>
      <c r="B1725" s="5">
        <v>45713</v>
      </c>
      <c r="C1725" t="s">
        <v>47</v>
      </c>
      <c r="D1725" t="s">
        <v>28</v>
      </c>
      <c r="E1725" t="s">
        <v>29</v>
      </c>
      <c r="F1725" t="s">
        <v>30</v>
      </c>
      <c r="G1725" s="6">
        <v>3583.79</v>
      </c>
      <c r="H1725" s="7">
        <v>2.1000000000000001E-2</v>
      </c>
      <c r="I1725" s="6">
        <v>75.260000000000005</v>
      </c>
      <c r="J1725" s="6">
        <v>3659.05</v>
      </c>
      <c r="K1725" t="s">
        <v>3507</v>
      </c>
      <c r="L1725" t="s">
        <v>3508</v>
      </c>
    </row>
    <row r="1726" spans="1:12" ht="15" customHeight="1" x14ac:dyDescent="0.25">
      <c r="A1726">
        <v>1725</v>
      </c>
      <c r="B1726" s="5">
        <v>46008</v>
      </c>
      <c r="C1726" t="s">
        <v>47</v>
      </c>
      <c r="D1726" t="s">
        <v>79</v>
      </c>
      <c r="E1726" t="s">
        <v>80</v>
      </c>
      <c r="F1726" t="s">
        <v>120</v>
      </c>
      <c r="G1726" s="6">
        <v>1125.3499999999999</v>
      </c>
      <c r="H1726" s="7">
        <v>0.2</v>
      </c>
      <c r="I1726" s="6">
        <v>225.07</v>
      </c>
      <c r="J1726" s="6">
        <v>1350.42</v>
      </c>
      <c r="K1726" t="s">
        <v>3509</v>
      </c>
      <c r="L1726" t="s">
        <v>3510</v>
      </c>
    </row>
    <row r="1727" spans="1:12" ht="15" customHeight="1" x14ac:dyDescent="0.25">
      <c r="A1727">
        <v>1726</v>
      </c>
      <c r="B1727" s="5">
        <v>45880</v>
      </c>
      <c r="C1727" t="s">
        <v>47</v>
      </c>
      <c r="D1727" t="s">
        <v>63</v>
      </c>
      <c r="E1727" t="s">
        <v>64</v>
      </c>
      <c r="F1727" t="s">
        <v>174</v>
      </c>
      <c r="G1727" s="6">
        <v>2202.4499999999998</v>
      </c>
      <c r="H1727" s="7">
        <v>0.2</v>
      </c>
      <c r="I1727" s="6">
        <v>440.49</v>
      </c>
      <c r="J1727" s="6">
        <v>2642.94</v>
      </c>
      <c r="K1727" t="s">
        <v>3511</v>
      </c>
      <c r="L1727" t="s">
        <v>3512</v>
      </c>
    </row>
    <row r="1728" spans="1:12" ht="15" customHeight="1" x14ac:dyDescent="0.25">
      <c r="A1728">
        <v>1727</v>
      </c>
      <c r="B1728" s="5">
        <v>45784</v>
      </c>
      <c r="C1728" t="s">
        <v>33</v>
      </c>
      <c r="D1728" t="s">
        <v>42</v>
      </c>
      <c r="E1728" t="s">
        <v>43</v>
      </c>
      <c r="F1728" t="s">
        <v>44</v>
      </c>
      <c r="G1728" s="6">
        <v>3550.2</v>
      </c>
      <c r="H1728" s="7">
        <v>0</v>
      </c>
      <c r="I1728" s="6">
        <v>0</v>
      </c>
      <c r="J1728" s="6">
        <v>3550.2</v>
      </c>
      <c r="K1728" t="s">
        <v>3513</v>
      </c>
      <c r="L1728" t="s">
        <v>3514</v>
      </c>
    </row>
    <row r="1729" spans="1:12" ht="15" customHeight="1" x14ac:dyDescent="0.25">
      <c r="A1729">
        <v>1728</v>
      </c>
      <c r="B1729" s="5">
        <v>45716</v>
      </c>
      <c r="C1729" t="s">
        <v>33</v>
      </c>
      <c r="D1729" t="s">
        <v>55</v>
      </c>
      <c r="E1729" t="s">
        <v>56</v>
      </c>
      <c r="F1729" t="s">
        <v>81</v>
      </c>
      <c r="G1729" s="6">
        <v>3899.62</v>
      </c>
      <c r="H1729" s="7">
        <v>5.5E-2</v>
      </c>
      <c r="I1729" s="6">
        <v>214.48</v>
      </c>
      <c r="J1729" s="6">
        <v>4114.1000000000004</v>
      </c>
      <c r="K1729" t="s">
        <v>3515</v>
      </c>
      <c r="L1729" t="s">
        <v>3516</v>
      </c>
    </row>
    <row r="1730" spans="1:12" ht="15" customHeight="1" x14ac:dyDescent="0.25">
      <c r="A1730">
        <v>1729</v>
      </c>
      <c r="B1730" s="5">
        <v>46016</v>
      </c>
      <c r="C1730" t="s">
        <v>27</v>
      </c>
      <c r="D1730" t="s">
        <v>42</v>
      </c>
      <c r="E1730" t="s">
        <v>43</v>
      </c>
      <c r="F1730" t="s">
        <v>44</v>
      </c>
      <c r="G1730" s="6">
        <v>3266.64</v>
      </c>
      <c r="H1730" s="7">
        <v>0</v>
      </c>
      <c r="I1730" s="6">
        <v>0</v>
      </c>
      <c r="J1730" s="6">
        <v>3266.64</v>
      </c>
      <c r="K1730" t="s">
        <v>3517</v>
      </c>
      <c r="L1730" t="s">
        <v>3518</v>
      </c>
    </row>
    <row r="1731" spans="1:12" ht="15" customHeight="1" x14ac:dyDescent="0.25">
      <c r="A1731">
        <v>1730</v>
      </c>
      <c r="B1731" s="5">
        <v>45734</v>
      </c>
      <c r="C1731" t="s">
        <v>27</v>
      </c>
      <c r="D1731" t="s">
        <v>181</v>
      </c>
      <c r="E1731" t="s">
        <v>182</v>
      </c>
      <c r="F1731" t="s">
        <v>30</v>
      </c>
      <c r="G1731" s="6">
        <v>1093.8800000000001</v>
      </c>
      <c r="H1731" s="7">
        <v>0.2</v>
      </c>
      <c r="I1731" s="6">
        <v>218.78</v>
      </c>
      <c r="J1731" s="6">
        <v>1312.66</v>
      </c>
      <c r="K1731" t="s">
        <v>3519</v>
      </c>
      <c r="L1731" t="s">
        <v>3520</v>
      </c>
    </row>
    <row r="1732" spans="1:12" ht="15" customHeight="1" x14ac:dyDescent="0.25">
      <c r="A1732">
        <v>1731</v>
      </c>
      <c r="B1732" s="5">
        <v>45756</v>
      </c>
      <c r="C1732" t="s">
        <v>33</v>
      </c>
      <c r="D1732" t="s">
        <v>55</v>
      </c>
      <c r="E1732" t="s">
        <v>56</v>
      </c>
      <c r="F1732" t="s">
        <v>36</v>
      </c>
      <c r="G1732" s="6">
        <v>4186.6099999999997</v>
      </c>
      <c r="H1732" s="7">
        <v>5.5E-2</v>
      </c>
      <c r="I1732" s="6">
        <v>230.26</v>
      </c>
      <c r="J1732" s="6">
        <v>4416.87</v>
      </c>
      <c r="K1732" t="s">
        <v>3521</v>
      </c>
      <c r="L1732" t="s">
        <v>3522</v>
      </c>
    </row>
    <row r="1733" spans="1:12" ht="15" customHeight="1" x14ac:dyDescent="0.25">
      <c r="A1733">
        <v>1732</v>
      </c>
      <c r="B1733" s="5">
        <v>45684</v>
      </c>
      <c r="C1733" t="s">
        <v>27</v>
      </c>
      <c r="D1733" t="s">
        <v>28</v>
      </c>
      <c r="E1733" t="s">
        <v>29</v>
      </c>
      <c r="F1733" t="s">
        <v>106</v>
      </c>
      <c r="G1733" s="6">
        <v>1761.16</v>
      </c>
      <c r="H1733" s="7">
        <v>2.1000000000000001E-2</v>
      </c>
      <c r="I1733" s="6">
        <v>36.979999999999997</v>
      </c>
      <c r="J1733" s="6">
        <v>1798.14</v>
      </c>
      <c r="K1733" t="s">
        <v>3523</v>
      </c>
      <c r="L1733" t="s">
        <v>3524</v>
      </c>
    </row>
    <row r="1734" spans="1:12" ht="15" customHeight="1" x14ac:dyDescent="0.25">
      <c r="A1734">
        <v>1733</v>
      </c>
      <c r="B1734" s="5">
        <v>45776</v>
      </c>
      <c r="C1734" t="s">
        <v>27</v>
      </c>
      <c r="D1734" t="s">
        <v>181</v>
      </c>
      <c r="E1734" t="s">
        <v>182</v>
      </c>
      <c r="F1734" t="s">
        <v>36</v>
      </c>
      <c r="G1734" s="6">
        <v>1060.25</v>
      </c>
      <c r="H1734" s="7">
        <v>0.2</v>
      </c>
      <c r="I1734" s="6">
        <v>212.05</v>
      </c>
      <c r="J1734" s="6">
        <v>1272.3</v>
      </c>
      <c r="K1734" t="s">
        <v>3525</v>
      </c>
      <c r="L1734" t="s">
        <v>3526</v>
      </c>
    </row>
    <row r="1735" spans="1:12" ht="15" customHeight="1" x14ac:dyDescent="0.25">
      <c r="A1735">
        <v>1734</v>
      </c>
      <c r="B1735" s="5">
        <v>45987</v>
      </c>
      <c r="C1735" t="s">
        <v>33</v>
      </c>
      <c r="D1735" t="s">
        <v>79</v>
      </c>
      <c r="E1735" t="s">
        <v>80</v>
      </c>
      <c r="F1735" t="s">
        <v>87</v>
      </c>
      <c r="G1735" s="6">
        <v>308.32</v>
      </c>
      <c r="H1735" s="7">
        <v>0.2</v>
      </c>
      <c r="I1735" s="6">
        <v>61.66</v>
      </c>
      <c r="J1735" s="6">
        <v>369.98</v>
      </c>
      <c r="K1735" t="s">
        <v>3527</v>
      </c>
      <c r="L1735" t="s">
        <v>3528</v>
      </c>
    </row>
    <row r="1736" spans="1:12" ht="15" customHeight="1" x14ac:dyDescent="0.25">
      <c r="A1736">
        <v>1735</v>
      </c>
      <c r="B1736" s="5">
        <v>46022</v>
      </c>
      <c r="C1736" t="s">
        <v>47</v>
      </c>
      <c r="D1736" t="s">
        <v>55</v>
      </c>
      <c r="E1736" t="s">
        <v>56</v>
      </c>
      <c r="F1736" t="s">
        <v>50</v>
      </c>
      <c r="G1736" s="6">
        <v>1927.89</v>
      </c>
      <c r="H1736" s="7">
        <v>5.5E-2</v>
      </c>
      <c r="I1736" s="6">
        <v>106.03</v>
      </c>
      <c r="J1736" s="6">
        <v>2033.92</v>
      </c>
      <c r="K1736" t="s">
        <v>3529</v>
      </c>
      <c r="L1736" t="s">
        <v>3530</v>
      </c>
    </row>
    <row r="1737" spans="1:12" ht="15" customHeight="1" x14ac:dyDescent="0.25">
      <c r="A1737">
        <v>1736</v>
      </c>
      <c r="B1737" s="5">
        <v>45684</v>
      </c>
      <c r="C1737" t="s">
        <v>33</v>
      </c>
      <c r="D1737" t="s">
        <v>28</v>
      </c>
      <c r="E1737" t="s">
        <v>29</v>
      </c>
      <c r="F1737" t="s">
        <v>50</v>
      </c>
      <c r="G1737" s="6">
        <v>2999.1</v>
      </c>
      <c r="H1737" s="7">
        <v>2.1000000000000001E-2</v>
      </c>
      <c r="I1737" s="6">
        <v>62.98</v>
      </c>
      <c r="J1737" s="6">
        <v>3062.08</v>
      </c>
      <c r="K1737" t="s">
        <v>3531</v>
      </c>
      <c r="L1737" t="s">
        <v>3532</v>
      </c>
    </row>
    <row r="1738" spans="1:12" ht="15" customHeight="1" x14ac:dyDescent="0.25">
      <c r="A1738">
        <v>1737</v>
      </c>
      <c r="B1738" s="5">
        <v>45968</v>
      </c>
      <c r="C1738" t="s">
        <v>47</v>
      </c>
      <c r="D1738" t="s">
        <v>79</v>
      </c>
      <c r="E1738" t="s">
        <v>80</v>
      </c>
      <c r="F1738" t="s">
        <v>30</v>
      </c>
      <c r="G1738" s="6">
        <v>525.37</v>
      </c>
      <c r="H1738" s="7">
        <v>0.2</v>
      </c>
      <c r="I1738" s="6">
        <v>105.07</v>
      </c>
      <c r="J1738" s="6">
        <v>630.44000000000005</v>
      </c>
      <c r="K1738" t="s">
        <v>3533</v>
      </c>
      <c r="L1738" t="s">
        <v>3534</v>
      </c>
    </row>
    <row r="1739" spans="1:12" ht="15" customHeight="1" x14ac:dyDescent="0.25">
      <c r="A1739">
        <v>1738</v>
      </c>
      <c r="B1739" s="5">
        <v>45813</v>
      </c>
      <c r="C1739" t="s">
        <v>47</v>
      </c>
      <c r="D1739" t="s">
        <v>55</v>
      </c>
      <c r="E1739" t="s">
        <v>56</v>
      </c>
      <c r="F1739" t="s">
        <v>120</v>
      </c>
      <c r="G1739" s="6">
        <v>572.96</v>
      </c>
      <c r="H1739" s="7">
        <v>5.5E-2</v>
      </c>
      <c r="I1739" s="6">
        <v>31.51</v>
      </c>
      <c r="J1739" s="6">
        <v>604.47</v>
      </c>
      <c r="K1739" t="s">
        <v>3535</v>
      </c>
      <c r="L1739" t="s">
        <v>3536</v>
      </c>
    </row>
    <row r="1740" spans="1:12" ht="15" customHeight="1" x14ac:dyDescent="0.25">
      <c r="A1740">
        <v>1739</v>
      </c>
      <c r="B1740" s="5">
        <v>45827</v>
      </c>
      <c r="C1740" t="s">
        <v>27</v>
      </c>
      <c r="D1740" t="s">
        <v>172</v>
      </c>
      <c r="E1740" t="s">
        <v>173</v>
      </c>
      <c r="F1740" t="s">
        <v>50</v>
      </c>
      <c r="G1740" s="6">
        <v>1673.71</v>
      </c>
      <c r="H1740" s="7">
        <v>0.2</v>
      </c>
      <c r="I1740" s="6">
        <v>334.74</v>
      </c>
      <c r="J1740" s="6">
        <v>2008.45</v>
      </c>
      <c r="K1740" t="s">
        <v>3537</v>
      </c>
      <c r="L1740" t="s">
        <v>3538</v>
      </c>
    </row>
    <row r="1741" spans="1:12" ht="15" customHeight="1" x14ac:dyDescent="0.25">
      <c r="A1741">
        <v>1740</v>
      </c>
      <c r="B1741" s="5">
        <v>45848</v>
      </c>
      <c r="C1741" t="s">
        <v>27</v>
      </c>
      <c r="D1741" t="s">
        <v>172</v>
      </c>
      <c r="E1741" t="s">
        <v>173</v>
      </c>
      <c r="F1741" t="s">
        <v>174</v>
      </c>
      <c r="G1741" s="6">
        <v>1133.07</v>
      </c>
      <c r="H1741" s="7">
        <v>0.2</v>
      </c>
      <c r="I1741" s="6">
        <v>226.61</v>
      </c>
      <c r="J1741" s="6">
        <v>1359.68</v>
      </c>
      <c r="K1741" t="s">
        <v>3539</v>
      </c>
      <c r="L1741" t="s">
        <v>3540</v>
      </c>
    </row>
    <row r="1742" spans="1:12" ht="15" customHeight="1" x14ac:dyDescent="0.25">
      <c r="A1742">
        <v>1741</v>
      </c>
      <c r="B1742" s="5">
        <v>45712</v>
      </c>
      <c r="C1742" t="s">
        <v>27</v>
      </c>
      <c r="D1742" t="s">
        <v>63</v>
      </c>
      <c r="E1742" t="s">
        <v>64</v>
      </c>
      <c r="F1742" t="s">
        <v>81</v>
      </c>
      <c r="G1742" s="6">
        <v>656.75</v>
      </c>
      <c r="H1742" s="7">
        <v>0.2</v>
      </c>
      <c r="I1742" s="6">
        <v>131.35</v>
      </c>
      <c r="J1742" s="6">
        <v>788.1</v>
      </c>
      <c r="K1742" t="s">
        <v>3541</v>
      </c>
      <c r="L1742" t="s">
        <v>3542</v>
      </c>
    </row>
    <row r="1743" spans="1:12" ht="15" customHeight="1" x14ac:dyDescent="0.25">
      <c r="A1743">
        <v>1742</v>
      </c>
      <c r="B1743" s="5">
        <v>45993</v>
      </c>
      <c r="C1743" t="s">
        <v>33</v>
      </c>
      <c r="D1743" t="s">
        <v>28</v>
      </c>
      <c r="E1743" t="s">
        <v>29</v>
      </c>
      <c r="F1743" t="s">
        <v>71</v>
      </c>
      <c r="G1743" s="6">
        <v>3692.95</v>
      </c>
      <c r="H1743" s="7">
        <v>2.1000000000000001E-2</v>
      </c>
      <c r="I1743" s="6">
        <v>77.55</v>
      </c>
      <c r="J1743" s="6">
        <v>3770.5</v>
      </c>
      <c r="K1743" t="s">
        <v>3543</v>
      </c>
      <c r="L1743" t="s">
        <v>3544</v>
      </c>
    </row>
    <row r="1744" spans="1:12" ht="15" customHeight="1" x14ac:dyDescent="0.25">
      <c r="A1744">
        <v>1743</v>
      </c>
      <c r="B1744" s="5">
        <v>45937</v>
      </c>
      <c r="C1744" t="s">
        <v>47</v>
      </c>
      <c r="D1744" t="s">
        <v>100</v>
      </c>
      <c r="E1744" t="s">
        <v>101</v>
      </c>
      <c r="F1744" t="s">
        <v>44</v>
      </c>
      <c r="G1744" s="6">
        <v>2523.54</v>
      </c>
      <c r="H1744" s="7">
        <v>0</v>
      </c>
      <c r="I1744" s="6">
        <v>0</v>
      </c>
      <c r="J1744" s="6">
        <v>2523.54</v>
      </c>
      <c r="K1744" t="s">
        <v>3545</v>
      </c>
      <c r="L1744" t="s">
        <v>3546</v>
      </c>
    </row>
    <row r="1745" spans="1:12" ht="15" customHeight="1" x14ac:dyDescent="0.25">
      <c r="A1745">
        <v>1744</v>
      </c>
      <c r="B1745" s="5">
        <v>45736</v>
      </c>
      <c r="C1745" t="s">
        <v>33</v>
      </c>
      <c r="D1745" t="s">
        <v>172</v>
      </c>
      <c r="E1745" t="s">
        <v>173</v>
      </c>
      <c r="F1745" t="s">
        <v>71</v>
      </c>
      <c r="G1745" s="6">
        <v>273.64999999999998</v>
      </c>
      <c r="H1745" s="7">
        <v>0.2</v>
      </c>
      <c r="I1745" s="6">
        <v>54.73</v>
      </c>
      <c r="J1745" s="6">
        <v>328.38</v>
      </c>
      <c r="K1745" t="s">
        <v>3547</v>
      </c>
      <c r="L1745" t="s">
        <v>3548</v>
      </c>
    </row>
    <row r="1746" spans="1:12" ht="15" customHeight="1" x14ac:dyDescent="0.25">
      <c r="A1746">
        <v>1745</v>
      </c>
      <c r="B1746" s="5">
        <v>45944</v>
      </c>
      <c r="C1746" t="s">
        <v>27</v>
      </c>
      <c r="D1746" t="s">
        <v>42</v>
      </c>
      <c r="E1746" t="s">
        <v>43</v>
      </c>
      <c r="F1746" t="s">
        <v>44</v>
      </c>
      <c r="G1746" s="6">
        <v>3947.79</v>
      </c>
      <c r="H1746" s="7">
        <v>0</v>
      </c>
      <c r="I1746" s="6">
        <v>0</v>
      </c>
      <c r="J1746" s="6">
        <v>3947.79</v>
      </c>
      <c r="K1746" t="s">
        <v>3549</v>
      </c>
      <c r="L1746" t="s">
        <v>3550</v>
      </c>
    </row>
    <row r="1747" spans="1:12" ht="15" customHeight="1" x14ac:dyDescent="0.25">
      <c r="A1747">
        <v>1746</v>
      </c>
      <c r="B1747" s="5">
        <v>45881</v>
      </c>
      <c r="C1747" t="s">
        <v>27</v>
      </c>
      <c r="D1747" t="s">
        <v>42</v>
      </c>
      <c r="E1747" t="s">
        <v>43</v>
      </c>
      <c r="F1747" t="s">
        <v>44</v>
      </c>
      <c r="G1747" s="6">
        <v>2805.61</v>
      </c>
      <c r="H1747" s="7">
        <v>0</v>
      </c>
      <c r="I1747" s="6">
        <v>0</v>
      </c>
      <c r="J1747" s="6">
        <v>2805.61</v>
      </c>
      <c r="K1747" t="s">
        <v>3551</v>
      </c>
      <c r="L1747" t="s">
        <v>3552</v>
      </c>
    </row>
    <row r="1748" spans="1:12" ht="15" customHeight="1" x14ac:dyDescent="0.25">
      <c r="A1748">
        <v>1747</v>
      </c>
      <c r="B1748" s="5">
        <v>45798</v>
      </c>
      <c r="C1748" t="s">
        <v>33</v>
      </c>
      <c r="D1748" t="s">
        <v>28</v>
      </c>
      <c r="E1748" t="s">
        <v>29</v>
      </c>
      <c r="F1748" t="s">
        <v>30</v>
      </c>
      <c r="G1748" s="6">
        <v>3159.44</v>
      </c>
      <c r="H1748" s="7">
        <v>2.1000000000000001E-2</v>
      </c>
      <c r="I1748" s="6">
        <v>66.349999999999994</v>
      </c>
      <c r="J1748" s="6">
        <v>3225.79</v>
      </c>
      <c r="K1748" t="s">
        <v>3553</v>
      </c>
      <c r="L1748" t="s">
        <v>3554</v>
      </c>
    </row>
    <row r="1749" spans="1:12" ht="15" customHeight="1" x14ac:dyDescent="0.25">
      <c r="A1749">
        <v>1748</v>
      </c>
      <c r="B1749" s="5">
        <v>46013</v>
      </c>
      <c r="C1749" t="s">
        <v>33</v>
      </c>
      <c r="D1749" t="s">
        <v>100</v>
      </c>
      <c r="E1749" t="s">
        <v>101</v>
      </c>
      <c r="F1749" t="s">
        <v>44</v>
      </c>
      <c r="G1749" s="6">
        <v>3754.88</v>
      </c>
      <c r="H1749" s="7">
        <v>0</v>
      </c>
      <c r="I1749" s="6">
        <v>0</v>
      </c>
      <c r="J1749" s="6">
        <v>3754.88</v>
      </c>
      <c r="K1749" t="s">
        <v>3555</v>
      </c>
      <c r="L1749" t="s">
        <v>3556</v>
      </c>
    </row>
    <row r="1750" spans="1:12" ht="15" customHeight="1" x14ac:dyDescent="0.25">
      <c r="A1750">
        <v>1749</v>
      </c>
      <c r="B1750" s="5">
        <v>45742</v>
      </c>
      <c r="C1750" t="s">
        <v>27</v>
      </c>
      <c r="D1750" t="s">
        <v>172</v>
      </c>
      <c r="E1750" t="s">
        <v>173</v>
      </c>
      <c r="F1750" t="s">
        <v>106</v>
      </c>
      <c r="G1750" s="6">
        <v>2014.83</v>
      </c>
      <c r="H1750" s="7">
        <v>0.2</v>
      </c>
      <c r="I1750" s="6">
        <v>402.97</v>
      </c>
      <c r="J1750" s="6">
        <v>2417.8000000000002</v>
      </c>
      <c r="K1750" t="s">
        <v>3557</v>
      </c>
      <c r="L1750" t="s">
        <v>3558</v>
      </c>
    </row>
    <row r="1751" spans="1:12" ht="15" customHeight="1" x14ac:dyDescent="0.25">
      <c r="A1751">
        <v>1750</v>
      </c>
      <c r="B1751" s="5">
        <v>45863</v>
      </c>
      <c r="C1751" t="s">
        <v>27</v>
      </c>
      <c r="D1751" t="s">
        <v>42</v>
      </c>
      <c r="E1751" t="s">
        <v>43</v>
      </c>
      <c r="F1751" t="s">
        <v>44</v>
      </c>
      <c r="G1751" s="6">
        <v>2296.62</v>
      </c>
      <c r="H1751" s="7">
        <v>0</v>
      </c>
      <c r="I1751" s="6">
        <v>0</v>
      </c>
      <c r="J1751" s="6">
        <v>2296.62</v>
      </c>
      <c r="K1751" t="s">
        <v>3559</v>
      </c>
      <c r="L1751" t="s">
        <v>3560</v>
      </c>
    </row>
    <row r="1752" spans="1:12" ht="15" customHeight="1" x14ac:dyDescent="0.25">
      <c r="A1752">
        <v>1751</v>
      </c>
      <c r="B1752" s="5">
        <v>45961</v>
      </c>
      <c r="C1752" t="s">
        <v>33</v>
      </c>
      <c r="D1752" t="s">
        <v>172</v>
      </c>
      <c r="E1752" t="s">
        <v>173</v>
      </c>
      <c r="F1752" t="s">
        <v>106</v>
      </c>
      <c r="G1752" s="6">
        <v>3159.51</v>
      </c>
      <c r="H1752" s="7">
        <v>0.2</v>
      </c>
      <c r="I1752" s="6">
        <v>631.9</v>
      </c>
      <c r="J1752" s="6">
        <v>3791.41</v>
      </c>
      <c r="K1752" t="s">
        <v>3561</v>
      </c>
      <c r="L1752" t="s">
        <v>3562</v>
      </c>
    </row>
    <row r="1753" spans="1:12" ht="15" customHeight="1" x14ac:dyDescent="0.25">
      <c r="A1753">
        <v>1752</v>
      </c>
      <c r="B1753" s="5">
        <v>45926</v>
      </c>
      <c r="C1753" t="s">
        <v>27</v>
      </c>
      <c r="D1753" t="s">
        <v>42</v>
      </c>
      <c r="E1753" t="s">
        <v>43</v>
      </c>
      <c r="F1753" t="s">
        <v>44</v>
      </c>
      <c r="G1753" s="6">
        <v>3845.94</v>
      </c>
      <c r="H1753" s="7">
        <v>0</v>
      </c>
      <c r="I1753" s="6">
        <v>0</v>
      </c>
      <c r="J1753" s="6">
        <v>3845.94</v>
      </c>
      <c r="K1753" t="s">
        <v>3563</v>
      </c>
      <c r="L1753" t="s">
        <v>3564</v>
      </c>
    </row>
    <row r="1754" spans="1:12" ht="15" customHeight="1" x14ac:dyDescent="0.25">
      <c r="A1754">
        <v>1753</v>
      </c>
      <c r="B1754" s="5">
        <v>45772</v>
      </c>
      <c r="C1754" t="s">
        <v>27</v>
      </c>
      <c r="D1754" t="s">
        <v>55</v>
      </c>
      <c r="E1754" t="s">
        <v>56</v>
      </c>
      <c r="F1754" t="s">
        <v>71</v>
      </c>
      <c r="G1754" s="6">
        <v>281.61</v>
      </c>
      <c r="H1754" s="7">
        <v>5.5E-2</v>
      </c>
      <c r="I1754" s="6">
        <v>15.49</v>
      </c>
      <c r="J1754" s="6">
        <v>297.10000000000002</v>
      </c>
      <c r="K1754" t="s">
        <v>3565</v>
      </c>
      <c r="L1754" t="s">
        <v>3566</v>
      </c>
    </row>
    <row r="1755" spans="1:12" ht="15" customHeight="1" x14ac:dyDescent="0.25">
      <c r="A1755">
        <v>1754</v>
      </c>
      <c r="B1755" s="5">
        <v>45800</v>
      </c>
      <c r="C1755" t="s">
        <v>33</v>
      </c>
      <c r="D1755" t="s">
        <v>181</v>
      </c>
      <c r="E1755" t="s">
        <v>182</v>
      </c>
      <c r="F1755" t="s">
        <v>174</v>
      </c>
      <c r="G1755" s="6">
        <v>4178.4399999999996</v>
      </c>
      <c r="H1755" s="7">
        <v>0.2</v>
      </c>
      <c r="I1755" s="6">
        <v>835.69</v>
      </c>
      <c r="J1755" s="6">
        <v>5014.13</v>
      </c>
      <c r="K1755" t="s">
        <v>3567</v>
      </c>
      <c r="L1755" t="s">
        <v>3568</v>
      </c>
    </row>
    <row r="1756" spans="1:12" ht="15" customHeight="1" x14ac:dyDescent="0.25">
      <c r="A1756">
        <v>1755</v>
      </c>
      <c r="B1756" s="5">
        <v>45785</v>
      </c>
      <c r="C1756" t="s">
        <v>33</v>
      </c>
      <c r="D1756" t="s">
        <v>181</v>
      </c>
      <c r="E1756" t="s">
        <v>182</v>
      </c>
      <c r="F1756" t="s">
        <v>71</v>
      </c>
      <c r="G1756" s="6">
        <v>4453.75</v>
      </c>
      <c r="H1756" s="7">
        <v>0.2</v>
      </c>
      <c r="I1756" s="6">
        <v>890.75</v>
      </c>
      <c r="J1756" s="6">
        <v>5344.5</v>
      </c>
      <c r="K1756" t="s">
        <v>3569</v>
      </c>
      <c r="L1756" t="s">
        <v>3570</v>
      </c>
    </row>
    <row r="1757" spans="1:12" ht="15" customHeight="1" x14ac:dyDescent="0.25">
      <c r="A1757">
        <v>1756</v>
      </c>
      <c r="B1757" s="5">
        <v>45835</v>
      </c>
      <c r="C1757" t="s">
        <v>33</v>
      </c>
      <c r="D1757" t="s">
        <v>28</v>
      </c>
      <c r="E1757" t="s">
        <v>29</v>
      </c>
      <c r="F1757" t="s">
        <v>50</v>
      </c>
      <c r="G1757" s="6">
        <v>2876.46</v>
      </c>
      <c r="H1757" s="7">
        <v>2.1000000000000001E-2</v>
      </c>
      <c r="I1757" s="6">
        <v>60.41</v>
      </c>
      <c r="J1757" s="6">
        <v>2936.87</v>
      </c>
      <c r="K1757" t="s">
        <v>3571</v>
      </c>
      <c r="L1757" t="s">
        <v>3572</v>
      </c>
    </row>
    <row r="1758" spans="1:12" ht="15" customHeight="1" x14ac:dyDescent="0.25">
      <c r="A1758">
        <v>1757</v>
      </c>
      <c r="B1758" s="5">
        <v>45939</v>
      </c>
      <c r="C1758" t="s">
        <v>33</v>
      </c>
      <c r="D1758" t="s">
        <v>100</v>
      </c>
      <c r="E1758" t="s">
        <v>101</v>
      </c>
      <c r="F1758" t="s">
        <v>44</v>
      </c>
      <c r="G1758" s="6">
        <v>2120.67</v>
      </c>
      <c r="H1758" s="7">
        <v>0</v>
      </c>
      <c r="I1758" s="6">
        <v>0</v>
      </c>
      <c r="J1758" s="6">
        <v>2120.67</v>
      </c>
      <c r="K1758" t="s">
        <v>3573</v>
      </c>
      <c r="L1758" t="s">
        <v>3574</v>
      </c>
    </row>
    <row r="1759" spans="1:12" ht="15" customHeight="1" x14ac:dyDescent="0.25">
      <c r="A1759">
        <v>1758</v>
      </c>
      <c r="B1759" s="5">
        <v>45687</v>
      </c>
      <c r="C1759" t="s">
        <v>47</v>
      </c>
      <c r="D1759" t="s">
        <v>55</v>
      </c>
      <c r="E1759" t="s">
        <v>56</v>
      </c>
      <c r="F1759" t="s">
        <v>39</v>
      </c>
      <c r="G1759" s="6">
        <v>2846.72</v>
      </c>
      <c r="H1759" s="7">
        <v>5.5E-2</v>
      </c>
      <c r="I1759" s="6">
        <v>156.57</v>
      </c>
      <c r="J1759" s="6">
        <v>3003.29</v>
      </c>
      <c r="K1759" t="s">
        <v>3575</v>
      </c>
      <c r="L1759" t="s">
        <v>3576</v>
      </c>
    </row>
    <row r="1760" spans="1:12" ht="15" customHeight="1" x14ac:dyDescent="0.25">
      <c r="A1760">
        <v>1759</v>
      </c>
      <c r="B1760" s="5">
        <v>45748</v>
      </c>
      <c r="C1760" t="s">
        <v>47</v>
      </c>
      <c r="D1760" t="s">
        <v>28</v>
      </c>
      <c r="E1760" t="s">
        <v>29</v>
      </c>
      <c r="F1760" t="s">
        <v>39</v>
      </c>
      <c r="G1760" s="6">
        <v>1211.46</v>
      </c>
      <c r="H1760" s="7">
        <v>2.1000000000000001E-2</v>
      </c>
      <c r="I1760" s="6">
        <v>25.44</v>
      </c>
      <c r="J1760" s="6">
        <v>1236.9000000000001</v>
      </c>
      <c r="K1760" t="s">
        <v>3577</v>
      </c>
      <c r="L1760" t="s">
        <v>3578</v>
      </c>
    </row>
    <row r="1761" spans="1:12" ht="15" customHeight="1" x14ac:dyDescent="0.25">
      <c r="A1761">
        <v>1760</v>
      </c>
      <c r="B1761" s="5">
        <v>45712</v>
      </c>
      <c r="C1761" t="s">
        <v>27</v>
      </c>
      <c r="D1761" t="s">
        <v>94</v>
      </c>
      <c r="E1761" t="s">
        <v>95</v>
      </c>
      <c r="F1761" t="s">
        <v>44</v>
      </c>
      <c r="G1761" s="6">
        <v>2220.29</v>
      </c>
      <c r="H1761" s="7">
        <v>0</v>
      </c>
      <c r="I1761" s="6">
        <v>0</v>
      </c>
      <c r="J1761" s="6">
        <v>2220.29</v>
      </c>
      <c r="K1761" t="s">
        <v>3579</v>
      </c>
      <c r="L1761" t="s">
        <v>3580</v>
      </c>
    </row>
    <row r="1762" spans="1:12" ht="15" customHeight="1" x14ac:dyDescent="0.25">
      <c r="A1762">
        <v>1761</v>
      </c>
      <c r="B1762" s="5">
        <v>45982</v>
      </c>
      <c r="C1762" t="s">
        <v>47</v>
      </c>
      <c r="D1762" t="s">
        <v>100</v>
      </c>
      <c r="E1762" t="s">
        <v>101</v>
      </c>
      <c r="F1762" t="s">
        <v>44</v>
      </c>
      <c r="G1762" s="6">
        <v>2294.7800000000002</v>
      </c>
      <c r="H1762" s="7">
        <v>0</v>
      </c>
      <c r="I1762" s="6">
        <v>0</v>
      </c>
      <c r="J1762" s="6">
        <v>2294.7800000000002</v>
      </c>
      <c r="K1762" t="s">
        <v>3581</v>
      </c>
      <c r="L1762" t="s">
        <v>3582</v>
      </c>
    </row>
    <row r="1763" spans="1:12" ht="15" customHeight="1" x14ac:dyDescent="0.25">
      <c r="A1763">
        <v>1762</v>
      </c>
      <c r="B1763" s="5">
        <v>45762</v>
      </c>
      <c r="C1763" t="s">
        <v>33</v>
      </c>
      <c r="D1763" t="s">
        <v>55</v>
      </c>
      <c r="E1763" t="s">
        <v>56</v>
      </c>
      <c r="F1763" t="s">
        <v>36</v>
      </c>
      <c r="G1763" s="6">
        <v>2650.95</v>
      </c>
      <c r="H1763" s="7">
        <v>5.5E-2</v>
      </c>
      <c r="I1763" s="6">
        <v>145.80000000000001</v>
      </c>
      <c r="J1763" s="6">
        <v>2796.75</v>
      </c>
      <c r="K1763" t="s">
        <v>3583</v>
      </c>
      <c r="L1763" t="s">
        <v>3584</v>
      </c>
    </row>
    <row r="1764" spans="1:12" ht="15" customHeight="1" x14ac:dyDescent="0.25">
      <c r="A1764">
        <v>1763</v>
      </c>
      <c r="B1764" s="5">
        <v>45880</v>
      </c>
      <c r="C1764" t="s">
        <v>47</v>
      </c>
      <c r="D1764" t="s">
        <v>55</v>
      </c>
      <c r="E1764" t="s">
        <v>56</v>
      </c>
      <c r="F1764" t="s">
        <v>76</v>
      </c>
      <c r="G1764" s="6">
        <v>1709.39</v>
      </c>
      <c r="H1764" s="7">
        <v>5.5E-2</v>
      </c>
      <c r="I1764" s="6">
        <v>94.02</v>
      </c>
      <c r="J1764" s="6">
        <v>1803.41</v>
      </c>
      <c r="K1764" t="s">
        <v>3585</v>
      </c>
      <c r="L1764" t="s">
        <v>3586</v>
      </c>
    </row>
    <row r="1765" spans="1:12" ht="15" customHeight="1" x14ac:dyDescent="0.25">
      <c r="A1765">
        <v>1764</v>
      </c>
      <c r="B1765" s="5">
        <v>45748</v>
      </c>
      <c r="C1765" t="s">
        <v>47</v>
      </c>
      <c r="D1765" t="s">
        <v>28</v>
      </c>
      <c r="E1765" t="s">
        <v>29</v>
      </c>
      <c r="F1765" t="s">
        <v>76</v>
      </c>
      <c r="G1765" s="6">
        <v>914.76</v>
      </c>
      <c r="H1765" s="7">
        <v>2.1000000000000001E-2</v>
      </c>
      <c r="I1765" s="6">
        <v>19.21</v>
      </c>
      <c r="J1765" s="6">
        <v>933.97</v>
      </c>
      <c r="K1765" t="s">
        <v>3587</v>
      </c>
      <c r="L1765" t="s">
        <v>3588</v>
      </c>
    </row>
    <row r="1766" spans="1:12" ht="15" customHeight="1" x14ac:dyDescent="0.25">
      <c r="A1766">
        <v>1765</v>
      </c>
      <c r="B1766" s="5">
        <v>45741</v>
      </c>
      <c r="C1766" t="s">
        <v>33</v>
      </c>
      <c r="D1766" t="s">
        <v>181</v>
      </c>
      <c r="E1766" t="s">
        <v>182</v>
      </c>
      <c r="F1766" t="s">
        <v>36</v>
      </c>
      <c r="G1766" s="6">
        <v>3992.82</v>
      </c>
      <c r="H1766" s="7">
        <v>0.2</v>
      </c>
      <c r="I1766" s="6">
        <v>798.56</v>
      </c>
      <c r="J1766" s="6">
        <v>4791.38</v>
      </c>
      <c r="K1766" t="s">
        <v>3589</v>
      </c>
      <c r="L1766" t="s">
        <v>3590</v>
      </c>
    </row>
    <row r="1767" spans="1:12" ht="15" customHeight="1" x14ac:dyDescent="0.25">
      <c r="A1767">
        <v>1766</v>
      </c>
      <c r="B1767" s="5">
        <v>45694</v>
      </c>
      <c r="C1767" t="s">
        <v>27</v>
      </c>
      <c r="D1767" t="s">
        <v>28</v>
      </c>
      <c r="E1767" t="s">
        <v>29</v>
      </c>
      <c r="F1767" t="s">
        <v>76</v>
      </c>
      <c r="G1767" s="6">
        <v>1964.67</v>
      </c>
      <c r="H1767" s="7">
        <v>2.1000000000000001E-2</v>
      </c>
      <c r="I1767" s="6">
        <v>41.26</v>
      </c>
      <c r="J1767" s="6">
        <v>2005.93</v>
      </c>
      <c r="K1767" t="s">
        <v>3591</v>
      </c>
      <c r="L1767" t="s">
        <v>3592</v>
      </c>
    </row>
    <row r="1768" spans="1:12" ht="15" customHeight="1" x14ac:dyDescent="0.25">
      <c r="A1768">
        <v>1767</v>
      </c>
      <c r="B1768" s="5">
        <v>45728</v>
      </c>
      <c r="C1768" t="s">
        <v>47</v>
      </c>
      <c r="D1768" t="s">
        <v>28</v>
      </c>
      <c r="E1768" t="s">
        <v>29</v>
      </c>
      <c r="F1768" t="s">
        <v>39</v>
      </c>
      <c r="G1768" s="6">
        <v>3292.3</v>
      </c>
      <c r="H1768" s="7">
        <v>2.1000000000000001E-2</v>
      </c>
      <c r="I1768" s="6">
        <v>69.14</v>
      </c>
      <c r="J1768" s="6">
        <v>3361.44</v>
      </c>
      <c r="K1768" t="s">
        <v>3593</v>
      </c>
      <c r="L1768" t="s">
        <v>3594</v>
      </c>
    </row>
    <row r="1769" spans="1:12" ht="15" customHeight="1" x14ac:dyDescent="0.25">
      <c r="A1769">
        <v>1768</v>
      </c>
      <c r="B1769" s="5">
        <v>45714</v>
      </c>
      <c r="C1769" t="s">
        <v>33</v>
      </c>
      <c r="D1769" t="s">
        <v>63</v>
      </c>
      <c r="E1769" t="s">
        <v>64</v>
      </c>
      <c r="F1769" t="s">
        <v>120</v>
      </c>
      <c r="G1769" s="6">
        <v>3733.41</v>
      </c>
      <c r="H1769" s="7">
        <v>0.2</v>
      </c>
      <c r="I1769" s="6">
        <v>746.68</v>
      </c>
      <c r="J1769" s="6">
        <v>4480.09</v>
      </c>
      <c r="K1769" t="s">
        <v>3595</v>
      </c>
      <c r="L1769" t="s">
        <v>3596</v>
      </c>
    </row>
    <row r="1770" spans="1:12" ht="15" customHeight="1" x14ac:dyDescent="0.25">
      <c r="A1770">
        <v>1769</v>
      </c>
      <c r="B1770" s="5">
        <v>45700</v>
      </c>
      <c r="C1770" t="s">
        <v>33</v>
      </c>
      <c r="D1770" t="s">
        <v>55</v>
      </c>
      <c r="E1770" t="s">
        <v>56</v>
      </c>
      <c r="F1770" t="s">
        <v>120</v>
      </c>
      <c r="G1770" s="6">
        <v>1263.04</v>
      </c>
      <c r="H1770" s="7">
        <v>5.5E-2</v>
      </c>
      <c r="I1770" s="6">
        <v>69.47</v>
      </c>
      <c r="J1770" s="6">
        <v>1332.51</v>
      </c>
      <c r="K1770" t="s">
        <v>3597</v>
      </c>
      <c r="L1770" t="s">
        <v>3598</v>
      </c>
    </row>
    <row r="1771" spans="1:12" ht="15" customHeight="1" x14ac:dyDescent="0.25">
      <c r="A1771">
        <v>1770</v>
      </c>
      <c r="B1771" s="5">
        <v>45712</v>
      </c>
      <c r="C1771" t="s">
        <v>33</v>
      </c>
      <c r="D1771" t="s">
        <v>42</v>
      </c>
      <c r="E1771" t="s">
        <v>43</v>
      </c>
      <c r="F1771" t="s">
        <v>44</v>
      </c>
      <c r="G1771" s="6">
        <v>3763.81</v>
      </c>
      <c r="H1771" s="7">
        <v>0</v>
      </c>
      <c r="I1771" s="6">
        <v>0</v>
      </c>
      <c r="J1771" s="6">
        <v>3763.81</v>
      </c>
      <c r="K1771" t="s">
        <v>3599</v>
      </c>
      <c r="L1771" t="s">
        <v>3600</v>
      </c>
    </row>
    <row r="1772" spans="1:12" ht="15" customHeight="1" x14ac:dyDescent="0.25">
      <c r="A1772">
        <v>1771</v>
      </c>
      <c r="B1772" s="5">
        <v>45729</v>
      </c>
      <c r="C1772" t="s">
        <v>27</v>
      </c>
      <c r="D1772" t="s">
        <v>28</v>
      </c>
      <c r="E1772" t="s">
        <v>29</v>
      </c>
      <c r="F1772" t="s">
        <v>84</v>
      </c>
      <c r="G1772" s="6">
        <v>2203.48</v>
      </c>
      <c r="H1772" s="7">
        <v>2.1000000000000001E-2</v>
      </c>
      <c r="I1772" s="6">
        <v>46.27</v>
      </c>
      <c r="J1772" s="6">
        <v>2249.75</v>
      </c>
      <c r="K1772" t="s">
        <v>3601</v>
      </c>
      <c r="L1772" t="s">
        <v>3602</v>
      </c>
    </row>
    <row r="1773" spans="1:12" ht="15" customHeight="1" x14ac:dyDescent="0.25">
      <c r="A1773">
        <v>1772</v>
      </c>
      <c r="B1773" s="5">
        <v>45903</v>
      </c>
      <c r="C1773" t="s">
        <v>33</v>
      </c>
      <c r="D1773" t="s">
        <v>55</v>
      </c>
      <c r="E1773" t="s">
        <v>56</v>
      </c>
      <c r="F1773" t="s">
        <v>39</v>
      </c>
      <c r="G1773" s="6">
        <v>762.95</v>
      </c>
      <c r="H1773" s="7">
        <v>5.5E-2</v>
      </c>
      <c r="I1773" s="6">
        <v>41.96</v>
      </c>
      <c r="J1773" s="6">
        <v>804.91</v>
      </c>
      <c r="K1773" t="s">
        <v>3603</v>
      </c>
      <c r="L1773" t="s">
        <v>3604</v>
      </c>
    </row>
    <row r="1774" spans="1:12" ht="15" customHeight="1" x14ac:dyDescent="0.25">
      <c r="A1774">
        <v>1773</v>
      </c>
      <c r="B1774" s="5">
        <v>45936</v>
      </c>
      <c r="C1774" t="s">
        <v>27</v>
      </c>
      <c r="D1774" t="s">
        <v>55</v>
      </c>
      <c r="E1774" t="s">
        <v>56</v>
      </c>
      <c r="F1774" t="s">
        <v>39</v>
      </c>
      <c r="G1774" s="6">
        <v>623.99</v>
      </c>
      <c r="H1774" s="7">
        <v>5.5E-2</v>
      </c>
      <c r="I1774" s="6">
        <v>34.32</v>
      </c>
      <c r="J1774" s="6">
        <v>658.31</v>
      </c>
      <c r="K1774" t="s">
        <v>3605</v>
      </c>
      <c r="L1774" t="s">
        <v>3606</v>
      </c>
    </row>
    <row r="1775" spans="1:12" ht="15" customHeight="1" x14ac:dyDescent="0.25">
      <c r="A1775">
        <v>1774</v>
      </c>
      <c r="B1775" s="5">
        <v>45919</v>
      </c>
      <c r="C1775" t="s">
        <v>27</v>
      </c>
      <c r="D1775" t="s">
        <v>55</v>
      </c>
      <c r="E1775" t="s">
        <v>56</v>
      </c>
      <c r="F1775" t="s">
        <v>36</v>
      </c>
      <c r="G1775" s="6">
        <v>3998.14</v>
      </c>
      <c r="H1775" s="7">
        <v>5.5E-2</v>
      </c>
      <c r="I1775" s="6">
        <v>219.9</v>
      </c>
      <c r="J1775" s="6">
        <v>4218.04</v>
      </c>
      <c r="K1775" t="s">
        <v>3607</v>
      </c>
      <c r="L1775" t="s">
        <v>3608</v>
      </c>
    </row>
    <row r="1776" spans="1:12" ht="15" customHeight="1" x14ac:dyDescent="0.25">
      <c r="A1776">
        <v>1775</v>
      </c>
      <c r="B1776" s="5">
        <v>45670</v>
      </c>
      <c r="C1776" t="s">
        <v>33</v>
      </c>
      <c r="D1776" t="s">
        <v>100</v>
      </c>
      <c r="E1776" t="s">
        <v>101</v>
      </c>
      <c r="F1776" t="s">
        <v>44</v>
      </c>
      <c r="G1776" s="6">
        <v>2724.92</v>
      </c>
      <c r="H1776" s="7">
        <v>0</v>
      </c>
      <c r="I1776" s="6">
        <v>0</v>
      </c>
      <c r="J1776" s="6">
        <v>2724.92</v>
      </c>
      <c r="K1776" t="s">
        <v>3609</v>
      </c>
      <c r="L1776" t="s">
        <v>3610</v>
      </c>
    </row>
    <row r="1777" spans="1:13" ht="15" customHeight="1" x14ac:dyDescent="0.25">
      <c r="A1777">
        <v>1776</v>
      </c>
      <c r="B1777" s="5">
        <v>46008</v>
      </c>
      <c r="C1777" t="s">
        <v>27</v>
      </c>
      <c r="D1777" t="s">
        <v>55</v>
      </c>
      <c r="E1777" t="s">
        <v>56</v>
      </c>
      <c r="F1777" t="s">
        <v>81</v>
      </c>
      <c r="G1777" s="6">
        <v>1780.57</v>
      </c>
      <c r="H1777" s="7">
        <v>5.5E-2</v>
      </c>
      <c r="I1777" s="6">
        <v>97.93</v>
      </c>
      <c r="J1777" s="6">
        <v>1878.5</v>
      </c>
      <c r="K1777" t="s">
        <v>3611</v>
      </c>
      <c r="L1777" t="s">
        <v>3612</v>
      </c>
    </row>
    <row r="1778" spans="1:13" ht="15" customHeight="1" x14ac:dyDescent="0.25">
      <c r="A1778">
        <v>1777</v>
      </c>
      <c r="B1778" s="5">
        <v>45714</v>
      </c>
      <c r="C1778" t="s">
        <v>33</v>
      </c>
      <c r="D1778" t="s">
        <v>79</v>
      </c>
      <c r="E1778" t="s">
        <v>80</v>
      </c>
      <c r="F1778" t="s">
        <v>174</v>
      </c>
      <c r="G1778" s="6">
        <v>1072.3900000000001</v>
      </c>
      <c r="H1778" s="7">
        <v>0.2</v>
      </c>
      <c r="I1778" s="6">
        <v>214.48</v>
      </c>
      <c r="J1778" s="6">
        <v>1286.8699999999999</v>
      </c>
      <c r="K1778" t="s">
        <v>3613</v>
      </c>
      <c r="L1778" t="s">
        <v>3614</v>
      </c>
    </row>
    <row r="1779" spans="1:13" ht="15" customHeight="1" x14ac:dyDescent="0.25">
      <c r="A1779">
        <v>1778</v>
      </c>
      <c r="B1779" s="5">
        <v>45842</v>
      </c>
      <c r="C1779" t="s">
        <v>33</v>
      </c>
      <c r="D1779" t="s">
        <v>181</v>
      </c>
      <c r="E1779" t="s">
        <v>182</v>
      </c>
      <c r="F1779" t="s">
        <v>87</v>
      </c>
      <c r="G1779" s="6">
        <v>4161.07</v>
      </c>
      <c r="H1779" s="7">
        <v>0.2</v>
      </c>
      <c r="I1779" s="6">
        <v>832.21</v>
      </c>
      <c r="J1779" s="6">
        <v>4993.28</v>
      </c>
      <c r="K1779" t="s">
        <v>3615</v>
      </c>
      <c r="L1779" t="s">
        <v>3616</v>
      </c>
    </row>
    <row r="1780" spans="1:13" ht="15" customHeight="1" x14ac:dyDescent="0.25">
      <c r="A1780">
        <v>1779</v>
      </c>
      <c r="B1780" s="5">
        <v>45877</v>
      </c>
      <c r="C1780" t="s">
        <v>27</v>
      </c>
      <c r="D1780" t="s">
        <v>28</v>
      </c>
      <c r="E1780" t="s">
        <v>29</v>
      </c>
      <c r="F1780" t="s">
        <v>84</v>
      </c>
      <c r="G1780" s="6">
        <v>2424.7199999999998</v>
      </c>
      <c r="H1780" s="7">
        <v>2.1000000000000001E-2</v>
      </c>
      <c r="I1780" s="6">
        <v>50.92</v>
      </c>
      <c r="J1780" s="6">
        <v>2475.64</v>
      </c>
      <c r="K1780" t="s">
        <v>3617</v>
      </c>
      <c r="L1780" t="s">
        <v>3618</v>
      </c>
    </row>
    <row r="1781" spans="1:13" ht="15" customHeight="1" x14ac:dyDescent="0.25">
      <c r="A1781">
        <v>1780</v>
      </c>
      <c r="B1781" s="5">
        <v>45999</v>
      </c>
      <c r="C1781" t="s">
        <v>27</v>
      </c>
      <c r="D1781" t="s">
        <v>63</v>
      </c>
      <c r="E1781" t="s">
        <v>64</v>
      </c>
      <c r="F1781" t="s">
        <v>84</v>
      </c>
      <c r="G1781" s="6">
        <v>3117.25</v>
      </c>
      <c r="H1781" s="7">
        <v>0.2</v>
      </c>
      <c r="I1781" s="6">
        <v>623.45000000000005</v>
      </c>
      <c r="J1781" s="6">
        <v>3740.7</v>
      </c>
      <c r="K1781" t="s">
        <v>3619</v>
      </c>
      <c r="L1781" t="s">
        <v>3620</v>
      </c>
    </row>
    <row r="1782" spans="1:13" ht="15" customHeight="1" x14ac:dyDescent="0.25">
      <c r="A1782">
        <v>1781</v>
      </c>
      <c r="B1782" s="5">
        <v>45796</v>
      </c>
      <c r="C1782" t="s">
        <v>47</v>
      </c>
      <c r="D1782" t="s">
        <v>55</v>
      </c>
      <c r="E1782" t="s">
        <v>56</v>
      </c>
      <c r="F1782" t="s">
        <v>120</v>
      </c>
      <c r="G1782" s="6">
        <v>4129.76</v>
      </c>
      <c r="H1782" s="7">
        <v>5.5E-2</v>
      </c>
      <c r="I1782" s="6">
        <v>227.14</v>
      </c>
      <c r="J1782" s="6">
        <v>4356.8999999999996</v>
      </c>
      <c r="K1782" t="s">
        <v>3621</v>
      </c>
      <c r="M1782" t="s">
        <v>186</v>
      </c>
    </row>
    <row r="1783" spans="1:13" ht="15" customHeight="1" x14ac:dyDescent="0.25">
      <c r="A1783">
        <v>1782</v>
      </c>
      <c r="B1783" s="5">
        <v>46035</v>
      </c>
      <c r="C1783" t="s">
        <v>47</v>
      </c>
      <c r="D1783" t="s">
        <v>42</v>
      </c>
      <c r="E1783" t="s">
        <v>43</v>
      </c>
      <c r="F1783" t="s">
        <v>44</v>
      </c>
      <c r="G1783" s="6">
        <v>3693.25</v>
      </c>
      <c r="H1783" s="7">
        <v>0</v>
      </c>
      <c r="I1783" s="6">
        <v>0</v>
      </c>
      <c r="J1783" s="6">
        <v>3693.25</v>
      </c>
      <c r="K1783" t="s">
        <v>3622</v>
      </c>
      <c r="L1783" t="s">
        <v>3623</v>
      </c>
      <c r="M1783" t="s">
        <v>1282</v>
      </c>
    </row>
    <row r="1784" spans="1:13" ht="15" customHeight="1" x14ac:dyDescent="0.25">
      <c r="A1784">
        <v>1783</v>
      </c>
      <c r="B1784" s="5">
        <v>45733</v>
      </c>
      <c r="C1784" t="s">
        <v>27</v>
      </c>
      <c r="D1784" t="s">
        <v>28</v>
      </c>
      <c r="E1784" t="s">
        <v>29</v>
      </c>
      <c r="F1784" t="s">
        <v>81</v>
      </c>
      <c r="G1784" s="6">
        <v>1806.45</v>
      </c>
      <c r="H1784" s="7">
        <v>2.1000000000000001E-2</v>
      </c>
      <c r="I1784" s="6">
        <v>37.94</v>
      </c>
      <c r="J1784" s="6">
        <v>1844.39</v>
      </c>
      <c r="K1784" t="s">
        <v>3624</v>
      </c>
      <c r="L1784" t="s">
        <v>3625</v>
      </c>
    </row>
    <row r="1785" spans="1:13" ht="15" customHeight="1" x14ac:dyDescent="0.25">
      <c r="A1785">
        <v>1784</v>
      </c>
      <c r="B1785" s="5">
        <v>45715</v>
      </c>
      <c r="C1785" t="s">
        <v>47</v>
      </c>
      <c r="D1785" t="s">
        <v>42</v>
      </c>
      <c r="E1785" t="s">
        <v>43</v>
      </c>
      <c r="F1785" t="s">
        <v>44</v>
      </c>
      <c r="G1785" s="6">
        <v>4103</v>
      </c>
      <c r="H1785" s="7">
        <v>0</v>
      </c>
      <c r="I1785" s="6">
        <v>0</v>
      </c>
      <c r="J1785" s="6">
        <v>4103</v>
      </c>
      <c r="K1785" t="s">
        <v>3626</v>
      </c>
      <c r="L1785" t="s">
        <v>3627</v>
      </c>
    </row>
    <row r="1786" spans="1:13" ht="15" customHeight="1" x14ac:dyDescent="0.25">
      <c r="A1786">
        <v>1785</v>
      </c>
      <c r="B1786" s="5">
        <v>45723</v>
      </c>
      <c r="C1786" t="s">
        <v>33</v>
      </c>
      <c r="D1786" t="s">
        <v>28</v>
      </c>
      <c r="E1786" t="s">
        <v>29</v>
      </c>
      <c r="F1786" t="s">
        <v>36</v>
      </c>
      <c r="G1786" s="6">
        <v>883.88</v>
      </c>
      <c r="H1786" s="7">
        <v>2.1000000000000001E-2</v>
      </c>
      <c r="I1786" s="6">
        <v>18.559999999999999</v>
      </c>
      <c r="J1786" s="6">
        <v>902.44</v>
      </c>
      <c r="K1786" t="s">
        <v>3628</v>
      </c>
      <c r="L1786" t="s">
        <v>3629</v>
      </c>
    </row>
    <row r="1787" spans="1:13" ht="15" customHeight="1" x14ac:dyDescent="0.25">
      <c r="A1787">
        <v>1786</v>
      </c>
      <c r="B1787" s="5">
        <v>45904</v>
      </c>
      <c r="C1787" t="s">
        <v>47</v>
      </c>
      <c r="D1787" t="s">
        <v>79</v>
      </c>
      <c r="E1787" t="s">
        <v>80</v>
      </c>
      <c r="F1787" t="s">
        <v>36</v>
      </c>
      <c r="G1787" s="6">
        <v>3144.92</v>
      </c>
      <c r="H1787" s="7">
        <v>0.2</v>
      </c>
      <c r="I1787" s="6">
        <v>628.98</v>
      </c>
      <c r="J1787" s="6">
        <v>3773.9</v>
      </c>
      <c r="K1787" t="s">
        <v>3630</v>
      </c>
      <c r="L1787" t="s">
        <v>3631</v>
      </c>
    </row>
    <row r="1788" spans="1:13" ht="15" customHeight="1" x14ac:dyDescent="0.25">
      <c r="A1788">
        <v>1787</v>
      </c>
      <c r="B1788" s="5">
        <v>45992</v>
      </c>
      <c r="C1788" t="s">
        <v>27</v>
      </c>
      <c r="D1788" t="s">
        <v>55</v>
      </c>
      <c r="E1788" t="s">
        <v>56</v>
      </c>
      <c r="F1788" t="s">
        <v>36</v>
      </c>
      <c r="G1788" s="6">
        <v>4153.49</v>
      </c>
      <c r="H1788" s="7">
        <v>5.5E-2</v>
      </c>
      <c r="I1788" s="6">
        <v>228.44</v>
      </c>
      <c r="J1788" s="6">
        <v>4381.93</v>
      </c>
      <c r="K1788" t="s">
        <v>3632</v>
      </c>
      <c r="L1788" t="s">
        <v>3633</v>
      </c>
    </row>
    <row r="1789" spans="1:13" ht="15" customHeight="1" x14ac:dyDescent="0.25">
      <c r="A1789">
        <v>1788</v>
      </c>
      <c r="B1789" s="5">
        <v>45931</v>
      </c>
      <c r="C1789" t="s">
        <v>27</v>
      </c>
      <c r="D1789" t="s">
        <v>79</v>
      </c>
      <c r="E1789" t="s">
        <v>80</v>
      </c>
      <c r="F1789" t="s">
        <v>106</v>
      </c>
      <c r="G1789" s="6">
        <v>2257.3000000000002</v>
      </c>
      <c r="H1789" s="7">
        <v>0.2</v>
      </c>
      <c r="I1789" s="6">
        <v>451.46</v>
      </c>
      <c r="J1789" s="6">
        <v>2708.76</v>
      </c>
      <c r="K1789" t="s">
        <v>3634</v>
      </c>
      <c r="L1789" t="s">
        <v>3635</v>
      </c>
    </row>
    <row r="1790" spans="1:13" ht="15" customHeight="1" x14ac:dyDescent="0.25">
      <c r="A1790">
        <v>1789</v>
      </c>
      <c r="B1790" s="5">
        <v>45878</v>
      </c>
      <c r="C1790" t="s">
        <v>33</v>
      </c>
      <c r="D1790" t="s">
        <v>63</v>
      </c>
      <c r="E1790" t="s">
        <v>64</v>
      </c>
      <c r="F1790" t="s">
        <v>81</v>
      </c>
      <c r="G1790" s="6">
        <v>2409.1</v>
      </c>
      <c r="H1790" s="7">
        <v>0.2</v>
      </c>
      <c r="I1790" s="6">
        <v>481.82</v>
      </c>
      <c r="J1790" s="6">
        <v>2890.92</v>
      </c>
      <c r="K1790" t="s">
        <v>3636</v>
      </c>
      <c r="L1790" t="s">
        <v>3637</v>
      </c>
      <c r="M1790" t="s">
        <v>472</v>
      </c>
    </row>
    <row r="1791" spans="1:13" ht="15" customHeight="1" x14ac:dyDescent="0.25">
      <c r="A1791">
        <v>1790</v>
      </c>
      <c r="B1791" s="5">
        <v>45702</v>
      </c>
      <c r="C1791" t="s">
        <v>27</v>
      </c>
      <c r="D1791" t="s">
        <v>28</v>
      </c>
      <c r="E1791" t="s">
        <v>29</v>
      </c>
      <c r="F1791" t="s">
        <v>39</v>
      </c>
      <c r="G1791" s="6">
        <v>1119.55</v>
      </c>
      <c r="H1791" s="7">
        <v>2.1000000000000001E-2</v>
      </c>
      <c r="I1791" s="6">
        <v>23.51</v>
      </c>
      <c r="J1791" s="6">
        <v>1143.06</v>
      </c>
      <c r="K1791" t="s">
        <v>3638</v>
      </c>
      <c r="L1791" t="s">
        <v>3639</v>
      </c>
    </row>
    <row r="1792" spans="1:13" ht="15" customHeight="1" x14ac:dyDescent="0.25">
      <c r="A1792">
        <v>1791</v>
      </c>
      <c r="B1792" s="5">
        <v>45726</v>
      </c>
      <c r="C1792" t="s">
        <v>33</v>
      </c>
      <c r="D1792" t="s">
        <v>55</v>
      </c>
      <c r="E1792" t="s">
        <v>56</v>
      </c>
      <c r="F1792" t="s">
        <v>39</v>
      </c>
      <c r="G1792" s="6">
        <v>4150.3999999999996</v>
      </c>
      <c r="H1792" s="7">
        <v>5.5E-2</v>
      </c>
      <c r="I1792" s="6">
        <v>228.27</v>
      </c>
      <c r="J1792" s="6">
        <v>4378.67</v>
      </c>
      <c r="K1792" t="s">
        <v>3640</v>
      </c>
      <c r="L1792" t="s">
        <v>3641</v>
      </c>
    </row>
    <row r="1793" spans="1:12" ht="15" customHeight="1" x14ac:dyDescent="0.25">
      <c r="A1793">
        <v>1792</v>
      </c>
      <c r="B1793" s="5">
        <v>45729</v>
      </c>
      <c r="C1793" t="s">
        <v>47</v>
      </c>
      <c r="D1793" t="s">
        <v>42</v>
      </c>
      <c r="E1793" t="s">
        <v>43</v>
      </c>
      <c r="F1793" t="s">
        <v>44</v>
      </c>
      <c r="G1793" s="6">
        <v>2145.94</v>
      </c>
      <c r="H1793" s="7">
        <v>0</v>
      </c>
      <c r="I1793" s="6">
        <v>0</v>
      </c>
      <c r="J1793" s="6">
        <v>2145.94</v>
      </c>
      <c r="K1793" t="s">
        <v>3642</v>
      </c>
      <c r="L1793" t="s">
        <v>3643</v>
      </c>
    </row>
    <row r="1794" spans="1:12" ht="15" customHeight="1" x14ac:dyDescent="0.25">
      <c r="A1794">
        <v>1793</v>
      </c>
      <c r="B1794" s="5">
        <v>45873</v>
      </c>
      <c r="C1794" t="s">
        <v>27</v>
      </c>
      <c r="D1794" t="s">
        <v>94</v>
      </c>
      <c r="E1794" t="s">
        <v>95</v>
      </c>
      <c r="F1794" t="s">
        <v>44</v>
      </c>
      <c r="G1794" s="6">
        <v>2569.5500000000002</v>
      </c>
      <c r="H1794" s="7">
        <v>0</v>
      </c>
      <c r="I1794" s="6">
        <v>0</v>
      </c>
      <c r="J1794" s="6">
        <v>2569.5500000000002</v>
      </c>
      <c r="K1794" t="s">
        <v>3644</v>
      </c>
      <c r="L1794" t="s">
        <v>3645</v>
      </c>
    </row>
    <row r="1795" spans="1:12" ht="15" customHeight="1" x14ac:dyDescent="0.25">
      <c r="A1795">
        <v>1794</v>
      </c>
      <c r="B1795" s="5">
        <v>46014</v>
      </c>
      <c r="C1795" t="s">
        <v>27</v>
      </c>
      <c r="D1795" t="s">
        <v>28</v>
      </c>
      <c r="E1795" t="s">
        <v>29</v>
      </c>
      <c r="F1795" t="s">
        <v>36</v>
      </c>
      <c r="G1795" s="6">
        <v>3191.52</v>
      </c>
      <c r="H1795" s="7">
        <v>2.1000000000000001E-2</v>
      </c>
      <c r="I1795" s="6">
        <v>67.02</v>
      </c>
      <c r="J1795" s="6">
        <v>3258.54</v>
      </c>
      <c r="K1795" t="s">
        <v>3646</v>
      </c>
      <c r="L1795" t="s">
        <v>3647</v>
      </c>
    </row>
    <row r="1796" spans="1:12" ht="15" customHeight="1" x14ac:dyDescent="0.25">
      <c r="A1796">
        <v>1795</v>
      </c>
      <c r="B1796" s="5">
        <v>45875</v>
      </c>
      <c r="C1796" t="s">
        <v>33</v>
      </c>
      <c r="D1796" t="s">
        <v>42</v>
      </c>
      <c r="E1796" t="s">
        <v>43</v>
      </c>
      <c r="F1796" t="s">
        <v>44</v>
      </c>
      <c r="G1796" s="6">
        <v>3483.36</v>
      </c>
      <c r="H1796" s="7">
        <v>0</v>
      </c>
      <c r="I1796" s="6">
        <v>0</v>
      </c>
      <c r="J1796" s="6">
        <v>3483.36</v>
      </c>
      <c r="K1796" t="s">
        <v>3648</v>
      </c>
      <c r="L1796" t="s">
        <v>3649</v>
      </c>
    </row>
    <row r="1797" spans="1:12" ht="15" customHeight="1" x14ac:dyDescent="0.25">
      <c r="A1797">
        <v>1796</v>
      </c>
      <c r="B1797" s="5">
        <v>45673</v>
      </c>
      <c r="C1797" t="s">
        <v>27</v>
      </c>
      <c r="D1797" t="s">
        <v>28</v>
      </c>
      <c r="E1797" t="s">
        <v>29</v>
      </c>
      <c r="F1797" t="s">
        <v>30</v>
      </c>
      <c r="G1797" s="6">
        <v>729.24</v>
      </c>
      <c r="H1797" s="7">
        <v>2.1000000000000001E-2</v>
      </c>
      <c r="I1797" s="6">
        <v>15.31</v>
      </c>
      <c r="J1797" s="6">
        <v>744.55</v>
      </c>
      <c r="K1797" t="s">
        <v>3650</v>
      </c>
      <c r="L1797" t="s">
        <v>3651</v>
      </c>
    </row>
    <row r="1798" spans="1:12" ht="15" customHeight="1" x14ac:dyDescent="0.25">
      <c r="A1798">
        <v>1797</v>
      </c>
      <c r="B1798" s="5">
        <v>45734</v>
      </c>
      <c r="C1798" t="s">
        <v>33</v>
      </c>
      <c r="D1798" t="s">
        <v>28</v>
      </c>
      <c r="E1798" t="s">
        <v>29</v>
      </c>
      <c r="F1798" t="s">
        <v>76</v>
      </c>
      <c r="G1798" s="6">
        <v>3463.15</v>
      </c>
      <c r="H1798" s="7">
        <v>2.1000000000000001E-2</v>
      </c>
      <c r="I1798" s="6">
        <v>72.73</v>
      </c>
      <c r="J1798" s="6">
        <v>3535.88</v>
      </c>
      <c r="K1798" t="s">
        <v>3652</v>
      </c>
      <c r="L1798" t="s">
        <v>3653</v>
      </c>
    </row>
    <row r="1799" spans="1:12" ht="15" customHeight="1" x14ac:dyDescent="0.25">
      <c r="A1799">
        <v>1798</v>
      </c>
      <c r="B1799" s="5">
        <v>46015</v>
      </c>
      <c r="C1799" t="s">
        <v>33</v>
      </c>
      <c r="D1799" t="s">
        <v>42</v>
      </c>
      <c r="E1799" t="s">
        <v>43</v>
      </c>
      <c r="F1799" t="s">
        <v>44</v>
      </c>
      <c r="G1799" s="6">
        <v>2928.44</v>
      </c>
      <c r="H1799" s="7">
        <v>0</v>
      </c>
      <c r="I1799" s="6">
        <v>0</v>
      </c>
      <c r="J1799" s="6">
        <v>2928.44</v>
      </c>
      <c r="K1799" t="s">
        <v>3654</v>
      </c>
      <c r="L1799" t="s">
        <v>3655</v>
      </c>
    </row>
    <row r="1800" spans="1:12" ht="15" customHeight="1" x14ac:dyDescent="0.25">
      <c r="A1800">
        <v>1799</v>
      </c>
      <c r="B1800" s="5">
        <v>45988</v>
      </c>
      <c r="C1800" t="s">
        <v>47</v>
      </c>
      <c r="D1800" t="s">
        <v>79</v>
      </c>
      <c r="E1800" t="s">
        <v>80</v>
      </c>
      <c r="F1800" t="s">
        <v>174</v>
      </c>
      <c r="G1800" s="6">
        <v>3152.99</v>
      </c>
      <c r="H1800" s="7">
        <v>0.2</v>
      </c>
      <c r="I1800" s="6">
        <v>630.6</v>
      </c>
      <c r="J1800" s="6">
        <v>3783.59</v>
      </c>
      <c r="K1800" t="s">
        <v>3656</v>
      </c>
      <c r="L1800" t="s">
        <v>3657</v>
      </c>
    </row>
    <row r="1801" spans="1:12" ht="15" customHeight="1" x14ac:dyDescent="0.25">
      <c r="A1801">
        <v>1800</v>
      </c>
      <c r="B1801" s="5">
        <v>45986</v>
      </c>
      <c r="C1801" t="s">
        <v>33</v>
      </c>
      <c r="D1801" t="s">
        <v>28</v>
      </c>
      <c r="E1801" t="s">
        <v>29</v>
      </c>
      <c r="F1801" t="s">
        <v>30</v>
      </c>
      <c r="G1801" s="6">
        <v>221.97</v>
      </c>
      <c r="H1801" s="7">
        <v>2.1000000000000001E-2</v>
      </c>
      <c r="I1801" s="6">
        <v>4.66</v>
      </c>
      <c r="J1801" s="6">
        <v>226.63</v>
      </c>
      <c r="K1801" t="s">
        <v>3658</v>
      </c>
      <c r="L1801" t="s">
        <v>3659</v>
      </c>
    </row>
    <row r="1802" spans="1:12" ht="15" customHeight="1" x14ac:dyDescent="0.25">
      <c r="A1802">
        <v>1801</v>
      </c>
      <c r="B1802" s="5">
        <v>45874</v>
      </c>
      <c r="C1802" t="s">
        <v>33</v>
      </c>
      <c r="D1802" t="s">
        <v>28</v>
      </c>
      <c r="E1802" t="s">
        <v>29</v>
      </c>
      <c r="F1802" t="s">
        <v>76</v>
      </c>
      <c r="G1802" s="6">
        <v>3085.17</v>
      </c>
      <c r="H1802" s="7">
        <v>2.1000000000000001E-2</v>
      </c>
      <c r="I1802" s="6">
        <v>64.790000000000006</v>
      </c>
      <c r="J1802" s="6">
        <v>3149.96</v>
      </c>
      <c r="K1802" t="s">
        <v>3660</v>
      </c>
      <c r="L1802" t="s">
        <v>3661</v>
      </c>
    </row>
    <row r="1803" spans="1:12" ht="15" customHeight="1" x14ac:dyDescent="0.25">
      <c r="A1803">
        <v>1802</v>
      </c>
      <c r="B1803" s="5">
        <v>45950</v>
      </c>
      <c r="C1803" t="s">
        <v>27</v>
      </c>
      <c r="D1803" t="s">
        <v>42</v>
      </c>
      <c r="E1803" t="s">
        <v>43</v>
      </c>
      <c r="F1803" t="s">
        <v>44</v>
      </c>
      <c r="G1803" s="6">
        <v>3502.45</v>
      </c>
      <c r="H1803" s="7">
        <v>0</v>
      </c>
      <c r="I1803" s="6">
        <v>0</v>
      </c>
      <c r="J1803" s="6">
        <v>3502.45</v>
      </c>
      <c r="K1803" t="s">
        <v>3662</v>
      </c>
      <c r="L1803" t="s">
        <v>3663</v>
      </c>
    </row>
    <row r="1804" spans="1:12" ht="15" customHeight="1" x14ac:dyDescent="0.25">
      <c r="A1804">
        <v>1803</v>
      </c>
      <c r="B1804" s="5">
        <v>45705</v>
      </c>
      <c r="C1804" t="s">
        <v>33</v>
      </c>
      <c r="D1804" t="s">
        <v>55</v>
      </c>
      <c r="E1804" t="s">
        <v>56</v>
      </c>
      <c r="F1804" t="s">
        <v>30</v>
      </c>
      <c r="G1804" s="6">
        <v>2385.0300000000002</v>
      </c>
      <c r="H1804" s="7">
        <v>5.5E-2</v>
      </c>
      <c r="I1804" s="6">
        <v>131.18</v>
      </c>
      <c r="J1804" s="6">
        <v>2516.21</v>
      </c>
      <c r="K1804" t="s">
        <v>3664</v>
      </c>
      <c r="L1804" t="s">
        <v>3665</v>
      </c>
    </row>
    <row r="1805" spans="1:12" ht="15" customHeight="1" x14ac:dyDescent="0.25">
      <c r="A1805">
        <v>1804</v>
      </c>
      <c r="B1805" s="5">
        <v>45686</v>
      </c>
      <c r="C1805" t="s">
        <v>33</v>
      </c>
      <c r="D1805" t="s">
        <v>63</v>
      </c>
      <c r="E1805" t="s">
        <v>64</v>
      </c>
      <c r="F1805" t="s">
        <v>30</v>
      </c>
      <c r="G1805" s="6">
        <v>1047.57</v>
      </c>
      <c r="H1805" s="7">
        <v>0.2</v>
      </c>
      <c r="I1805" s="6">
        <v>209.51</v>
      </c>
      <c r="J1805" s="6">
        <v>1257.08</v>
      </c>
      <c r="K1805" t="s">
        <v>3666</v>
      </c>
      <c r="L1805" t="s">
        <v>3667</v>
      </c>
    </row>
    <row r="1806" spans="1:12" ht="15" customHeight="1" x14ac:dyDescent="0.25">
      <c r="A1806">
        <v>1805</v>
      </c>
      <c r="B1806" s="5">
        <v>45967</v>
      </c>
      <c r="C1806" t="s">
        <v>27</v>
      </c>
      <c r="D1806" t="s">
        <v>94</v>
      </c>
      <c r="E1806" t="s">
        <v>95</v>
      </c>
      <c r="F1806" t="s">
        <v>44</v>
      </c>
      <c r="G1806" s="6">
        <v>2541.4</v>
      </c>
      <c r="H1806" s="7">
        <v>0</v>
      </c>
      <c r="I1806" s="6">
        <v>0</v>
      </c>
      <c r="J1806" s="6">
        <v>2541.4</v>
      </c>
      <c r="K1806" t="s">
        <v>3668</v>
      </c>
      <c r="L1806" t="s">
        <v>3669</v>
      </c>
    </row>
    <row r="1807" spans="1:12" ht="15" customHeight="1" x14ac:dyDescent="0.25">
      <c r="A1807">
        <v>1806</v>
      </c>
      <c r="B1807" s="5">
        <v>45986</v>
      </c>
      <c r="C1807" t="s">
        <v>47</v>
      </c>
      <c r="D1807" t="s">
        <v>55</v>
      </c>
      <c r="E1807" t="s">
        <v>56</v>
      </c>
      <c r="F1807" t="s">
        <v>36</v>
      </c>
      <c r="G1807" s="6">
        <v>1870.54</v>
      </c>
      <c r="H1807" s="7">
        <v>5.5E-2</v>
      </c>
      <c r="I1807" s="6">
        <v>102.88</v>
      </c>
      <c r="J1807" s="6">
        <v>1973.42</v>
      </c>
      <c r="K1807" t="s">
        <v>3670</v>
      </c>
      <c r="L1807" t="s">
        <v>3671</v>
      </c>
    </row>
    <row r="1808" spans="1:12" ht="15" customHeight="1" x14ac:dyDescent="0.25">
      <c r="A1808">
        <v>1807</v>
      </c>
      <c r="B1808" s="5">
        <v>45989</v>
      </c>
      <c r="C1808" t="s">
        <v>33</v>
      </c>
      <c r="D1808" t="s">
        <v>42</v>
      </c>
      <c r="E1808" t="s">
        <v>43</v>
      </c>
      <c r="F1808" t="s">
        <v>44</v>
      </c>
      <c r="G1808" s="6">
        <v>2447.81</v>
      </c>
      <c r="H1808" s="7">
        <v>0</v>
      </c>
      <c r="I1808" s="6">
        <v>0</v>
      </c>
      <c r="J1808" s="6">
        <v>2447.81</v>
      </c>
      <c r="K1808" t="s">
        <v>3672</v>
      </c>
      <c r="L1808" t="s">
        <v>3673</v>
      </c>
    </row>
    <row r="1809" spans="1:12" ht="15" customHeight="1" x14ac:dyDescent="0.25">
      <c r="A1809">
        <v>1808</v>
      </c>
      <c r="B1809" s="5">
        <v>45672</v>
      </c>
      <c r="C1809" t="s">
        <v>33</v>
      </c>
      <c r="D1809" t="s">
        <v>55</v>
      </c>
      <c r="E1809" t="s">
        <v>56</v>
      </c>
      <c r="F1809" t="s">
        <v>30</v>
      </c>
      <c r="G1809" s="6">
        <v>1138.72</v>
      </c>
      <c r="H1809" s="7">
        <v>5.5E-2</v>
      </c>
      <c r="I1809" s="6">
        <v>62.63</v>
      </c>
      <c r="J1809" s="6">
        <v>1201.3499999999999</v>
      </c>
      <c r="K1809" t="s">
        <v>3674</v>
      </c>
      <c r="L1809" t="s">
        <v>3675</v>
      </c>
    </row>
    <row r="1810" spans="1:12" ht="15" customHeight="1" x14ac:dyDescent="0.25">
      <c r="A1810">
        <v>1809</v>
      </c>
      <c r="B1810" s="5">
        <v>45663</v>
      </c>
      <c r="C1810" t="s">
        <v>33</v>
      </c>
      <c r="D1810" t="s">
        <v>28</v>
      </c>
      <c r="E1810" t="s">
        <v>29</v>
      </c>
      <c r="F1810" t="s">
        <v>174</v>
      </c>
      <c r="G1810" s="6">
        <v>3423.82</v>
      </c>
      <c r="H1810" s="7">
        <v>2.1000000000000001E-2</v>
      </c>
      <c r="I1810" s="6">
        <v>71.900000000000006</v>
      </c>
      <c r="J1810" s="6">
        <v>3495.72</v>
      </c>
      <c r="K1810" t="s">
        <v>3676</v>
      </c>
      <c r="L1810" t="s">
        <v>3677</v>
      </c>
    </row>
    <row r="1811" spans="1:12" ht="15" customHeight="1" x14ac:dyDescent="0.25">
      <c r="A1811">
        <v>1810</v>
      </c>
      <c r="B1811" s="5">
        <v>45674</v>
      </c>
      <c r="C1811" t="s">
        <v>27</v>
      </c>
      <c r="D1811" t="s">
        <v>28</v>
      </c>
      <c r="E1811" t="s">
        <v>29</v>
      </c>
      <c r="F1811" t="s">
        <v>87</v>
      </c>
      <c r="G1811" s="6">
        <v>1142.28</v>
      </c>
      <c r="H1811" s="7">
        <v>2.1000000000000001E-2</v>
      </c>
      <c r="I1811" s="6">
        <v>23.99</v>
      </c>
      <c r="J1811" s="6">
        <v>1166.27</v>
      </c>
      <c r="K1811" t="s">
        <v>3678</v>
      </c>
      <c r="L1811" t="s">
        <v>3679</v>
      </c>
    </row>
    <row r="1812" spans="1:12" ht="15" customHeight="1" x14ac:dyDescent="0.25">
      <c r="A1812">
        <v>1811</v>
      </c>
      <c r="B1812" s="5">
        <v>45905</v>
      </c>
      <c r="C1812" t="s">
        <v>27</v>
      </c>
      <c r="D1812" t="s">
        <v>28</v>
      </c>
      <c r="E1812" t="s">
        <v>29</v>
      </c>
      <c r="F1812" t="s">
        <v>50</v>
      </c>
      <c r="G1812" s="6">
        <v>281.91000000000003</v>
      </c>
      <c r="H1812" s="7">
        <v>2.1000000000000001E-2</v>
      </c>
      <c r="I1812" s="6">
        <v>5.92</v>
      </c>
      <c r="J1812" s="6">
        <v>287.83</v>
      </c>
      <c r="K1812" t="s">
        <v>3680</v>
      </c>
      <c r="L1812" t="s">
        <v>3681</v>
      </c>
    </row>
    <row r="1813" spans="1:12" ht="15" customHeight="1" x14ac:dyDescent="0.25">
      <c r="A1813">
        <v>1812</v>
      </c>
      <c r="B1813" s="5">
        <v>45840</v>
      </c>
      <c r="C1813" t="s">
        <v>47</v>
      </c>
      <c r="D1813" t="s">
        <v>28</v>
      </c>
      <c r="E1813" t="s">
        <v>29</v>
      </c>
      <c r="F1813" t="s">
        <v>36</v>
      </c>
      <c r="G1813" s="6">
        <v>3402.42</v>
      </c>
      <c r="H1813" s="7">
        <v>2.1000000000000001E-2</v>
      </c>
      <c r="I1813" s="6">
        <v>71.45</v>
      </c>
      <c r="J1813" s="6">
        <v>3473.87</v>
      </c>
      <c r="K1813" t="s">
        <v>3682</v>
      </c>
      <c r="L1813" t="s">
        <v>3683</v>
      </c>
    </row>
    <row r="1814" spans="1:12" ht="15" customHeight="1" x14ac:dyDescent="0.25">
      <c r="A1814">
        <v>1813</v>
      </c>
      <c r="B1814" s="5">
        <v>45840</v>
      </c>
      <c r="C1814" t="s">
        <v>33</v>
      </c>
      <c r="D1814" t="s">
        <v>55</v>
      </c>
      <c r="E1814" t="s">
        <v>56</v>
      </c>
      <c r="F1814" t="s">
        <v>81</v>
      </c>
      <c r="G1814" s="6">
        <v>4384.42</v>
      </c>
      <c r="H1814" s="7">
        <v>5.5E-2</v>
      </c>
      <c r="I1814" s="6">
        <v>241.14</v>
      </c>
      <c r="J1814" s="6">
        <v>4625.5600000000004</v>
      </c>
      <c r="K1814" t="s">
        <v>3684</v>
      </c>
      <c r="L1814" t="s">
        <v>3685</v>
      </c>
    </row>
    <row r="1815" spans="1:12" ht="15" customHeight="1" x14ac:dyDescent="0.25">
      <c r="A1815">
        <v>1814</v>
      </c>
      <c r="B1815" s="5">
        <v>45915</v>
      </c>
      <c r="C1815" t="s">
        <v>33</v>
      </c>
      <c r="D1815" t="s">
        <v>55</v>
      </c>
      <c r="E1815" t="s">
        <v>56</v>
      </c>
      <c r="F1815" t="s">
        <v>30</v>
      </c>
      <c r="G1815" s="6">
        <v>526.42999999999995</v>
      </c>
      <c r="H1815" s="7">
        <v>5.5E-2</v>
      </c>
      <c r="I1815" s="6">
        <v>28.95</v>
      </c>
      <c r="J1815" s="6">
        <v>555.38</v>
      </c>
      <c r="K1815" t="s">
        <v>3686</v>
      </c>
      <c r="L1815" t="s">
        <v>3687</v>
      </c>
    </row>
    <row r="1816" spans="1:12" ht="15" customHeight="1" x14ac:dyDescent="0.25">
      <c r="A1816">
        <v>1815</v>
      </c>
      <c r="B1816" s="5">
        <v>45902</v>
      </c>
      <c r="C1816" t="s">
        <v>27</v>
      </c>
      <c r="D1816" t="s">
        <v>42</v>
      </c>
      <c r="E1816" t="s">
        <v>43</v>
      </c>
      <c r="F1816" t="s">
        <v>44</v>
      </c>
      <c r="G1816" s="6">
        <v>3844.87</v>
      </c>
      <c r="H1816" s="7">
        <v>0</v>
      </c>
      <c r="I1816" s="6">
        <v>0</v>
      </c>
      <c r="J1816" s="6">
        <v>3844.87</v>
      </c>
      <c r="K1816" t="s">
        <v>3688</v>
      </c>
      <c r="L1816" t="s">
        <v>3689</v>
      </c>
    </row>
    <row r="1817" spans="1:12" ht="15" customHeight="1" x14ac:dyDescent="0.25">
      <c r="A1817">
        <v>1816</v>
      </c>
      <c r="B1817" s="5">
        <v>45895</v>
      </c>
      <c r="C1817" t="s">
        <v>33</v>
      </c>
      <c r="D1817" t="s">
        <v>28</v>
      </c>
      <c r="E1817" t="s">
        <v>29</v>
      </c>
      <c r="F1817" t="s">
        <v>120</v>
      </c>
      <c r="G1817" s="6">
        <v>428.09</v>
      </c>
      <c r="H1817" s="7">
        <v>2.1000000000000001E-2</v>
      </c>
      <c r="I1817" s="6">
        <v>8.99</v>
      </c>
      <c r="J1817" s="6">
        <v>437.08</v>
      </c>
      <c r="K1817" t="s">
        <v>3690</v>
      </c>
      <c r="L1817" t="s">
        <v>3691</v>
      </c>
    </row>
    <row r="1818" spans="1:12" ht="15" customHeight="1" x14ac:dyDescent="0.25">
      <c r="A1818">
        <v>1817</v>
      </c>
      <c r="B1818" s="5">
        <v>45768</v>
      </c>
      <c r="C1818" t="s">
        <v>27</v>
      </c>
      <c r="D1818" t="s">
        <v>55</v>
      </c>
      <c r="E1818" t="s">
        <v>56</v>
      </c>
      <c r="F1818" t="s">
        <v>120</v>
      </c>
      <c r="G1818" s="6">
        <v>3649.04</v>
      </c>
      <c r="H1818" s="7">
        <v>5.5E-2</v>
      </c>
      <c r="I1818" s="6">
        <v>200.7</v>
      </c>
      <c r="J1818" s="6">
        <v>3849.74</v>
      </c>
      <c r="K1818" t="s">
        <v>3692</v>
      </c>
      <c r="L1818" t="s">
        <v>3693</v>
      </c>
    </row>
    <row r="1819" spans="1:12" ht="15" customHeight="1" x14ac:dyDescent="0.25">
      <c r="A1819">
        <v>1818</v>
      </c>
      <c r="B1819" s="5">
        <v>45922</v>
      </c>
      <c r="C1819" t="s">
        <v>27</v>
      </c>
      <c r="D1819" t="s">
        <v>28</v>
      </c>
      <c r="E1819" t="s">
        <v>29</v>
      </c>
      <c r="F1819" t="s">
        <v>84</v>
      </c>
      <c r="G1819" s="6">
        <v>4465.87</v>
      </c>
      <c r="H1819" s="7">
        <v>2.1000000000000001E-2</v>
      </c>
      <c r="I1819" s="6">
        <v>93.78</v>
      </c>
      <c r="J1819" s="6">
        <v>4559.6499999999996</v>
      </c>
      <c r="K1819" t="s">
        <v>3694</v>
      </c>
      <c r="L1819" t="s">
        <v>3695</v>
      </c>
    </row>
    <row r="1820" spans="1:12" ht="15" customHeight="1" x14ac:dyDescent="0.25">
      <c r="A1820">
        <v>1819</v>
      </c>
      <c r="B1820" s="5">
        <v>45832</v>
      </c>
      <c r="C1820" t="s">
        <v>27</v>
      </c>
      <c r="D1820" t="s">
        <v>100</v>
      </c>
      <c r="E1820" t="s">
        <v>101</v>
      </c>
      <c r="F1820" t="s">
        <v>44</v>
      </c>
      <c r="G1820" s="6">
        <v>2114.87</v>
      </c>
      <c r="H1820" s="7">
        <v>0</v>
      </c>
      <c r="I1820" s="6">
        <v>0</v>
      </c>
      <c r="J1820" s="6">
        <v>2114.87</v>
      </c>
      <c r="K1820" t="s">
        <v>3696</v>
      </c>
      <c r="L1820" t="s">
        <v>3697</v>
      </c>
    </row>
    <row r="1821" spans="1:12" ht="15" customHeight="1" x14ac:dyDescent="0.25">
      <c r="A1821">
        <v>1820</v>
      </c>
      <c r="B1821" s="5">
        <v>45678</v>
      </c>
      <c r="C1821" t="s">
        <v>47</v>
      </c>
      <c r="D1821" t="s">
        <v>181</v>
      </c>
      <c r="E1821" t="s">
        <v>182</v>
      </c>
      <c r="F1821" t="s">
        <v>120</v>
      </c>
      <c r="G1821" s="6">
        <v>4016.81</v>
      </c>
      <c r="H1821" s="7">
        <v>0.2</v>
      </c>
      <c r="I1821" s="6">
        <v>803.36</v>
      </c>
      <c r="J1821" s="6">
        <v>4820.17</v>
      </c>
      <c r="K1821" t="s">
        <v>3698</v>
      </c>
      <c r="L1821" t="s">
        <v>3699</v>
      </c>
    </row>
    <row r="1822" spans="1:12" ht="15" customHeight="1" x14ac:dyDescent="0.25">
      <c r="A1822">
        <v>1821</v>
      </c>
      <c r="B1822" s="5">
        <v>45968</v>
      </c>
      <c r="C1822" t="s">
        <v>33</v>
      </c>
      <c r="D1822" t="s">
        <v>28</v>
      </c>
      <c r="E1822" t="s">
        <v>29</v>
      </c>
      <c r="F1822" t="s">
        <v>30</v>
      </c>
      <c r="G1822" s="6">
        <v>411.49</v>
      </c>
      <c r="H1822" s="7">
        <v>2.1000000000000001E-2</v>
      </c>
      <c r="I1822" s="6">
        <v>8.64</v>
      </c>
      <c r="J1822" s="6">
        <v>420.13</v>
      </c>
      <c r="K1822" t="s">
        <v>3700</v>
      </c>
      <c r="L1822" t="s">
        <v>3701</v>
      </c>
    </row>
    <row r="1823" spans="1:12" ht="15" customHeight="1" x14ac:dyDescent="0.25">
      <c r="A1823">
        <v>1822</v>
      </c>
      <c r="B1823" s="5">
        <v>45707</v>
      </c>
      <c r="C1823" t="s">
        <v>27</v>
      </c>
      <c r="D1823" t="s">
        <v>94</v>
      </c>
      <c r="E1823" t="s">
        <v>95</v>
      </c>
      <c r="F1823" t="s">
        <v>44</v>
      </c>
      <c r="G1823" s="6">
        <v>856.56</v>
      </c>
      <c r="H1823" s="7">
        <v>0</v>
      </c>
      <c r="I1823" s="6">
        <v>0</v>
      </c>
      <c r="J1823" s="6">
        <v>856.56</v>
      </c>
      <c r="K1823" t="s">
        <v>3702</v>
      </c>
      <c r="L1823" t="s">
        <v>3703</v>
      </c>
    </row>
    <row r="1824" spans="1:12" ht="15" customHeight="1" x14ac:dyDescent="0.25">
      <c r="A1824">
        <v>1823</v>
      </c>
      <c r="B1824" s="5">
        <v>45702</v>
      </c>
      <c r="C1824" t="s">
        <v>27</v>
      </c>
      <c r="D1824" t="s">
        <v>42</v>
      </c>
      <c r="E1824" t="s">
        <v>43</v>
      </c>
      <c r="F1824" t="s">
        <v>44</v>
      </c>
      <c r="G1824" s="6">
        <v>2891.54</v>
      </c>
      <c r="H1824" s="7">
        <v>0</v>
      </c>
      <c r="I1824" s="6">
        <v>0</v>
      </c>
      <c r="J1824" s="6">
        <v>2891.54</v>
      </c>
      <c r="K1824" t="s">
        <v>3704</v>
      </c>
      <c r="L1824" t="s">
        <v>3705</v>
      </c>
    </row>
    <row r="1825" spans="1:13" ht="15" customHeight="1" x14ac:dyDescent="0.25">
      <c r="A1825">
        <v>1824</v>
      </c>
      <c r="B1825" s="5">
        <v>45953</v>
      </c>
      <c r="C1825" t="s">
        <v>47</v>
      </c>
      <c r="D1825" t="s">
        <v>28</v>
      </c>
      <c r="E1825" t="s">
        <v>29</v>
      </c>
      <c r="F1825" t="s">
        <v>87</v>
      </c>
      <c r="G1825" s="6">
        <v>1685.91</v>
      </c>
      <c r="H1825" s="7">
        <v>2.1000000000000001E-2</v>
      </c>
      <c r="I1825" s="6">
        <v>35.4</v>
      </c>
      <c r="J1825" s="6">
        <v>1721.31</v>
      </c>
      <c r="K1825" t="s">
        <v>3706</v>
      </c>
      <c r="L1825" t="s">
        <v>3707</v>
      </c>
    </row>
    <row r="1826" spans="1:13" ht="15" customHeight="1" x14ac:dyDescent="0.25">
      <c r="A1826">
        <v>1825</v>
      </c>
      <c r="B1826" s="5">
        <v>45790</v>
      </c>
      <c r="C1826" t="s">
        <v>33</v>
      </c>
      <c r="D1826" t="s">
        <v>42</v>
      </c>
      <c r="E1826" t="s">
        <v>43</v>
      </c>
      <c r="F1826" t="s">
        <v>44</v>
      </c>
      <c r="G1826" s="6">
        <v>4148.3599999999997</v>
      </c>
      <c r="H1826" s="7">
        <v>0</v>
      </c>
      <c r="I1826" s="6">
        <v>0</v>
      </c>
      <c r="J1826" s="6">
        <v>4148.3599999999997</v>
      </c>
      <c r="K1826" t="s">
        <v>3708</v>
      </c>
      <c r="L1826" t="s">
        <v>3709</v>
      </c>
    </row>
    <row r="1827" spans="1:13" ht="15" customHeight="1" x14ac:dyDescent="0.25">
      <c r="A1827">
        <v>1826</v>
      </c>
      <c r="B1827" s="5">
        <v>45729</v>
      </c>
      <c r="C1827" t="s">
        <v>47</v>
      </c>
      <c r="D1827" t="s">
        <v>34</v>
      </c>
      <c r="E1827" t="s">
        <v>35</v>
      </c>
      <c r="F1827" t="s">
        <v>84</v>
      </c>
      <c r="G1827" s="6">
        <v>4234.05</v>
      </c>
      <c r="H1827" s="7">
        <v>0.2</v>
      </c>
      <c r="I1827" s="6">
        <v>846.81</v>
      </c>
      <c r="J1827" s="6">
        <v>5080.8599999999997</v>
      </c>
      <c r="K1827" t="s">
        <v>3710</v>
      </c>
      <c r="L1827" t="s">
        <v>3711</v>
      </c>
    </row>
    <row r="1828" spans="1:13" ht="15" customHeight="1" x14ac:dyDescent="0.25">
      <c r="A1828">
        <v>1827</v>
      </c>
      <c r="B1828" s="5">
        <v>45804</v>
      </c>
      <c r="C1828" t="s">
        <v>33</v>
      </c>
      <c r="D1828" t="s">
        <v>55</v>
      </c>
      <c r="E1828" t="s">
        <v>56</v>
      </c>
      <c r="F1828" t="s">
        <v>84</v>
      </c>
      <c r="G1828" s="6">
        <v>1852.15</v>
      </c>
      <c r="H1828" s="7">
        <v>5.5E-2</v>
      </c>
      <c r="I1828" s="6">
        <v>101.87</v>
      </c>
      <c r="J1828" s="6">
        <v>1954.02</v>
      </c>
      <c r="K1828" t="s">
        <v>3712</v>
      </c>
      <c r="L1828" t="s">
        <v>3713</v>
      </c>
    </row>
    <row r="1829" spans="1:13" ht="15" customHeight="1" x14ac:dyDescent="0.25">
      <c r="A1829">
        <v>1828</v>
      </c>
      <c r="B1829" s="5">
        <v>45818</v>
      </c>
      <c r="C1829" t="s">
        <v>33</v>
      </c>
      <c r="D1829" t="s">
        <v>79</v>
      </c>
      <c r="E1829" t="s">
        <v>80</v>
      </c>
      <c r="F1829" t="s">
        <v>120</v>
      </c>
      <c r="G1829" s="6">
        <v>1731.68</v>
      </c>
      <c r="H1829" s="7">
        <v>0.2</v>
      </c>
      <c r="I1829" s="6">
        <v>346.34</v>
      </c>
      <c r="J1829" s="6">
        <v>2078.02</v>
      </c>
      <c r="K1829" t="s">
        <v>3714</v>
      </c>
      <c r="L1829" t="s">
        <v>3715</v>
      </c>
    </row>
    <row r="1830" spans="1:13" ht="15" customHeight="1" x14ac:dyDescent="0.25">
      <c r="A1830">
        <v>1829</v>
      </c>
      <c r="B1830" s="5">
        <v>46007</v>
      </c>
      <c r="C1830" t="s">
        <v>27</v>
      </c>
      <c r="D1830" t="s">
        <v>79</v>
      </c>
      <c r="E1830" t="s">
        <v>80</v>
      </c>
      <c r="F1830" t="s">
        <v>120</v>
      </c>
      <c r="G1830" s="6">
        <v>268.63</v>
      </c>
      <c r="H1830" s="7">
        <v>0.2</v>
      </c>
      <c r="I1830" s="6">
        <v>53.73</v>
      </c>
      <c r="J1830" s="6">
        <v>322.36</v>
      </c>
      <c r="K1830" t="s">
        <v>3716</v>
      </c>
      <c r="L1830" t="s">
        <v>3717</v>
      </c>
    </row>
    <row r="1831" spans="1:13" ht="15" customHeight="1" x14ac:dyDescent="0.25">
      <c r="A1831">
        <v>1830</v>
      </c>
      <c r="B1831" s="5">
        <v>46016</v>
      </c>
      <c r="C1831" t="s">
        <v>27</v>
      </c>
      <c r="D1831" t="s">
        <v>42</v>
      </c>
      <c r="E1831" t="s">
        <v>43</v>
      </c>
      <c r="F1831" t="s">
        <v>44</v>
      </c>
      <c r="G1831" s="6">
        <v>1819.06</v>
      </c>
      <c r="H1831" s="7">
        <v>0</v>
      </c>
      <c r="I1831" s="6">
        <v>0</v>
      </c>
      <c r="J1831" s="6">
        <v>1819.06</v>
      </c>
      <c r="K1831" t="s">
        <v>3718</v>
      </c>
      <c r="L1831" t="s">
        <v>3719</v>
      </c>
    </row>
    <row r="1832" spans="1:13" ht="15" customHeight="1" x14ac:dyDescent="0.25">
      <c r="A1832">
        <v>1831</v>
      </c>
      <c r="B1832" s="5">
        <v>45862</v>
      </c>
      <c r="C1832" t="s">
        <v>33</v>
      </c>
      <c r="D1832" t="s">
        <v>55</v>
      </c>
      <c r="E1832" t="s">
        <v>56</v>
      </c>
      <c r="F1832" t="s">
        <v>71</v>
      </c>
      <c r="G1832" s="6">
        <v>3853.93</v>
      </c>
      <c r="H1832" s="7">
        <v>5.5E-2</v>
      </c>
      <c r="I1832" s="6">
        <v>211.97</v>
      </c>
      <c r="J1832" s="6">
        <v>4065.9</v>
      </c>
      <c r="K1832" t="s">
        <v>3720</v>
      </c>
      <c r="L1832" t="s">
        <v>3721</v>
      </c>
    </row>
    <row r="1833" spans="1:13" ht="15" customHeight="1" x14ac:dyDescent="0.25">
      <c r="A1833">
        <v>1832</v>
      </c>
      <c r="B1833" s="5">
        <v>45896</v>
      </c>
      <c r="C1833" t="s">
        <v>47</v>
      </c>
      <c r="D1833" t="s">
        <v>34</v>
      </c>
      <c r="E1833" t="s">
        <v>35</v>
      </c>
      <c r="F1833" t="s">
        <v>106</v>
      </c>
      <c r="G1833" s="6">
        <v>2150.7199999999998</v>
      </c>
      <c r="H1833" s="7">
        <v>0.2</v>
      </c>
      <c r="I1833" s="6">
        <v>430.14</v>
      </c>
      <c r="J1833" s="6">
        <v>2580.86</v>
      </c>
      <c r="K1833" t="s">
        <v>3722</v>
      </c>
      <c r="L1833" t="s">
        <v>3723</v>
      </c>
    </row>
    <row r="1834" spans="1:13" ht="15" customHeight="1" x14ac:dyDescent="0.25">
      <c r="A1834">
        <v>1833</v>
      </c>
      <c r="B1834" s="5">
        <v>45750</v>
      </c>
      <c r="C1834" t="s">
        <v>47</v>
      </c>
      <c r="D1834" t="s">
        <v>28</v>
      </c>
      <c r="E1834" t="s">
        <v>29</v>
      </c>
      <c r="F1834" t="s">
        <v>36</v>
      </c>
      <c r="G1834" s="6">
        <v>3314.46</v>
      </c>
      <c r="H1834" s="7">
        <v>2.1000000000000001E-2</v>
      </c>
      <c r="I1834" s="6">
        <v>69.599999999999994</v>
      </c>
      <c r="J1834" s="6">
        <v>3384.06</v>
      </c>
      <c r="K1834" t="s">
        <v>3724</v>
      </c>
      <c r="L1834" t="s">
        <v>3725</v>
      </c>
    </row>
    <row r="1835" spans="1:13" ht="15" customHeight="1" x14ac:dyDescent="0.25">
      <c r="A1835">
        <v>1834</v>
      </c>
      <c r="B1835" s="5">
        <v>45826</v>
      </c>
      <c r="C1835" t="s">
        <v>47</v>
      </c>
      <c r="D1835" t="s">
        <v>28</v>
      </c>
      <c r="E1835" t="s">
        <v>29</v>
      </c>
      <c r="F1835" t="s">
        <v>50</v>
      </c>
      <c r="G1835" s="6">
        <v>364.96</v>
      </c>
      <c r="H1835" s="7">
        <v>2.1000000000000001E-2</v>
      </c>
      <c r="I1835" s="6">
        <v>7.66</v>
      </c>
      <c r="J1835" s="6">
        <v>372.62</v>
      </c>
      <c r="K1835" t="s">
        <v>3726</v>
      </c>
      <c r="L1835" t="s">
        <v>3727</v>
      </c>
    </row>
    <row r="1836" spans="1:13" ht="15" customHeight="1" x14ac:dyDescent="0.25">
      <c r="A1836">
        <v>1835</v>
      </c>
      <c r="B1836" s="5">
        <v>45901</v>
      </c>
      <c r="C1836" t="s">
        <v>47</v>
      </c>
      <c r="D1836" t="s">
        <v>28</v>
      </c>
      <c r="E1836" t="s">
        <v>29</v>
      </c>
      <c r="F1836" t="s">
        <v>76</v>
      </c>
      <c r="G1836" s="6">
        <v>585.32000000000005</v>
      </c>
      <c r="H1836" s="7">
        <v>2.1000000000000001E-2</v>
      </c>
      <c r="I1836" s="6">
        <v>12.29</v>
      </c>
      <c r="J1836" s="6">
        <v>597.61</v>
      </c>
      <c r="K1836" t="s">
        <v>3728</v>
      </c>
      <c r="L1836" t="s">
        <v>3729</v>
      </c>
    </row>
    <row r="1837" spans="1:13" ht="15" customHeight="1" x14ac:dyDescent="0.25">
      <c r="A1837">
        <v>1836</v>
      </c>
      <c r="B1837" s="5">
        <v>45898</v>
      </c>
      <c r="C1837" t="s">
        <v>27</v>
      </c>
      <c r="D1837" t="s">
        <v>28</v>
      </c>
      <c r="E1837" t="s">
        <v>29</v>
      </c>
      <c r="F1837" t="s">
        <v>71</v>
      </c>
      <c r="G1837" s="6">
        <v>723.17</v>
      </c>
      <c r="H1837" s="7">
        <v>2.1000000000000001E-2</v>
      </c>
      <c r="I1837" s="6">
        <v>15.19</v>
      </c>
      <c r="J1837" s="6">
        <v>738.36</v>
      </c>
      <c r="K1837" t="s">
        <v>3730</v>
      </c>
      <c r="L1837" t="s">
        <v>3731</v>
      </c>
      <c r="M1837" t="s">
        <v>286</v>
      </c>
    </row>
    <row r="1838" spans="1:13" ht="15" customHeight="1" x14ac:dyDescent="0.25">
      <c r="A1838">
        <v>1837</v>
      </c>
      <c r="B1838" s="5">
        <v>45965</v>
      </c>
      <c r="C1838" t="s">
        <v>27</v>
      </c>
      <c r="D1838" t="s">
        <v>28</v>
      </c>
      <c r="E1838" t="s">
        <v>29</v>
      </c>
      <c r="F1838" t="s">
        <v>39</v>
      </c>
      <c r="G1838" s="6">
        <v>3501.99</v>
      </c>
      <c r="H1838" s="7">
        <v>2.1000000000000001E-2</v>
      </c>
      <c r="I1838" s="6">
        <v>73.540000000000006</v>
      </c>
      <c r="J1838" s="6">
        <v>3575.53</v>
      </c>
      <c r="K1838" t="s">
        <v>3732</v>
      </c>
      <c r="L1838" t="s">
        <v>3733</v>
      </c>
    </row>
    <row r="1839" spans="1:13" ht="15" customHeight="1" x14ac:dyDescent="0.25">
      <c r="A1839">
        <v>1838</v>
      </c>
      <c r="B1839" s="5">
        <v>45685</v>
      </c>
      <c r="C1839" t="s">
        <v>47</v>
      </c>
      <c r="D1839" t="s">
        <v>42</v>
      </c>
      <c r="E1839" t="s">
        <v>43</v>
      </c>
      <c r="F1839" t="s">
        <v>44</v>
      </c>
      <c r="G1839" s="6">
        <v>1855.06</v>
      </c>
      <c r="H1839" s="7">
        <v>0</v>
      </c>
      <c r="I1839" s="6">
        <v>0</v>
      </c>
      <c r="J1839" s="6">
        <v>1855.06</v>
      </c>
      <c r="K1839" t="s">
        <v>3734</v>
      </c>
      <c r="L1839" t="s">
        <v>3735</v>
      </c>
    </row>
    <row r="1840" spans="1:13" ht="15" customHeight="1" x14ac:dyDescent="0.25">
      <c r="A1840">
        <v>1839</v>
      </c>
      <c r="B1840" s="5">
        <v>45748</v>
      </c>
      <c r="C1840" t="s">
        <v>27</v>
      </c>
      <c r="D1840" t="s">
        <v>63</v>
      </c>
      <c r="E1840" t="s">
        <v>64</v>
      </c>
      <c r="F1840" t="s">
        <v>87</v>
      </c>
      <c r="G1840" s="6">
        <v>449.47</v>
      </c>
      <c r="H1840" s="7">
        <v>0.2</v>
      </c>
      <c r="I1840" s="6">
        <v>89.89</v>
      </c>
      <c r="J1840" s="6">
        <v>539.36</v>
      </c>
      <c r="K1840" t="s">
        <v>3736</v>
      </c>
      <c r="L1840" t="s">
        <v>3737</v>
      </c>
    </row>
    <row r="1841" spans="1:13" ht="15" customHeight="1" x14ac:dyDescent="0.25">
      <c r="A1841">
        <v>1840</v>
      </c>
      <c r="B1841" s="5">
        <v>46022</v>
      </c>
      <c r="C1841" t="s">
        <v>47</v>
      </c>
      <c r="D1841" t="s">
        <v>28</v>
      </c>
      <c r="E1841" t="s">
        <v>29</v>
      </c>
      <c r="F1841" t="s">
        <v>36</v>
      </c>
      <c r="G1841" s="6">
        <v>2075.2800000000002</v>
      </c>
      <c r="H1841" s="7">
        <v>2.1000000000000001E-2</v>
      </c>
      <c r="I1841" s="6">
        <v>43.58</v>
      </c>
      <c r="J1841" s="6">
        <v>2118.86</v>
      </c>
      <c r="K1841" t="s">
        <v>3738</v>
      </c>
      <c r="L1841" t="s">
        <v>3739</v>
      </c>
    </row>
    <row r="1842" spans="1:13" ht="15" customHeight="1" x14ac:dyDescent="0.25">
      <c r="A1842">
        <v>1841</v>
      </c>
      <c r="B1842" s="5">
        <v>45790</v>
      </c>
      <c r="C1842" t="s">
        <v>33</v>
      </c>
      <c r="D1842" t="s">
        <v>34</v>
      </c>
      <c r="E1842" t="s">
        <v>35</v>
      </c>
      <c r="F1842" t="s">
        <v>39</v>
      </c>
      <c r="G1842" s="6">
        <v>893.63</v>
      </c>
      <c r="H1842" s="7">
        <v>0.2</v>
      </c>
      <c r="I1842" s="6">
        <v>178.73</v>
      </c>
      <c r="J1842" s="6">
        <v>1072.3599999999999</v>
      </c>
      <c r="K1842" t="s">
        <v>3740</v>
      </c>
      <c r="L1842" t="s">
        <v>3741</v>
      </c>
    </row>
    <row r="1843" spans="1:13" ht="15" customHeight="1" x14ac:dyDescent="0.25">
      <c r="A1843">
        <v>1842</v>
      </c>
      <c r="B1843" s="5">
        <v>45810</v>
      </c>
      <c r="C1843" t="s">
        <v>47</v>
      </c>
      <c r="D1843" t="s">
        <v>55</v>
      </c>
      <c r="E1843" t="s">
        <v>56</v>
      </c>
      <c r="F1843" t="s">
        <v>50</v>
      </c>
      <c r="G1843" s="6">
        <v>807.24</v>
      </c>
      <c r="H1843" s="7">
        <v>5.5E-2</v>
      </c>
      <c r="I1843" s="6">
        <v>44.4</v>
      </c>
      <c r="J1843" s="6">
        <v>851.64</v>
      </c>
      <c r="K1843" t="s">
        <v>3742</v>
      </c>
      <c r="L1843" t="s">
        <v>3743</v>
      </c>
    </row>
    <row r="1844" spans="1:13" ht="15" customHeight="1" x14ac:dyDescent="0.25">
      <c r="A1844">
        <v>1843</v>
      </c>
      <c r="B1844" s="5">
        <v>46010</v>
      </c>
      <c r="C1844" t="s">
        <v>47</v>
      </c>
      <c r="D1844" t="s">
        <v>79</v>
      </c>
      <c r="E1844" t="s">
        <v>80</v>
      </c>
      <c r="F1844" t="s">
        <v>81</v>
      </c>
      <c r="G1844" s="6">
        <v>3544.65</v>
      </c>
      <c r="H1844" s="7">
        <v>0.2</v>
      </c>
      <c r="I1844" s="6">
        <v>708.93</v>
      </c>
      <c r="J1844" s="6">
        <v>4253.58</v>
      </c>
      <c r="K1844" t="s">
        <v>3744</v>
      </c>
      <c r="L1844" t="s">
        <v>3745</v>
      </c>
    </row>
    <row r="1845" spans="1:13" ht="15" customHeight="1" x14ac:dyDescent="0.25">
      <c r="A1845">
        <v>1844</v>
      </c>
      <c r="B1845" s="5">
        <v>45950</v>
      </c>
      <c r="C1845" t="s">
        <v>47</v>
      </c>
      <c r="D1845" t="s">
        <v>100</v>
      </c>
      <c r="E1845" t="s">
        <v>101</v>
      </c>
      <c r="F1845" t="s">
        <v>44</v>
      </c>
      <c r="G1845" s="6">
        <v>1823.84</v>
      </c>
      <c r="H1845" s="7">
        <v>0</v>
      </c>
      <c r="I1845" s="6">
        <v>0</v>
      </c>
      <c r="J1845" s="6">
        <v>1823.84</v>
      </c>
      <c r="K1845" t="s">
        <v>3746</v>
      </c>
      <c r="L1845" t="s">
        <v>3747</v>
      </c>
    </row>
    <row r="1846" spans="1:13" ht="15" customHeight="1" x14ac:dyDescent="0.25">
      <c r="A1846">
        <v>1845</v>
      </c>
      <c r="B1846" s="5">
        <v>45999</v>
      </c>
      <c r="C1846" t="s">
        <v>27</v>
      </c>
      <c r="D1846" t="s">
        <v>28</v>
      </c>
      <c r="E1846" t="s">
        <v>29</v>
      </c>
      <c r="F1846" t="s">
        <v>30</v>
      </c>
      <c r="G1846" s="6">
        <v>2636.92</v>
      </c>
      <c r="H1846" s="7">
        <v>2.1000000000000001E-2</v>
      </c>
      <c r="I1846" s="6">
        <v>55.38</v>
      </c>
      <c r="J1846" s="6">
        <v>2692.3</v>
      </c>
      <c r="K1846" t="s">
        <v>3748</v>
      </c>
      <c r="L1846" t="s">
        <v>3749</v>
      </c>
    </row>
    <row r="1847" spans="1:13" ht="15" customHeight="1" x14ac:dyDescent="0.25">
      <c r="A1847">
        <v>1846</v>
      </c>
      <c r="B1847" s="5">
        <v>45820</v>
      </c>
      <c r="C1847" t="s">
        <v>27</v>
      </c>
      <c r="D1847" t="s">
        <v>94</v>
      </c>
      <c r="E1847" t="s">
        <v>95</v>
      </c>
      <c r="F1847" t="s">
        <v>44</v>
      </c>
      <c r="G1847" s="6">
        <v>2741.25</v>
      </c>
      <c r="H1847" s="7">
        <v>0</v>
      </c>
      <c r="I1847" s="6">
        <v>0</v>
      </c>
      <c r="J1847" s="6">
        <v>2741.25</v>
      </c>
      <c r="K1847" t="s">
        <v>3750</v>
      </c>
      <c r="L1847" t="s">
        <v>3751</v>
      </c>
    </row>
    <row r="1848" spans="1:13" ht="15" customHeight="1" x14ac:dyDescent="0.25">
      <c r="A1848">
        <v>1847</v>
      </c>
      <c r="B1848" s="5">
        <v>45716</v>
      </c>
      <c r="C1848" t="s">
        <v>47</v>
      </c>
      <c r="D1848" t="s">
        <v>42</v>
      </c>
      <c r="E1848" t="s">
        <v>43</v>
      </c>
      <c r="F1848" t="s">
        <v>44</v>
      </c>
      <c r="G1848" s="6">
        <v>3417.47</v>
      </c>
      <c r="H1848" s="7">
        <v>0</v>
      </c>
      <c r="I1848" s="6">
        <v>0</v>
      </c>
      <c r="J1848" s="6">
        <v>3417.47</v>
      </c>
      <c r="K1848" t="s">
        <v>3752</v>
      </c>
      <c r="L1848" t="s">
        <v>3753</v>
      </c>
    </row>
    <row r="1849" spans="1:13" ht="15" customHeight="1" x14ac:dyDescent="0.25">
      <c r="A1849">
        <v>1848</v>
      </c>
      <c r="B1849" s="5">
        <v>45888</v>
      </c>
      <c r="C1849" t="s">
        <v>27</v>
      </c>
      <c r="D1849" t="s">
        <v>42</v>
      </c>
      <c r="E1849" t="s">
        <v>43</v>
      </c>
      <c r="F1849" t="s">
        <v>44</v>
      </c>
      <c r="G1849" s="6">
        <v>3857.44</v>
      </c>
      <c r="H1849" s="7">
        <v>0</v>
      </c>
      <c r="I1849" s="6">
        <v>0</v>
      </c>
      <c r="J1849" s="6">
        <v>3857.44</v>
      </c>
      <c r="K1849" t="s">
        <v>3754</v>
      </c>
      <c r="L1849" t="s">
        <v>3755</v>
      </c>
    </row>
    <row r="1850" spans="1:13" ht="15" customHeight="1" x14ac:dyDescent="0.25">
      <c r="A1850">
        <v>1849</v>
      </c>
      <c r="B1850" s="5">
        <v>45954</v>
      </c>
      <c r="C1850" t="s">
        <v>47</v>
      </c>
      <c r="D1850" t="s">
        <v>181</v>
      </c>
      <c r="E1850" t="s">
        <v>182</v>
      </c>
      <c r="F1850" t="s">
        <v>71</v>
      </c>
      <c r="G1850" s="6">
        <v>510.71</v>
      </c>
      <c r="H1850" s="7">
        <v>0.2</v>
      </c>
      <c r="I1850" s="6">
        <v>102.14</v>
      </c>
      <c r="J1850" s="6">
        <v>612.85</v>
      </c>
      <c r="K1850" t="s">
        <v>3756</v>
      </c>
      <c r="L1850" t="s">
        <v>3757</v>
      </c>
    </row>
    <row r="1851" spans="1:13" ht="15" customHeight="1" x14ac:dyDescent="0.25">
      <c r="A1851">
        <v>1850</v>
      </c>
      <c r="B1851" s="5">
        <v>45937</v>
      </c>
      <c r="C1851" t="s">
        <v>33</v>
      </c>
      <c r="D1851" t="s">
        <v>63</v>
      </c>
      <c r="E1851" t="s">
        <v>64</v>
      </c>
      <c r="F1851" t="s">
        <v>84</v>
      </c>
      <c r="G1851" s="6">
        <v>3502.78</v>
      </c>
      <c r="H1851" s="7">
        <v>0.2</v>
      </c>
      <c r="I1851" s="6">
        <v>700.56</v>
      </c>
      <c r="J1851" s="6">
        <v>4203.34</v>
      </c>
      <c r="K1851" t="s">
        <v>3758</v>
      </c>
      <c r="M1851" t="s">
        <v>186</v>
      </c>
    </row>
    <row r="1852" spans="1:13" ht="15" customHeight="1" x14ac:dyDescent="0.25">
      <c r="A1852">
        <v>1851</v>
      </c>
      <c r="B1852" s="5">
        <v>45755</v>
      </c>
      <c r="C1852" t="s">
        <v>33</v>
      </c>
      <c r="D1852" t="s">
        <v>55</v>
      </c>
      <c r="E1852" t="s">
        <v>56</v>
      </c>
      <c r="F1852" t="s">
        <v>84</v>
      </c>
      <c r="G1852" s="6">
        <v>4375.1099999999997</v>
      </c>
      <c r="H1852" s="7">
        <v>5.5E-2</v>
      </c>
      <c r="I1852" s="6">
        <v>240.63</v>
      </c>
      <c r="J1852" s="6">
        <v>4615.74</v>
      </c>
      <c r="K1852" t="s">
        <v>3759</v>
      </c>
      <c r="L1852" t="s">
        <v>3760</v>
      </c>
    </row>
    <row r="1853" spans="1:13" ht="15" customHeight="1" x14ac:dyDescent="0.25">
      <c r="A1853">
        <v>1852</v>
      </c>
      <c r="B1853" s="5">
        <v>45666</v>
      </c>
      <c r="C1853" t="s">
        <v>47</v>
      </c>
      <c r="D1853" t="s">
        <v>42</v>
      </c>
      <c r="E1853" t="s">
        <v>43</v>
      </c>
      <c r="F1853" t="s">
        <v>44</v>
      </c>
      <c r="G1853" s="6">
        <v>2536.7199999999998</v>
      </c>
      <c r="H1853" s="7">
        <v>0</v>
      </c>
      <c r="I1853" s="6">
        <v>0</v>
      </c>
      <c r="J1853" s="6">
        <v>2536.7199999999998</v>
      </c>
      <c r="K1853" t="s">
        <v>3761</v>
      </c>
      <c r="L1853" t="s">
        <v>3762</v>
      </c>
    </row>
    <row r="1854" spans="1:13" ht="15" customHeight="1" x14ac:dyDescent="0.25">
      <c r="A1854">
        <v>1853</v>
      </c>
      <c r="B1854" s="5">
        <v>45891</v>
      </c>
      <c r="C1854" t="s">
        <v>33</v>
      </c>
      <c r="D1854" t="s">
        <v>42</v>
      </c>
      <c r="E1854" t="s">
        <v>43</v>
      </c>
      <c r="F1854" t="s">
        <v>44</v>
      </c>
      <c r="G1854" s="6">
        <v>2644.15</v>
      </c>
      <c r="H1854" s="7">
        <v>0</v>
      </c>
      <c r="I1854" s="6">
        <v>0</v>
      </c>
      <c r="J1854" s="6">
        <v>2644.15</v>
      </c>
      <c r="K1854" t="s">
        <v>3763</v>
      </c>
      <c r="L1854" t="s">
        <v>3764</v>
      </c>
    </row>
    <row r="1855" spans="1:13" ht="15" customHeight="1" x14ac:dyDescent="0.25">
      <c r="A1855">
        <v>1854</v>
      </c>
      <c r="B1855" s="5">
        <v>45716</v>
      </c>
      <c r="C1855" t="s">
        <v>27</v>
      </c>
      <c r="D1855" t="s">
        <v>63</v>
      </c>
      <c r="E1855" t="s">
        <v>64</v>
      </c>
      <c r="F1855" t="s">
        <v>76</v>
      </c>
      <c r="G1855" s="6">
        <v>4174.46</v>
      </c>
      <c r="H1855" s="7">
        <v>0.2</v>
      </c>
      <c r="I1855" s="6">
        <v>834.89</v>
      </c>
      <c r="J1855" s="6">
        <v>5009.3500000000004</v>
      </c>
      <c r="K1855" t="s">
        <v>3765</v>
      </c>
      <c r="L1855" t="s">
        <v>3766</v>
      </c>
    </row>
    <row r="1856" spans="1:13" ht="15" customHeight="1" x14ac:dyDescent="0.25">
      <c r="A1856">
        <v>1855</v>
      </c>
      <c r="B1856" s="5">
        <v>45741</v>
      </c>
      <c r="C1856" t="s">
        <v>47</v>
      </c>
      <c r="D1856" t="s">
        <v>28</v>
      </c>
      <c r="E1856" t="s">
        <v>29</v>
      </c>
      <c r="F1856" t="s">
        <v>36</v>
      </c>
      <c r="G1856" s="6">
        <v>2479.0100000000002</v>
      </c>
      <c r="H1856" s="7">
        <v>2.1000000000000001E-2</v>
      </c>
      <c r="I1856" s="6">
        <v>52.06</v>
      </c>
      <c r="J1856" s="6">
        <v>2531.0700000000002</v>
      </c>
      <c r="K1856" t="s">
        <v>3767</v>
      </c>
      <c r="L1856" t="s">
        <v>3768</v>
      </c>
    </row>
    <row r="1857" spans="1:13" ht="15" customHeight="1" x14ac:dyDescent="0.25">
      <c r="A1857">
        <v>1856</v>
      </c>
      <c r="B1857" s="5">
        <v>45881</v>
      </c>
      <c r="C1857" t="s">
        <v>27</v>
      </c>
      <c r="D1857" t="s">
        <v>34</v>
      </c>
      <c r="E1857" t="s">
        <v>35</v>
      </c>
      <c r="F1857" t="s">
        <v>81</v>
      </c>
      <c r="G1857" s="6">
        <v>2882.75</v>
      </c>
      <c r="H1857" s="7">
        <v>0.2</v>
      </c>
      <c r="I1857" s="6">
        <v>576.54999999999995</v>
      </c>
      <c r="J1857" s="6">
        <v>3459.3</v>
      </c>
      <c r="K1857" t="s">
        <v>3769</v>
      </c>
      <c r="L1857" t="s">
        <v>3770</v>
      </c>
    </row>
    <row r="1858" spans="1:13" ht="15" customHeight="1" x14ac:dyDescent="0.25">
      <c r="A1858">
        <v>1857</v>
      </c>
      <c r="B1858" s="5">
        <v>45666</v>
      </c>
      <c r="C1858" t="s">
        <v>33</v>
      </c>
      <c r="D1858" t="s">
        <v>94</v>
      </c>
      <c r="E1858" t="s">
        <v>95</v>
      </c>
      <c r="F1858" t="s">
        <v>44</v>
      </c>
      <c r="G1858" s="6">
        <v>1528.2</v>
      </c>
      <c r="H1858" s="7">
        <v>0</v>
      </c>
      <c r="I1858" s="6">
        <v>0</v>
      </c>
      <c r="J1858" s="6">
        <v>1528.2</v>
      </c>
      <c r="K1858" t="s">
        <v>3771</v>
      </c>
      <c r="L1858" t="s">
        <v>3772</v>
      </c>
    </row>
    <row r="1859" spans="1:13" ht="15" customHeight="1" x14ac:dyDescent="0.25">
      <c r="A1859">
        <v>1858</v>
      </c>
      <c r="B1859" s="5">
        <v>45936</v>
      </c>
      <c r="C1859" t="s">
        <v>27</v>
      </c>
      <c r="D1859" t="s">
        <v>42</v>
      </c>
      <c r="E1859" t="s">
        <v>43</v>
      </c>
      <c r="F1859" t="s">
        <v>44</v>
      </c>
      <c r="G1859" s="6">
        <v>2865.85</v>
      </c>
      <c r="H1859" s="7">
        <v>0</v>
      </c>
      <c r="I1859" s="6">
        <v>0</v>
      </c>
      <c r="J1859" s="6">
        <v>2865.85</v>
      </c>
      <c r="K1859" t="s">
        <v>3773</v>
      </c>
      <c r="L1859" t="s">
        <v>3774</v>
      </c>
    </row>
    <row r="1860" spans="1:13" ht="15" customHeight="1" x14ac:dyDescent="0.25">
      <c r="A1860">
        <v>1859</v>
      </c>
      <c r="B1860" s="5">
        <v>45873</v>
      </c>
      <c r="C1860" t="s">
        <v>33</v>
      </c>
      <c r="D1860" t="s">
        <v>34</v>
      </c>
      <c r="E1860" t="s">
        <v>35</v>
      </c>
      <c r="F1860" t="s">
        <v>76</v>
      </c>
      <c r="G1860" s="6">
        <v>1016.47</v>
      </c>
      <c r="H1860" s="7">
        <v>0.2</v>
      </c>
      <c r="I1860" s="6">
        <v>203.29</v>
      </c>
      <c r="J1860" s="6">
        <v>1219.76</v>
      </c>
      <c r="K1860" t="s">
        <v>3775</v>
      </c>
      <c r="L1860" t="s">
        <v>3776</v>
      </c>
    </row>
    <row r="1861" spans="1:13" ht="15" customHeight="1" x14ac:dyDescent="0.25">
      <c r="A1861">
        <v>1860</v>
      </c>
      <c r="B1861" s="5">
        <v>45898</v>
      </c>
      <c r="C1861" t="s">
        <v>47</v>
      </c>
      <c r="D1861" t="s">
        <v>28</v>
      </c>
      <c r="E1861" t="s">
        <v>29</v>
      </c>
      <c r="F1861" t="s">
        <v>50</v>
      </c>
      <c r="G1861" s="6">
        <v>4281.4399999999996</v>
      </c>
      <c r="H1861" s="7">
        <v>2.1000000000000001E-2</v>
      </c>
      <c r="I1861" s="6">
        <v>89.91</v>
      </c>
      <c r="J1861" s="6">
        <v>4371.3500000000004</v>
      </c>
      <c r="K1861" t="s">
        <v>3777</v>
      </c>
      <c r="L1861" t="s">
        <v>3778</v>
      </c>
    </row>
    <row r="1862" spans="1:13" ht="15" customHeight="1" x14ac:dyDescent="0.25">
      <c r="A1862">
        <v>1861</v>
      </c>
      <c r="B1862" s="5">
        <v>45990</v>
      </c>
      <c r="C1862" t="s">
        <v>47</v>
      </c>
      <c r="D1862" t="s">
        <v>63</v>
      </c>
      <c r="E1862" t="s">
        <v>64</v>
      </c>
      <c r="F1862" t="s">
        <v>81</v>
      </c>
      <c r="G1862" s="6">
        <v>3190.95</v>
      </c>
      <c r="H1862" s="7">
        <v>0.2</v>
      </c>
      <c r="I1862" s="6">
        <v>638.19000000000005</v>
      </c>
      <c r="J1862" s="6">
        <v>3829.14</v>
      </c>
      <c r="K1862" t="s">
        <v>3779</v>
      </c>
      <c r="L1862" t="s">
        <v>3780</v>
      </c>
      <c r="M1862" t="s">
        <v>472</v>
      </c>
    </row>
    <row r="1863" spans="1:13" ht="15" customHeight="1" x14ac:dyDescent="0.25">
      <c r="A1863">
        <v>1862</v>
      </c>
      <c r="B1863" s="5">
        <v>45772</v>
      </c>
      <c r="C1863" t="s">
        <v>33</v>
      </c>
      <c r="D1863" t="s">
        <v>100</v>
      </c>
      <c r="E1863" t="s">
        <v>101</v>
      </c>
      <c r="F1863" t="s">
        <v>44</v>
      </c>
      <c r="G1863" s="6">
        <v>2442.2600000000002</v>
      </c>
      <c r="H1863" s="7">
        <v>0</v>
      </c>
      <c r="I1863" s="6">
        <v>0</v>
      </c>
      <c r="J1863" s="6">
        <v>2442.2600000000002</v>
      </c>
      <c r="K1863" t="s">
        <v>3781</v>
      </c>
      <c r="L1863" t="s">
        <v>3782</v>
      </c>
    </row>
    <row r="1864" spans="1:13" ht="15" customHeight="1" x14ac:dyDescent="0.25">
      <c r="A1864">
        <v>1863</v>
      </c>
      <c r="B1864" s="5">
        <v>45870</v>
      </c>
      <c r="C1864" t="s">
        <v>47</v>
      </c>
      <c r="D1864" t="s">
        <v>55</v>
      </c>
      <c r="E1864" t="s">
        <v>56</v>
      </c>
      <c r="F1864" t="s">
        <v>39</v>
      </c>
      <c r="G1864" s="6">
        <v>3055.99</v>
      </c>
      <c r="H1864" s="7">
        <v>5.5E-2</v>
      </c>
      <c r="I1864" s="6">
        <v>168.08</v>
      </c>
      <c r="J1864" s="6">
        <v>3224.07</v>
      </c>
      <c r="K1864" t="s">
        <v>3783</v>
      </c>
      <c r="L1864" t="s">
        <v>3784</v>
      </c>
    </row>
    <row r="1865" spans="1:13" ht="15" customHeight="1" x14ac:dyDescent="0.25">
      <c r="A1865">
        <v>1864</v>
      </c>
      <c r="B1865" s="5">
        <v>45736</v>
      </c>
      <c r="C1865" t="s">
        <v>33</v>
      </c>
      <c r="D1865" t="s">
        <v>28</v>
      </c>
      <c r="E1865" t="s">
        <v>29</v>
      </c>
      <c r="F1865" t="s">
        <v>106</v>
      </c>
      <c r="G1865" s="6">
        <v>3574.05</v>
      </c>
      <c r="H1865" s="7">
        <v>2.1000000000000001E-2</v>
      </c>
      <c r="I1865" s="6">
        <v>75.06</v>
      </c>
      <c r="J1865" s="6">
        <v>3649.11</v>
      </c>
      <c r="K1865" t="s">
        <v>3785</v>
      </c>
      <c r="L1865" t="s">
        <v>3786</v>
      </c>
    </row>
    <row r="1866" spans="1:13" ht="15" customHeight="1" x14ac:dyDescent="0.25">
      <c r="A1866">
        <v>1865</v>
      </c>
      <c r="B1866" s="5">
        <v>45950</v>
      </c>
      <c r="C1866" t="s">
        <v>27</v>
      </c>
      <c r="D1866" t="s">
        <v>172</v>
      </c>
      <c r="E1866" t="s">
        <v>173</v>
      </c>
      <c r="F1866" t="s">
        <v>71</v>
      </c>
      <c r="G1866" s="6">
        <v>4468.3</v>
      </c>
      <c r="H1866" s="7">
        <v>0.2</v>
      </c>
      <c r="I1866" s="6">
        <v>893.66</v>
      </c>
      <c r="J1866" s="6">
        <v>5361.96</v>
      </c>
      <c r="K1866" t="s">
        <v>3787</v>
      </c>
      <c r="L1866" t="s">
        <v>3788</v>
      </c>
    </row>
    <row r="1867" spans="1:13" ht="15" customHeight="1" x14ac:dyDescent="0.25">
      <c r="A1867">
        <v>1866</v>
      </c>
      <c r="B1867" s="5">
        <v>45987</v>
      </c>
      <c r="C1867" t="s">
        <v>47</v>
      </c>
      <c r="D1867" t="s">
        <v>28</v>
      </c>
      <c r="E1867" t="s">
        <v>29</v>
      </c>
      <c r="F1867" t="s">
        <v>39</v>
      </c>
      <c r="G1867" s="6">
        <v>1818.46</v>
      </c>
      <c r="H1867" s="7">
        <v>2.1000000000000001E-2</v>
      </c>
      <c r="I1867" s="6">
        <v>38.19</v>
      </c>
      <c r="J1867" s="6">
        <v>1856.65</v>
      </c>
      <c r="K1867" t="s">
        <v>3789</v>
      </c>
      <c r="L1867" t="s">
        <v>3790</v>
      </c>
    </row>
    <row r="1868" spans="1:13" ht="15" customHeight="1" x14ac:dyDescent="0.25">
      <c r="A1868">
        <v>1867</v>
      </c>
      <c r="B1868" s="5">
        <v>45820</v>
      </c>
      <c r="C1868" t="s">
        <v>27</v>
      </c>
      <c r="D1868" t="s">
        <v>63</v>
      </c>
      <c r="E1868" t="s">
        <v>64</v>
      </c>
      <c r="F1868" t="s">
        <v>36</v>
      </c>
      <c r="G1868" s="6">
        <v>2366.36</v>
      </c>
      <c r="H1868" s="7">
        <v>0.2</v>
      </c>
      <c r="I1868" s="6">
        <v>473.27</v>
      </c>
      <c r="J1868" s="6">
        <v>2839.63</v>
      </c>
      <c r="K1868" t="s">
        <v>3791</v>
      </c>
      <c r="L1868" t="s">
        <v>3792</v>
      </c>
    </row>
    <row r="1869" spans="1:13" ht="15" customHeight="1" x14ac:dyDescent="0.25">
      <c r="A1869">
        <v>1868</v>
      </c>
      <c r="B1869" s="5">
        <v>45722</v>
      </c>
      <c r="C1869" t="s">
        <v>33</v>
      </c>
      <c r="D1869" t="s">
        <v>42</v>
      </c>
      <c r="E1869" t="s">
        <v>43</v>
      </c>
      <c r="F1869" t="s">
        <v>44</v>
      </c>
      <c r="G1869" s="6">
        <v>3315.46</v>
      </c>
      <c r="H1869" s="7">
        <v>0</v>
      </c>
      <c r="I1869" s="6">
        <v>0</v>
      </c>
      <c r="J1869" s="6">
        <v>3315.46</v>
      </c>
      <c r="K1869" t="s">
        <v>3793</v>
      </c>
      <c r="L1869" t="s">
        <v>3794</v>
      </c>
    </row>
    <row r="1870" spans="1:13" ht="15" customHeight="1" x14ac:dyDescent="0.25">
      <c r="A1870">
        <v>1869</v>
      </c>
      <c r="B1870" s="5">
        <v>45979</v>
      </c>
      <c r="C1870" t="s">
        <v>47</v>
      </c>
      <c r="D1870" t="s">
        <v>42</v>
      </c>
      <c r="E1870" t="s">
        <v>43</v>
      </c>
      <c r="F1870" t="s">
        <v>44</v>
      </c>
      <c r="G1870" s="6">
        <v>3809.61</v>
      </c>
      <c r="H1870" s="7">
        <v>0</v>
      </c>
      <c r="I1870" s="6">
        <v>0</v>
      </c>
      <c r="J1870" s="6">
        <v>3809.61</v>
      </c>
      <c r="K1870" t="s">
        <v>3795</v>
      </c>
      <c r="L1870" t="s">
        <v>3796</v>
      </c>
    </row>
    <row r="1871" spans="1:13" ht="15" customHeight="1" x14ac:dyDescent="0.25">
      <c r="A1871">
        <v>1870</v>
      </c>
      <c r="B1871" s="5">
        <v>45705</v>
      </c>
      <c r="C1871" t="s">
        <v>47</v>
      </c>
      <c r="D1871" t="s">
        <v>28</v>
      </c>
      <c r="E1871" t="s">
        <v>29</v>
      </c>
      <c r="F1871" t="s">
        <v>39</v>
      </c>
      <c r="G1871" s="6">
        <v>193.33</v>
      </c>
      <c r="H1871" s="7">
        <v>2.1000000000000001E-2</v>
      </c>
      <c r="I1871" s="6">
        <v>4.0599999999999996</v>
      </c>
      <c r="J1871" s="6">
        <v>197.39</v>
      </c>
      <c r="K1871" t="s">
        <v>3797</v>
      </c>
      <c r="L1871" t="s">
        <v>3798</v>
      </c>
    </row>
    <row r="1872" spans="1:13" ht="15" customHeight="1" x14ac:dyDescent="0.25">
      <c r="A1872">
        <v>1871</v>
      </c>
      <c r="B1872" s="5">
        <v>45974</v>
      </c>
      <c r="C1872" t="s">
        <v>27</v>
      </c>
      <c r="D1872" t="s">
        <v>28</v>
      </c>
      <c r="E1872" t="s">
        <v>29</v>
      </c>
      <c r="F1872" t="s">
        <v>87</v>
      </c>
      <c r="G1872" s="6">
        <v>3207.49</v>
      </c>
      <c r="H1872" s="7">
        <v>2.1000000000000001E-2</v>
      </c>
      <c r="I1872" s="6">
        <v>67.36</v>
      </c>
      <c r="J1872" s="6">
        <v>3274.85</v>
      </c>
      <c r="K1872" t="s">
        <v>3799</v>
      </c>
      <c r="L1872" t="s">
        <v>3800</v>
      </c>
    </row>
    <row r="1873" spans="1:13" ht="15" customHeight="1" x14ac:dyDescent="0.25">
      <c r="A1873">
        <v>1872</v>
      </c>
      <c r="B1873" s="5">
        <v>45890</v>
      </c>
      <c r="C1873" t="s">
        <v>47</v>
      </c>
      <c r="D1873" t="s">
        <v>28</v>
      </c>
      <c r="E1873" t="s">
        <v>29</v>
      </c>
      <c r="F1873" t="s">
        <v>50</v>
      </c>
      <c r="G1873" s="6">
        <v>2884.33</v>
      </c>
      <c r="H1873" s="7">
        <v>2.1000000000000001E-2</v>
      </c>
      <c r="I1873" s="6">
        <v>60.57</v>
      </c>
      <c r="J1873" s="6">
        <v>2944.9</v>
      </c>
      <c r="K1873" t="s">
        <v>3801</v>
      </c>
      <c r="L1873" t="s">
        <v>3802</v>
      </c>
    </row>
    <row r="1874" spans="1:13" ht="15" customHeight="1" x14ac:dyDescent="0.25">
      <c r="A1874">
        <v>1873</v>
      </c>
      <c r="B1874" s="5">
        <v>45771</v>
      </c>
      <c r="C1874" t="s">
        <v>33</v>
      </c>
      <c r="D1874" t="s">
        <v>34</v>
      </c>
      <c r="E1874" t="s">
        <v>35</v>
      </c>
      <c r="F1874" t="s">
        <v>106</v>
      </c>
      <c r="G1874" s="6">
        <v>1392.4</v>
      </c>
      <c r="H1874" s="7">
        <v>0.2</v>
      </c>
      <c r="I1874" s="6">
        <v>278.48</v>
      </c>
      <c r="J1874" s="6">
        <v>1670.88</v>
      </c>
      <c r="K1874" t="s">
        <v>3803</v>
      </c>
      <c r="L1874" t="s">
        <v>3804</v>
      </c>
    </row>
    <row r="1875" spans="1:13" ht="15" customHeight="1" x14ac:dyDescent="0.25">
      <c r="A1875">
        <v>1874</v>
      </c>
      <c r="B1875" s="5">
        <v>45791</v>
      </c>
      <c r="C1875" t="s">
        <v>33</v>
      </c>
      <c r="D1875" t="s">
        <v>42</v>
      </c>
      <c r="E1875" t="s">
        <v>43</v>
      </c>
      <c r="F1875" t="s">
        <v>44</v>
      </c>
      <c r="G1875" s="6">
        <v>2459.92</v>
      </c>
      <c r="H1875" s="7">
        <v>0</v>
      </c>
      <c r="I1875" s="6">
        <v>0</v>
      </c>
      <c r="J1875" s="6">
        <v>2459.92</v>
      </c>
      <c r="K1875" t="s">
        <v>3805</v>
      </c>
      <c r="L1875" t="s">
        <v>3806</v>
      </c>
    </row>
    <row r="1876" spans="1:13" ht="15" customHeight="1" x14ac:dyDescent="0.25">
      <c r="A1876">
        <v>1875</v>
      </c>
      <c r="B1876" s="5">
        <v>45954</v>
      </c>
      <c r="C1876" t="s">
        <v>27</v>
      </c>
      <c r="D1876" t="s">
        <v>28</v>
      </c>
      <c r="E1876" t="s">
        <v>29</v>
      </c>
      <c r="F1876" t="s">
        <v>87</v>
      </c>
      <c r="G1876" s="6">
        <v>3911.87</v>
      </c>
      <c r="H1876" s="7">
        <v>2.1000000000000001E-2</v>
      </c>
      <c r="I1876" s="6">
        <v>82.15</v>
      </c>
      <c r="J1876" s="6">
        <v>3994.02</v>
      </c>
      <c r="K1876" t="s">
        <v>3807</v>
      </c>
      <c r="L1876" t="s">
        <v>3808</v>
      </c>
    </row>
    <row r="1877" spans="1:13" ht="15" customHeight="1" x14ac:dyDescent="0.25">
      <c r="A1877">
        <v>1876</v>
      </c>
      <c r="B1877" s="5">
        <v>45730</v>
      </c>
      <c r="C1877" t="s">
        <v>27</v>
      </c>
      <c r="D1877" t="s">
        <v>28</v>
      </c>
      <c r="E1877" t="s">
        <v>29</v>
      </c>
      <c r="F1877" t="s">
        <v>30</v>
      </c>
      <c r="G1877" s="6">
        <v>1328.49</v>
      </c>
      <c r="H1877" s="7">
        <v>2.1000000000000001E-2</v>
      </c>
      <c r="I1877" s="6">
        <v>27.9</v>
      </c>
      <c r="J1877" s="6">
        <v>1356.39</v>
      </c>
      <c r="K1877" t="s">
        <v>3809</v>
      </c>
      <c r="L1877" t="s">
        <v>3810</v>
      </c>
    </row>
    <row r="1878" spans="1:13" ht="15" customHeight="1" x14ac:dyDescent="0.25">
      <c r="A1878">
        <v>1877</v>
      </c>
      <c r="B1878" s="5">
        <v>45764</v>
      </c>
      <c r="C1878" t="s">
        <v>33</v>
      </c>
      <c r="D1878" t="s">
        <v>79</v>
      </c>
      <c r="E1878" t="s">
        <v>80</v>
      </c>
      <c r="F1878" t="s">
        <v>76</v>
      </c>
      <c r="G1878" s="6">
        <v>1807.34</v>
      </c>
      <c r="H1878" s="7">
        <v>0.2</v>
      </c>
      <c r="I1878" s="6">
        <v>361.47</v>
      </c>
      <c r="J1878" s="6">
        <v>2168.81</v>
      </c>
      <c r="K1878" t="s">
        <v>3811</v>
      </c>
      <c r="L1878" t="s">
        <v>3812</v>
      </c>
    </row>
    <row r="1879" spans="1:13" ht="15" customHeight="1" x14ac:dyDescent="0.25">
      <c r="A1879">
        <v>1878</v>
      </c>
      <c r="B1879" s="5">
        <v>45983</v>
      </c>
      <c r="C1879" t="s">
        <v>33</v>
      </c>
      <c r="D1879" t="s">
        <v>63</v>
      </c>
      <c r="E1879" t="s">
        <v>64</v>
      </c>
      <c r="F1879" t="s">
        <v>120</v>
      </c>
      <c r="G1879" s="6">
        <v>417.3</v>
      </c>
      <c r="H1879" s="7">
        <v>0.2</v>
      </c>
      <c r="I1879" s="6">
        <v>83.46</v>
      </c>
      <c r="J1879" s="6">
        <v>500.76</v>
      </c>
      <c r="K1879" t="s">
        <v>3813</v>
      </c>
      <c r="L1879" t="s">
        <v>3814</v>
      </c>
      <c r="M1879" t="s">
        <v>472</v>
      </c>
    </row>
    <row r="1880" spans="1:13" ht="15" customHeight="1" x14ac:dyDescent="0.25">
      <c r="A1880">
        <v>1879</v>
      </c>
      <c r="B1880" s="5">
        <v>45982</v>
      </c>
      <c r="C1880" t="s">
        <v>47</v>
      </c>
      <c r="D1880" t="s">
        <v>100</v>
      </c>
      <c r="E1880" t="s">
        <v>101</v>
      </c>
      <c r="F1880" t="s">
        <v>44</v>
      </c>
      <c r="G1880" s="6">
        <v>3740.52</v>
      </c>
      <c r="H1880" s="7">
        <v>0</v>
      </c>
      <c r="I1880" s="6">
        <v>0</v>
      </c>
      <c r="J1880" s="6">
        <v>3740.52</v>
      </c>
      <c r="K1880" t="s">
        <v>3815</v>
      </c>
      <c r="L1880" t="s">
        <v>3816</v>
      </c>
    </row>
    <row r="1881" spans="1:13" ht="15" customHeight="1" x14ac:dyDescent="0.25">
      <c r="A1881">
        <v>1880</v>
      </c>
      <c r="B1881" s="5">
        <v>45749</v>
      </c>
      <c r="C1881" t="s">
        <v>47</v>
      </c>
      <c r="D1881" t="s">
        <v>28</v>
      </c>
      <c r="E1881" t="s">
        <v>29</v>
      </c>
      <c r="F1881" t="s">
        <v>120</v>
      </c>
      <c r="G1881" s="6">
        <v>2995.73</v>
      </c>
      <c r="H1881" s="7">
        <v>2.1000000000000001E-2</v>
      </c>
      <c r="I1881" s="6">
        <v>62.91</v>
      </c>
      <c r="J1881" s="6">
        <v>3058.64</v>
      </c>
      <c r="K1881" t="s">
        <v>3817</v>
      </c>
      <c r="L1881" t="s">
        <v>3818</v>
      </c>
    </row>
    <row r="1882" spans="1:13" ht="15" customHeight="1" x14ac:dyDescent="0.25">
      <c r="A1882">
        <v>1881</v>
      </c>
      <c r="B1882" s="5">
        <v>45833</v>
      </c>
      <c r="C1882" t="s">
        <v>33</v>
      </c>
      <c r="D1882" t="s">
        <v>28</v>
      </c>
      <c r="E1882" t="s">
        <v>29</v>
      </c>
      <c r="F1882" t="s">
        <v>76</v>
      </c>
      <c r="G1882" s="6">
        <v>4472.33</v>
      </c>
      <c r="H1882" s="7">
        <v>2.1000000000000001E-2</v>
      </c>
      <c r="I1882" s="6">
        <v>93.92</v>
      </c>
      <c r="J1882" s="6">
        <v>4566.25</v>
      </c>
      <c r="K1882" t="s">
        <v>3819</v>
      </c>
      <c r="L1882" t="s">
        <v>3820</v>
      </c>
    </row>
    <row r="1883" spans="1:13" ht="15" customHeight="1" x14ac:dyDescent="0.25">
      <c r="A1883">
        <v>1882</v>
      </c>
      <c r="B1883" s="5">
        <v>45925</v>
      </c>
      <c r="C1883" t="s">
        <v>27</v>
      </c>
      <c r="D1883" t="s">
        <v>172</v>
      </c>
      <c r="E1883" t="s">
        <v>173</v>
      </c>
      <c r="F1883" t="s">
        <v>87</v>
      </c>
      <c r="G1883" s="6">
        <v>3358.3</v>
      </c>
      <c r="H1883" s="7">
        <v>0.2</v>
      </c>
      <c r="I1883" s="6">
        <v>671.66</v>
      </c>
      <c r="J1883" s="6">
        <v>4029.96</v>
      </c>
      <c r="K1883" t="s">
        <v>3821</v>
      </c>
      <c r="L1883" t="s">
        <v>3822</v>
      </c>
    </row>
    <row r="1884" spans="1:13" ht="15" customHeight="1" x14ac:dyDescent="0.25">
      <c r="A1884">
        <v>1883</v>
      </c>
      <c r="B1884" s="5">
        <v>45923</v>
      </c>
      <c r="C1884" t="s">
        <v>27</v>
      </c>
      <c r="D1884" t="s">
        <v>28</v>
      </c>
      <c r="E1884" t="s">
        <v>29</v>
      </c>
      <c r="F1884" t="s">
        <v>30</v>
      </c>
      <c r="G1884" s="6">
        <v>2341.91</v>
      </c>
      <c r="H1884" s="7">
        <v>2.1000000000000001E-2</v>
      </c>
      <c r="I1884" s="6">
        <v>49.18</v>
      </c>
      <c r="J1884" s="6">
        <v>2391.09</v>
      </c>
      <c r="K1884" t="s">
        <v>3823</v>
      </c>
      <c r="L1884" t="s">
        <v>3824</v>
      </c>
    </row>
    <row r="1885" spans="1:13" ht="15" customHeight="1" x14ac:dyDescent="0.25">
      <c r="A1885">
        <v>1884</v>
      </c>
      <c r="B1885" s="5">
        <v>45769</v>
      </c>
      <c r="C1885" t="s">
        <v>47</v>
      </c>
      <c r="D1885" t="s">
        <v>28</v>
      </c>
      <c r="E1885" t="s">
        <v>29</v>
      </c>
      <c r="F1885" t="s">
        <v>30</v>
      </c>
      <c r="G1885" s="6">
        <v>210.38</v>
      </c>
      <c r="H1885" s="7">
        <v>2.1000000000000001E-2</v>
      </c>
      <c r="I1885" s="6">
        <v>4.42</v>
      </c>
      <c r="J1885" s="6">
        <v>214.8</v>
      </c>
      <c r="K1885" t="s">
        <v>3825</v>
      </c>
      <c r="L1885" t="s">
        <v>3826</v>
      </c>
    </row>
    <row r="1886" spans="1:13" ht="15" customHeight="1" x14ac:dyDescent="0.25">
      <c r="A1886">
        <v>1885</v>
      </c>
      <c r="B1886" s="5">
        <v>45722</v>
      </c>
      <c r="C1886" t="s">
        <v>33</v>
      </c>
      <c r="D1886" t="s">
        <v>42</v>
      </c>
      <c r="E1886" t="s">
        <v>43</v>
      </c>
      <c r="F1886" t="s">
        <v>44</v>
      </c>
      <c r="G1886" s="6">
        <v>2955.78</v>
      </c>
      <c r="H1886" s="7">
        <v>0</v>
      </c>
      <c r="I1886" s="6">
        <v>0</v>
      </c>
      <c r="J1886" s="6">
        <v>2955.78</v>
      </c>
      <c r="K1886" t="s">
        <v>3827</v>
      </c>
      <c r="L1886" t="s">
        <v>3828</v>
      </c>
    </row>
    <row r="1887" spans="1:13" ht="15" customHeight="1" x14ac:dyDescent="0.25">
      <c r="A1887">
        <v>1886</v>
      </c>
      <c r="B1887" s="5">
        <v>45897</v>
      </c>
      <c r="C1887" t="s">
        <v>47</v>
      </c>
      <c r="D1887" t="s">
        <v>42</v>
      </c>
      <c r="E1887" t="s">
        <v>43</v>
      </c>
      <c r="F1887" t="s">
        <v>44</v>
      </c>
      <c r="G1887" s="6">
        <v>2989.92</v>
      </c>
      <c r="H1887" s="7">
        <v>0</v>
      </c>
      <c r="I1887" s="6">
        <v>0</v>
      </c>
      <c r="J1887" s="6">
        <v>2989.92</v>
      </c>
      <c r="K1887" t="s">
        <v>3829</v>
      </c>
      <c r="L1887" t="s">
        <v>3830</v>
      </c>
    </row>
    <row r="1888" spans="1:13" ht="15" customHeight="1" x14ac:dyDescent="0.25">
      <c r="A1888">
        <v>1887</v>
      </c>
      <c r="B1888" s="5">
        <v>45786</v>
      </c>
      <c r="C1888" t="s">
        <v>47</v>
      </c>
      <c r="D1888" t="s">
        <v>100</v>
      </c>
      <c r="E1888" t="s">
        <v>101</v>
      </c>
      <c r="F1888" t="s">
        <v>44</v>
      </c>
      <c r="G1888" s="6">
        <v>3448.94</v>
      </c>
      <c r="H1888" s="7">
        <v>0</v>
      </c>
      <c r="I1888" s="6">
        <v>0</v>
      </c>
      <c r="J1888" s="6">
        <v>3448.94</v>
      </c>
      <c r="K1888" t="s">
        <v>3831</v>
      </c>
      <c r="L1888" t="s">
        <v>3832</v>
      </c>
    </row>
    <row r="1889" spans="1:12" ht="15" customHeight="1" x14ac:dyDescent="0.25">
      <c r="A1889">
        <v>1888</v>
      </c>
      <c r="B1889" s="5">
        <v>45958</v>
      </c>
      <c r="C1889" t="s">
        <v>47</v>
      </c>
      <c r="D1889" t="s">
        <v>94</v>
      </c>
      <c r="E1889" t="s">
        <v>95</v>
      </c>
      <c r="F1889" t="s">
        <v>44</v>
      </c>
      <c r="G1889" s="6">
        <v>2485.25</v>
      </c>
      <c r="H1889" s="7">
        <v>0</v>
      </c>
      <c r="I1889" s="6">
        <v>0</v>
      </c>
      <c r="J1889" s="6">
        <v>2485.25</v>
      </c>
      <c r="K1889" t="s">
        <v>3833</v>
      </c>
      <c r="L1889" t="s">
        <v>3834</v>
      </c>
    </row>
    <row r="1890" spans="1:12" ht="15" customHeight="1" x14ac:dyDescent="0.25">
      <c r="A1890">
        <v>1889</v>
      </c>
      <c r="B1890" s="5">
        <v>45874</v>
      </c>
      <c r="C1890" t="s">
        <v>47</v>
      </c>
      <c r="D1890" t="s">
        <v>79</v>
      </c>
      <c r="E1890" t="s">
        <v>80</v>
      </c>
      <c r="F1890" t="s">
        <v>174</v>
      </c>
      <c r="G1890" s="6">
        <v>2715.78</v>
      </c>
      <c r="H1890" s="7">
        <v>0.2</v>
      </c>
      <c r="I1890" s="6">
        <v>543.16</v>
      </c>
      <c r="J1890" s="6">
        <v>3258.94</v>
      </c>
      <c r="K1890" t="s">
        <v>3835</v>
      </c>
      <c r="L1890" t="s">
        <v>3836</v>
      </c>
    </row>
    <row r="1891" spans="1:12" ht="15" customHeight="1" x14ac:dyDescent="0.25">
      <c r="A1891">
        <v>1890</v>
      </c>
      <c r="B1891" s="5">
        <v>45968</v>
      </c>
      <c r="C1891" t="s">
        <v>47</v>
      </c>
      <c r="D1891" t="s">
        <v>181</v>
      </c>
      <c r="E1891" t="s">
        <v>182</v>
      </c>
      <c r="F1891" t="s">
        <v>71</v>
      </c>
      <c r="G1891" s="6">
        <v>1773.06</v>
      </c>
      <c r="H1891" s="7">
        <v>0.2</v>
      </c>
      <c r="I1891" s="6">
        <v>354.61</v>
      </c>
      <c r="J1891" s="6">
        <v>2127.67</v>
      </c>
      <c r="K1891" t="s">
        <v>3837</v>
      </c>
      <c r="L1891" t="s">
        <v>3838</v>
      </c>
    </row>
    <row r="1892" spans="1:12" ht="15" customHeight="1" x14ac:dyDescent="0.25">
      <c r="A1892">
        <v>1891</v>
      </c>
      <c r="B1892" s="5">
        <v>45981</v>
      </c>
      <c r="C1892" t="s">
        <v>47</v>
      </c>
      <c r="D1892" t="s">
        <v>63</v>
      </c>
      <c r="E1892" t="s">
        <v>64</v>
      </c>
      <c r="F1892" t="s">
        <v>76</v>
      </c>
      <c r="G1892" s="6">
        <v>3701.49</v>
      </c>
      <c r="H1892" s="7">
        <v>0.2</v>
      </c>
      <c r="I1892" s="6">
        <v>740.3</v>
      </c>
      <c r="J1892" s="6">
        <v>4441.79</v>
      </c>
      <c r="K1892" t="s">
        <v>3839</v>
      </c>
      <c r="L1892" t="s">
        <v>3840</v>
      </c>
    </row>
    <row r="1893" spans="1:12" ht="15" customHeight="1" x14ac:dyDescent="0.25">
      <c r="A1893">
        <v>1892</v>
      </c>
      <c r="B1893" s="5">
        <v>45958</v>
      </c>
      <c r="C1893" t="s">
        <v>33</v>
      </c>
      <c r="D1893" t="s">
        <v>100</v>
      </c>
      <c r="E1893" t="s">
        <v>101</v>
      </c>
      <c r="F1893" t="s">
        <v>44</v>
      </c>
      <c r="G1893" s="6">
        <v>3249.32</v>
      </c>
      <c r="H1893" s="7">
        <v>0</v>
      </c>
      <c r="I1893" s="6">
        <v>0</v>
      </c>
      <c r="J1893" s="6">
        <v>3249.32</v>
      </c>
      <c r="K1893" t="s">
        <v>3841</v>
      </c>
      <c r="L1893" t="s">
        <v>3842</v>
      </c>
    </row>
    <row r="1894" spans="1:12" ht="15" customHeight="1" x14ac:dyDescent="0.25">
      <c r="A1894">
        <v>1893</v>
      </c>
      <c r="B1894" s="5">
        <v>45673</v>
      </c>
      <c r="C1894" t="s">
        <v>27</v>
      </c>
      <c r="D1894" t="s">
        <v>55</v>
      </c>
      <c r="E1894" t="s">
        <v>56</v>
      </c>
      <c r="F1894" t="s">
        <v>50</v>
      </c>
      <c r="G1894" s="6">
        <v>586.75</v>
      </c>
      <c r="H1894" s="7">
        <v>5.5E-2</v>
      </c>
      <c r="I1894" s="6">
        <v>32.270000000000003</v>
      </c>
      <c r="J1894" s="6">
        <v>619.02</v>
      </c>
      <c r="K1894" t="s">
        <v>3843</v>
      </c>
      <c r="L1894" t="s">
        <v>3844</v>
      </c>
    </row>
    <row r="1895" spans="1:12" ht="15" customHeight="1" x14ac:dyDescent="0.25">
      <c r="A1895">
        <v>1894</v>
      </c>
      <c r="B1895" s="5">
        <v>45695</v>
      </c>
      <c r="C1895" t="s">
        <v>33</v>
      </c>
      <c r="D1895" t="s">
        <v>55</v>
      </c>
      <c r="E1895" t="s">
        <v>56</v>
      </c>
      <c r="F1895" t="s">
        <v>50</v>
      </c>
      <c r="G1895" s="6">
        <v>1031.1099999999999</v>
      </c>
      <c r="H1895" s="7">
        <v>5.5E-2</v>
      </c>
      <c r="I1895" s="6">
        <v>56.71</v>
      </c>
      <c r="J1895" s="6">
        <v>1087.82</v>
      </c>
      <c r="K1895" t="s">
        <v>3845</v>
      </c>
      <c r="L1895" t="s">
        <v>3846</v>
      </c>
    </row>
    <row r="1896" spans="1:12" ht="15" customHeight="1" x14ac:dyDescent="0.25">
      <c r="A1896">
        <v>1895</v>
      </c>
      <c r="B1896" s="5">
        <v>45720</v>
      </c>
      <c r="C1896" t="s">
        <v>33</v>
      </c>
      <c r="D1896" t="s">
        <v>42</v>
      </c>
      <c r="E1896" t="s">
        <v>43</v>
      </c>
      <c r="F1896" t="s">
        <v>44</v>
      </c>
      <c r="G1896" s="6">
        <v>3451.9</v>
      </c>
      <c r="H1896" s="7">
        <v>0</v>
      </c>
      <c r="I1896" s="6">
        <v>0</v>
      </c>
      <c r="J1896" s="6">
        <v>3451.9</v>
      </c>
      <c r="K1896" t="s">
        <v>3847</v>
      </c>
      <c r="L1896" t="s">
        <v>3848</v>
      </c>
    </row>
    <row r="1897" spans="1:12" ht="15" customHeight="1" x14ac:dyDescent="0.25">
      <c r="A1897">
        <v>1896</v>
      </c>
      <c r="B1897" s="5">
        <v>45777</v>
      </c>
      <c r="C1897" t="s">
        <v>47</v>
      </c>
      <c r="D1897" t="s">
        <v>28</v>
      </c>
      <c r="E1897" t="s">
        <v>29</v>
      </c>
      <c r="F1897" t="s">
        <v>36</v>
      </c>
      <c r="G1897" s="6">
        <v>2562.4499999999998</v>
      </c>
      <c r="H1897" s="7">
        <v>2.1000000000000001E-2</v>
      </c>
      <c r="I1897" s="6">
        <v>53.81</v>
      </c>
      <c r="J1897" s="6">
        <v>2616.2600000000002</v>
      </c>
      <c r="K1897" t="s">
        <v>3849</v>
      </c>
      <c r="L1897" t="s">
        <v>3850</v>
      </c>
    </row>
    <row r="1898" spans="1:12" ht="15" customHeight="1" x14ac:dyDescent="0.25">
      <c r="A1898">
        <v>1897</v>
      </c>
      <c r="B1898" s="5">
        <v>45769</v>
      </c>
      <c r="C1898" t="s">
        <v>27</v>
      </c>
      <c r="D1898" t="s">
        <v>28</v>
      </c>
      <c r="E1898" t="s">
        <v>29</v>
      </c>
      <c r="F1898" t="s">
        <v>174</v>
      </c>
      <c r="G1898" s="6">
        <v>534.91</v>
      </c>
      <c r="H1898" s="7">
        <v>2.1000000000000001E-2</v>
      </c>
      <c r="I1898" s="6">
        <v>11.23</v>
      </c>
      <c r="J1898" s="6">
        <v>546.14</v>
      </c>
      <c r="K1898" t="s">
        <v>3851</v>
      </c>
      <c r="L1898" t="s">
        <v>3852</v>
      </c>
    </row>
    <row r="1899" spans="1:12" ht="15" customHeight="1" x14ac:dyDescent="0.25">
      <c r="A1899">
        <v>1898</v>
      </c>
      <c r="B1899" s="5">
        <v>46001</v>
      </c>
      <c r="C1899" t="s">
        <v>27</v>
      </c>
      <c r="D1899" t="s">
        <v>100</v>
      </c>
      <c r="E1899" t="s">
        <v>101</v>
      </c>
      <c r="F1899" t="s">
        <v>44</v>
      </c>
      <c r="G1899" s="6">
        <v>3942.39</v>
      </c>
      <c r="H1899" s="7">
        <v>0</v>
      </c>
      <c r="I1899" s="6">
        <v>0</v>
      </c>
      <c r="J1899" s="6">
        <v>3942.39</v>
      </c>
      <c r="K1899" t="s">
        <v>3853</v>
      </c>
      <c r="L1899" t="s">
        <v>3854</v>
      </c>
    </row>
    <row r="1900" spans="1:12" ht="15" customHeight="1" x14ac:dyDescent="0.25">
      <c r="A1900">
        <v>1899</v>
      </c>
      <c r="B1900" s="5">
        <v>45820</v>
      </c>
      <c r="C1900" t="s">
        <v>27</v>
      </c>
      <c r="D1900" t="s">
        <v>42</v>
      </c>
      <c r="E1900" t="s">
        <v>43</v>
      </c>
      <c r="F1900" t="s">
        <v>44</v>
      </c>
      <c r="G1900" s="6">
        <v>2275.56</v>
      </c>
      <c r="H1900" s="7">
        <v>0</v>
      </c>
      <c r="I1900" s="6">
        <v>0</v>
      </c>
      <c r="J1900" s="6">
        <v>2275.56</v>
      </c>
      <c r="K1900" t="s">
        <v>3855</v>
      </c>
      <c r="L1900" t="s">
        <v>3856</v>
      </c>
    </row>
    <row r="1901" spans="1:12" ht="15" customHeight="1" x14ac:dyDescent="0.25">
      <c r="A1901">
        <v>1900</v>
      </c>
      <c r="B1901" s="5">
        <v>45798</v>
      </c>
      <c r="C1901" t="s">
        <v>47</v>
      </c>
      <c r="D1901" t="s">
        <v>79</v>
      </c>
      <c r="E1901" t="s">
        <v>80</v>
      </c>
      <c r="F1901" t="s">
        <v>87</v>
      </c>
      <c r="G1901" s="6">
        <v>1941.87</v>
      </c>
      <c r="H1901" s="7">
        <v>0.2</v>
      </c>
      <c r="I1901" s="6">
        <v>388.37</v>
      </c>
      <c r="J1901" s="6">
        <v>2330.2399999999998</v>
      </c>
      <c r="K1901" t="s">
        <v>3857</v>
      </c>
      <c r="L1901" t="s">
        <v>3858</v>
      </c>
    </row>
    <row r="1902" spans="1:12" ht="15" customHeight="1" x14ac:dyDescent="0.25">
      <c r="A1902">
        <v>1901</v>
      </c>
      <c r="B1902" s="5">
        <v>45960</v>
      </c>
      <c r="C1902" t="s">
        <v>33</v>
      </c>
      <c r="D1902" t="s">
        <v>172</v>
      </c>
      <c r="E1902" t="s">
        <v>173</v>
      </c>
      <c r="F1902" t="s">
        <v>84</v>
      </c>
      <c r="G1902" s="6">
        <v>1772.23</v>
      </c>
      <c r="H1902" s="7">
        <v>0.2</v>
      </c>
      <c r="I1902" s="6">
        <v>354.45</v>
      </c>
      <c r="J1902" s="6">
        <v>2126.6799999999998</v>
      </c>
      <c r="K1902" t="s">
        <v>3859</v>
      </c>
      <c r="L1902" t="s">
        <v>3860</v>
      </c>
    </row>
    <row r="1903" spans="1:12" ht="15" customHeight="1" x14ac:dyDescent="0.25">
      <c r="A1903">
        <v>1902</v>
      </c>
      <c r="B1903" s="5">
        <v>45952</v>
      </c>
      <c r="C1903" t="s">
        <v>47</v>
      </c>
      <c r="D1903" t="s">
        <v>28</v>
      </c>
      <c r="E1903" t="s">
        <v>29</v>
      </c>
      <c r="F1903" t="s">
        <v>76</v>
      </c>
      <c r="G1903" s="6">
        <v>4446.76</v>
      </c>
      <c r="H1903" s="7">
        <v>2.1000000000000001E-2</v>
      </c>
      <c r="I1903" s="6">
        <v>93.38</v>
      </c>
      <c r="J1903" s="6">
        <v>4540.1400000000003</v>
      </c>
      <c r="K1903" t="s">
        <v>3861</v>
      </c>
      <c r="L1903" t="s">
        <v>3862</v>
      </c>
    </row>
    <row r="1904" spans="1:12" ht="15" customHeight="1" x14ac:dyDescent="0.25">
      <c r="A1904">
        <v>1903</v>
      </c>
      <c r="B1904" s="5">
        <v>45931</v>
      </c>
      <c r="C1904" t="s">
        <v>33</v>
      </c>
      <c r="D1904" t="s">
        <v>42</v>
      </c>
      <c r="E1904" t="s">
        <v>43</v>
      </c>
      <c r="F1904" t="s">
        <v>44</v>
      </c>
      <c r="G1904" s="6">
        <v>1893.89</v>
      </c>
      <c r="H1904" s="7">
        <v>0</v>
      </c>
      <c r="I1904" s="6">
        <v>0</v>
      </c>
      <c r="J1904" s="6">
        <v>1893.89</v>
      </c>
      <c r="K1904" t="s">
        <v>3863</v>
      </c>
      <c r="L1904" t="s">
        <v>3864</v>
      </c>
    </row>
    <row r="1905" spans="1:12" ht="15" customHeight="1" x14ac:dyDescent="0.25">
      <c r="A1905">
        <v>1904</v>
      </c>
      <c r="B1905" s="5">
        <v>45706</v>
      </c>
      <c r="C1905" t="s">
        <v>33</v>
      </c>
      <c r="D1905" t="s">
        <v>28</v>
      </c>
      <c r="E1905" t="s">
        <v>29</v>
      </c>
      <c r="F1905" t="s">
        <v>36</v>
      </c>
      <c r="G1905" s="6">
        <v>3747.94</v>
      </c>
      <c r="H1905" s="7">
        <v>2.1000000000000001E-2</v>
      </c>
      <c r="I1905" s="6">
        <v>78.709999999999994</v>
      </c>
      <c r="J1905" s="6">
        <v>3826.65</v>
      </c>
      <c r="K1905" t="s">
        <v>3865</v>
      </c>
      <c r="L1905" t="s">
        <v>3866</v>
      </c>
    </row>
    <row r="1906" spans="1:12" ht="15" customHeight="1" x14ac:dyDescent="0.25">
      <c r="A1906">
        <v>1905</v>
      </c>
      <c r="B1906" s="5">
        <v>45835</v>
      </c>
      <c r="C1906" t="s">
        <v>47</v>
      </c>
      <c r="D1906" t="s">
        <v>55</v>
      </c>
      <c r="E1906" t="s">
        <v>56</v>
      </c>
      <c r="F1906" t="s">
        <v>106</v>
      </c>
      <c r="G1906" s="6">
        <v>1849.52</v>
      </c>
      <c r="H1906" s="7">
        <v>5.5E-2</v>
      </c>
      <c r="I1906" s="6">
        <v>101.72</v>
      </c>
      <c r="J1906" s="6">
        <v>1951.24</v>
      </c>
      <c r="K1906" t="s">
        <v>3867</v>
      </c>
      <c r="L1906" t="s">
        <v>3868</v>
      </c>
    </row>
    <row r="1907" spans="1:12" ht="15" customHeight="1" x14ac:dyDescent="0.25">
      <c r="A1907">
        <v>1906</v>
      </c>
      <c r="B1907" s="5">
        <v>45859</v>
      </c>
      <c r="C1907" t="s">
        <v>47</v>
      </c>
      <c r="D1907" t="s">
        <v>79</v>
      </c>
      <c r="E1907" t="s">
        <v>80</v>
      </c>
      <c r="F1907" t="s">
        <v>76</v>
      </c>
      <c r="G1907" s="6">
        <v>1399.12</v>
      </c>
      <c r="H1907" s="7">
        <v>0.2</v>
      </c>
      <c r="I1907" s="6">
        <v>279.82</v>
      </c>
      <c r="J1907" s="6">
        <v>1678.94</v>
      </c>
      <c r="K1907" t="s">
        <v>3869</v>
      </c>
      <c r="L1907" t="s">
        <v>3870</v>
      </c>
    </row>
    <row r="1908" spans="1:12" ht="15" customHeight="1" x14ac:dyDescent="0.25">
      <c r="A1908">
        <v>1907</v>
      </c>
      <c r="B1908" s="5">
        <v>45720</v>
      </c>
      <c r="C1908" t="s">
        <v>27</v>
      </c>
      <c r="D1908" t="s">
        <v>94</v>
      </c>
      <c r="E1908" t="s">
        <v>95</v>
      </c>
      <c r="F1908" t="s">
        <v>44</v>
      </c>
      <c r="G1908" s="6">
        <v>2844.26</v>
      </c>
      <c r="H1908" s="7">
        <v>0</v>
      </c>
      <c r="I1908" s="6">
        <v>0</v>
      </c>
      <c r="J1908" s="6">
        <v>2844.26</v>
      </c>
      <c r="K1908" t="s">
        <v>3871</v>
      </c>
      <c r="L1908" t="s">
        <v>3872</v>
      </c>
    </row>
    <row r="1909" spans="1:12" ht="15" customHeight="1" x14ac:dyDescent="0.25">
      <c r="A1909">
        <v>1908</v>
      </c>
      <c r="B1909" s="5">
        <v>45663</v>
      </c>
      <c r="C1909" t="s">
        <v>33</v>
      </c>
      <c r="D1909" t="s">
        <v>55</v>
      </c>
      <c r="E1909" t="s">
        <v>56</v>
      </c>
      <c r="F1909" t="s">
        <v>50</v>
      </c>
      <c r="G1909" s="6">
        <v>693.21</v>
      </c>
      <c r="H1909" s="7">
        <v>5.5E-2</v>
      </c>
      <c r="I1909" s="6">
        <v>38.130000000000003</v>
      </c>
      <c r="J1909" s="6">
        <v>731.34</v>
      </c>
      <c r="K1909" t="s">
        <v>3873</v>
      </c>
      <c r="L1909" t="s">
        <v>3874</v>
      </c>
    </row>
    <row r="1910" spans="1:12" ht="15" customHeight="1" x14ac:dyDescent="0.25">
      <c r="A1910">
        <v>1909</v>
      </c>
      <c r="B1910" s="5">
        <v>45755</v>
      </c>
      <c r="C1910" t="s">
        <v>27</v>
      </c>
      <c r="D1910" t="s">
        <v>79</v>
      </c>
      <c r="E1910" t="s">
        <v>80</v>
      </c>
      <c r="F1910" t="s">
        <v>50</v>
      </c>
      <c r="G1910" s="6">
        <v>3280.56</v>
      </c>
      <c r="H1910" s="7">
        <v>0.2</v>
      </c>
      <c r="I1910" s="6">
        <v>656.11</v>
      </c>
      <c r="J1910" s="6">
        <v>3936.67</v>
      </c>
      <c r="K1910" t="s">
        <v>3875</v>
      </c>
      <c r="L1910" t="s">
        <v>3876</v>
      </c>
    </row>
    <row r="1911" spans="1:12" ht="15" customHeight="1" x14ac:dyDescent="0.25">
      <c r="A1911">
        <v>1910</v>
      </c>
      <c r="B1911" s="5">
        <v>46010</v>
      </c>
      <c r="C1911" t="s">
        <v>27</v>
      </c>
      <c r="D1911" t="s">
        <v>94</v>
      </c>
      <c r="E1911" t="s">
        <v>95</v>
      </c>
      <c r="F1911" t="s">
        <v>44</v>
      </c>
      <c r="G1911" s="6">
        <v>1149.22</v>
      </c>
      <c r="H1911" s="7">
        <v>0</v>
      </c>
      <c r="I1911" s="6">
        <v>0</v>
      </c>
      <c r="J1911" s="6">
        <v>1149.22</v>
      </c>
      <c r="K1911" t="s">
        <v>3877</v>
      </c>
      <c r="L1911" t="s">
        <v>3878</v>
      </c>
    </row>
    <row r="1912" spans="1:12" ht="15" customHeight="1" x14ac:dyDescent="0.25">
      <c r="A1912">
        <v>1911</v>
      </c>
      <c r="B1912" s="5">
        <v>45813</v>
      </c>
      <c r="C1912" t="s">
        <v>33</v>
      </c>
      <c r="D1912" t="s">
        <v>28</v>
      </c>
      <c r="E1912" t="s">
        <v>29</v>
      </c>
      <c r="F1912" t="s">
        <v>50</v>
      </c>
      <c r="G1912" s="6">
        <v>411.69</v>
      </c>
      <c r="H1912" s="7">
        <v>2.1000000000000001E-2</v>
      </c>
      <c r="I1912" s="6">
        <v>8.65</v>
      </c>
      <c r="J1912" s="6">
        <v>420.34</v>
      </c>
      <c r="K1912" t="s">
        <v>3879</v>
      </c>
      <c r="L1912" t="s">
        <v>3880</v>
      </c>
    </row>
    <row r="1913" spans="1:12" ht="15" customHeight="1" x14ac:dyDescent="0.25">
      <c r="A1913">
        <v>1912</v>
      </c>
      <c r="B1913" s="5">
        <v>45852</v>
      </c>
      <c r="C1913" t="s">
        <v>27</v>
      </c>
      <c r="D1913" t="s">
        <v>42</v>
      </c>
      <c r="E1913" t="s">
        <v>43</v>
      </c>
      <c r="F1913" t="s">
        <v>44</v>
      </c>
      <c r="G1913" s="6">
        <v>2208.81</v>
      </c>
      <c r="H1913" s="7">
        <v>0</v>
      </c>
      <c r="I1913" s="6">
        <v>0</v>
      </c>
      <c r="J1913" s="6">
        <v>2208.81</v>
      </c>
      <c r="K1913" t="s">
        <v>3881</v>
      </c>
      <c r="L1913" t="s">
        <v>3882</v>
      </c>
    </row>
    <row r="1914" spans="1:12" ht="15" customHeight="1" x14ac:dyDescent="0.25">
      <c r="A1914">
        <v>1913</v>
      </c>
      <c r="B1914" s="5">
        <v>45722</v>
      </c>
      <c r="C1914" t="s">
        <v>27</v>
      </c>
      <c r="D1914" t="s">
        <v>79</v>
      </c>
      <c r="E1914" t="s">
        <v>80</v>
      </c>
      <c r="F1914" t="s">
        <v>30</v>
      </c>
      <c r="G1914" s="6">
        <v>1491.45</v>
      </c>
      <c r="H1914" s="7">
        <v>0.2</v>
      </c>
      <c r="I1914" s="6">
        <v>298.29000000000002</v>
      </c>
      <c r="J1914" s="6">
        <v>1789.74</v>
      </c>
      <c r="K1914" t="s">
        <v>3883</v>
      </c>
      <c r="L1914" t="s">
        <v>3884</v>
      </c>
    </row>
    <row r="1915" spans="1:12" ht="15" customHeight="1" x14ac:dyDescent="0.25">
      <c r="A1915">
        <v>1914</v>
      </c>
      <c r="B1915" s="5">
        <v>45869</v>
      </c>
      <c r="C1915" t="s">
        <v>27</v>
      </c>
      <c r="D1915" t="s">
        <v>100</v>
      </c>
      <c r="E1915" t="s">
        <v>101</v>
      </c>
      <c r="F1915" t="s">
        <v>44</v>
      </c>
      <c r="G1915" s="6">
        <v>3403.76</v>
      </c>
      <c r="H1915" s="7">
        <v>0</v>
      </c>
      <c r="I1915" s="6">
        <v>0</v>
      </c>
      <c r="J1915" s="6">
        <v>3403.76</v>
      </c>
      <c r="K1915" t="s">
        <v>3885</v>
      </c>
      <c r="L1915" t="s">
        <v>3886</v>
      </c>
    </row>
    <row r="1916" spans="1:12" ht="15" customHeight="1" x14ac:dyDescent="0.25">
      <c r="A1916">
        <v>1915</v>
      </c>
      <c r="B1916" s="5">
        <v>45902</v>
      </c>
      <c r="C1916" t="s">
        <v>27</v>
      </c>
      <c r="D1916" t="s">
        <v>55</v>
      </c>
      <c r="E1916" t="s">
        <v>56</v>
      </c>
      <c r="F1916" t="s">
        <v>174</v>
      </c>
      <c r="G1916" s="6">
        <v>3002.81</v>
      </c>
      <c r="H1916" s="7">
        <v>5.5E-2</v>
      </c>
      <c r="I1916" s="6">
        <v>165.15</v>
      </c>
      <c r="J1916" s="6">
        <v>3167.96</v>
      </c>
      <c r="K1916" t="s">
        <v>3887</v>
      </c>
      <c r="L1916" t="s">
        <v>3888</v>
      </c>
    </row>
    <row r="1917" spans="1:12" ht="15" customHeight="1" x14ac:dyDescent="0.25">
      <c r="A1917">
        <v>1916</v>
      </c>
      <c r="B1917" s="5">
        <v>45705</v>
      </c>
      <c r="C1917" t="s">
        <v>27</v>
      </c>
      <c r="D1917" t="s">
        <v>79</v>
      </c>
      <c r="E1917" t="s">
        <v>80</v>
      </c>
      <c r="F1917" t="s">
        <v>174</v>
      </c>
      <c r="G1917" s="6">
        <v>1246.05</v>
      </c>
      <c r="H1917" s="7">
        <v>0.2</v>
      </c>
      <c r="I1917" s="6">
        <v>249.21</v>
      </c>
      <c r="J1917" s="6">
        <v>1495.26</v>
      </c>
      <c r="K1917" t="s">
        <v>3889</v>
      </c>
      <c r="L1917" t="s">
        <v>3890</v>
      </c>
    </row>
    <row r="1918" spans="1:12" ht="15" customHeight="1" x14ac:dyDescent="0.25">
      <c r="A1918">
        <v>1917</v>
      </c>
      <c r="B1918" s="5">
        <v>45782</v>
      </c>
      <c r="C1918" t="s">
        <v>33</v>
      </c>
      <c r="D1918" t="s">
        <v>55</v>
      </c>
      <c r="E1918" t="s">
        <v>56</v>
      </c>
      <c r="F1918" t="s">
        <v>81</v>
      </c>
      <c r="G1918" s="6">
        <v>2994.91</v>
      </c>
      <c r="H1918" s="7">
        <v>5.5E-2</v>
      </c>
      <c r="I1918" s="6">
        <v>164.72</v>
      </c>
      <c r="J1918" s="6">
        <v>3159.63</v>
      </c>
      <c r="K1918" t="s">
        <v>3891</v>
      </c>
      <c r="L1918" t="s">
        <v>3892</v>
      </c>
    </row>
    <row r="1919" spans="1:12" ht="15" customHeight="1" x14ac:dyDescent="0.25">
      <c r="A1919">
        <v>1918</v>
      </c>
      <c r="B1919" s="5">
        <v>45911</v>
      </c>
      <c r="C1919" t="s">
        <v>33</v>
      </c>
      <c r="D1919" t="s">
        <v>42</v>
      </c>
      <c r="E1919" t="s">
        <v>43</v>
      </c>
      <c r="F1919" t="s">
        <v>44</v>
      </c>
      <c r="G1919" s="6">
        <v>1831.51</v>
      </c>
      <c r="H1919" s="7">
        <v>0</v>
      </c>
      <c r="I1919" s="6">
        <v>0</v>
      </c>
      <c r="J1919" s="6">
        <v>1831.51</v>
      </c>
      <c r="K1919" t="s">
        <v>3893</v>
      </c>
      <c r="L1919" t="s">
        <v>3894</v>
      </c>
    </row>
    <row r="1920" spans="1:12" ht="15" customHeight="1" x14ac:dyDescent="0.25">
      <c r="A1920">
        <v>1919</v>
      </c>
      <c r="B1920" s="5">
        <v>45754</v>
      </c>
      <c r="C1920" t="s">
        <v>47</v>
      </c>
      <c r="D1920" t="s">
        <v>42</v>
      </c>
      <c r="E1920" t="s">
        <v>43</v>
      </c>
      <c r="F1920" t="s">
        <v>44</v>
      </c>
      <c r="G1920" s="6">
        <v>2617.08</v>
      </c>
      <c r="H1920" s="7">
        <v>0</v>
      </c>
      <c r="I1920" s="6">
        <v>0</v>
      </c>
      <c r="J1920" s="6">
        <v>2617.08</v>
      </c>
      <c r="K1920" t="s">
        <v>3895</v>
      </c>
      <c r="L1920" t="s">
        <v>3896</v>
      </c>
    </row>
    <row r="1921" spans="1:13" ht="15" customHeight="1" x14ac:dyDescent="0.25">
      <c r="A1921">
        <v>1920</v>
      </c>
      <c r="B1921" s="5">
        <v>45818</v>
      </c>
      <c r="C1921" t="s">
        <v>27</v>
      </c>
      <c r="D1921" t="s">
        <v>42</v>
      </c>
      <c r="E1921" t="s">
        <v>43</v>
      </c>
      <c r="F1921" t="s">
        <v>44</v>
      </c>
      <c r="G1921" s="6">
        <v>2548.38</v>
      </c>
      <c r="H1921" s="7">
        <v>0</v>
      </c>
      <c r="I1921" s="6">
        <v>0</v>
      </c>
      <c r="J1921" s="6">
        <v>2548.38</v>
      </c>
      <c r="K1921" t="s">
        <v>3897</v>
      </c>
      <c r="L1921" t="s">
        <v>3898</v>
      </c>
    </row>
    <row r="1922" spans="1:13" ht="15" customHeight="1" x14ac:dyDescent="0.25">
      <c r="A1922">
        <v>1921</v>
      </c>
      <c r="B1922" s="5">
        <v>45916</v>
      </c>
      <c r="C1922" t="s">
        <v>27</v>
      </c>
      <c r="D1922" t="s">
        <v>28</v>
      </c>
      <c r="E1922" t="s">
        <v>29</v>
      </c>
      <c r="F1922" t="s">
        <v>30</v>
      </c>
      <c r="G1922" s="6">
        <v>547.02</v>
      </c>
      <c r="H1922" s="7">
        <v>2.1000000000000001E-2</v>
      </c>
      <c r="I1922" s="6">
        <v>11.49</v>
      </c>
      <c r="J1922" s="6">
        <v>558.51</v>
      </c>
      <c r="K1922" t="s">
        <v>3899</v>
      </c>
      <c r="L1922" t="s">
        <v>3900</v>
      </c>
    </row>
    <row r="1923" spans="1:13" ht="15" customHeight="1" x14ac:dyDescent="0.25">
      <c r="A1923">
        <v>1922</v>
      </c>
      <c r="B1923" s="5">
        <v>45889</v>
      </c>
      <c r="C1923" t="s">
        <v>47</v>
      </c>
      <c r="D1923" t="s">
        <v>63</v>
      </c>
      <c r="E1923" t="s">
        <v>64</v>
      </c>
      <c r="F1923" t="s">
        <v>106</v>
      </c>
      <c r="G1923" s="6">
        <v>3915.94</v>
      </c>
      <c r="H1923" s="7">
        <v>0.2</v>
      </c>
      <c r="I1923" s="6">
        <v>783.19</v>
      </c>
      <c r="J1923" s="6">
        <v>4699.13</v>
      </c>
      <c r="K1923" t="s">
        <v>3901</v>
      </c>
      <c r="L1923" t="s">
        <v>3902</v>
      </c>
    </row>
    <row r="1924" spans="1:13" ht="15" customHeight="1" x14ac:dyDescent="0.25">
      <c r="A1924">
        <v>1923</v>
      </c>
      <c r="B1924" s="5">
        <v>45800</v>
      </c>
      <c r="C1924" t="s">
        <v>47</v>
      </c>
      <c r="D1924" t="s">
        <v>28</v>
      </c>
      <c r="E1924" t="s">
        <v>29</v>
      </c>
      <c r="F1924" t="s">
        <v>120</v>
      </c>
      <c r="G1924" s="6">
        <v>1950.08</v>
      </c>
      <c r="H1924" s="7">
        <v>2.1000000000000001E-2</v>
      </c>
      <c r="I1924" s="6">
        <v>40.950000000000003</v>
      </c>
      <c r="J1924" s="6">
        <v>1991.03</v>
      </c>
      <c r="K1924" t="s">
        <v>3903</v>
      </c>
      <c r="L1924" t="s">
        <v>3904</v>
      </c>
    </row>
    <row r="1925" spans="1:13" ht="15" customHeight="1" x14ac:dyDescent="0.25">
      <c r="A1925">
        <v>1924</v>
      </c>
      <c r="B1925" s="5">
        <v>45733</v>
      </c>
      <c r="C1925" t="s">
        <v>27</v>
      </c>
      <c r="D1925" t="s">
        <v>181</v>
      </c>
      <c r="E1925" t="s">
        <v>182</v>
      </c>
      <c r="F1925" t="s">
        <v>87</v>
      </c>
      <c r="G1925" s="6">
        <v>2117.42</v>
      </c>
      <c r="H1925" s="7">
        <v>0.2</v>
      </c>
      <c r="I1925" s="6">
        <v>423.48</v>
      </c>
      <c r="J1925" s="6">
        <v>2540.9</v>
      </c>
      <c r="K1925" t="s">
        <v>3905</v>
      </c>
      <c r="L1925" t="s">
        <v>3906</v>
      </c>
    </row>
    <row r="1926" spans="1:13" ht="15" customHeight="1" x14ac:dyDescent="0.25">
      <c r="A1926">
        <v>1925</v>
      </c>
      <c r="B1926" s="5">
        <v>45672</v>
      </c>
      <c r="C1926" t="s">
        <v>33</v>
      </c>
      <c r="D1926" t="s">
        <v>55</v>
      </c>
      <c r="E1926" t="s">
        <v>56</v>
      </c>
      <c r="F1926" t="s">
        <v>106</v>
      </c>
      <c r="G1926" s="6">
        <v>2184.98</v>
      </c>
      <c r="H1926" s="7">
        <v>5.5E-2</v>
      </c>
      <c r="I1926" s="6">
        <v>120.17</v>
      </c>
      <c r="J1926" s="6">
        <v>2305.15</v>
      </c>
      <c r="K1926" t="s">
        <v>3907</v>
      </c>
      <c r="L1926" t="s">
        <v>3908</v>
      </c>
    </row>
    <row r="1927" spans="1:13" ht="15" customHeight="1" x14ac:dyDescent="0.25">
      <c r="A1927">
        <v>1926</v>
      </c>
      <c r="B1927" s="5">
        <v>45939</v>
      </c>
      <c r="C1927" t="s">
        <v>47</v>
      </c>
      <c r="D1927" t="s">
        <v>55</v>
      </c>
      <c r="E1927" t="s">
        <v>56</v>
      </c>
      <c r="F1927" t="s">
        <v>36</v>
      </c>
      <c r="G1927" s="6">
        <v>451.58</v>
      </c>
      <c r="H1927" s="7">
        <v>5.5E-2</v>
      </c>
      <c r="I1927" s="6">
        <v>24.84</v>
      </c>
      <c r="J1927" s="6">
        <v>476.42</v>
      </c>
      <c r="K1927" t="s">
        <v>3909</v>
      </c>
      <c r="L1927" t="s">
        <v>3910</v>
      </c>
    </row>
    <row r="1928" spans="1:13" ht="15" customHeight="1" x14ac:dyDescent="0.25">
      <c r="A1928">
        <v>1927</v>
      </c>
      <c r="B1928" s="5">
        <v>45918</v>
      </c>
      <c r="C1928" t="s">
        <v>33</v>
      </c>
      <c r="D1928" t="s">
        <v>63</v>
      </c>
      <c r="E1928" t="s">
        <v>64</v>
      </c>
      <c r="F1928" t="s">
        <v>76</v>
      </c>
      <c r="G1928" s="6">
        <v>1555.13</v>
      </c>
      <c r="H1928" s="7">
        <v>0.2</v>
      </c>
      <c r="I1928" s="6">
        <v>311.02999999999997</v>
      </c>
      <c r="J1928" s="6">
        <v>1866.16</v>
      </c>
      <c r="K1928" t="s">
        <v>3911</v>
      </c>
      <c r="L1928" t="s">
        <v>3912</v>
      </c>
    </row>
    <row r="1929" spans="1:13" ht="15" customHeight="1" x14ac:dyDescent="0.25">
      <c r="A1929">
        <v>1928</v>
      </c>
      <c r="B1929" s="5">
        <v>45853</v>
      </c>
      <c r="C1929" t="s">
        <v>47</v>
      </c>
      <c r="D1929" t="s">
        <v>28</v>
      </c>
      <c r="E1929" t="s">
        <v>29</v>
      </c>
      <c r="F1929" t="s">
        <v>36</v>
      </c>
      <c r="G1929" s="6">
        <v>3315.45</v>
      </c>
      <c r="H1929" s="7">
        <v>2.1000000000000001E-2</v>
      </c>
      <c r="I1929" s="6">
        <v>69.62</v>
      </c>
      <c r="J1929" s="6">
        <v>3385.07</v>
      </c>
      <c r="K1929" t="s">
        <v>3913</v>
      </c>
      <c r="L1929" t="s">
        <v>3914</v>
      </c>
    </row>
    <row r="1930" spans="1:13" ht="15" customHeight="1" x14ac:dyDescent="0.25">
      <c r="A1930">
        <v>1929</v>
      </c>
      <c r="B1930" s="5">
        <v>45748</v>
      </c>
      <c r="C1930" t="s">
        <v>47</v>
      </c>
      <c r="D1930" t="s">
        <v>28</v>
      </c>
      <c r="E1930" t="s">
        <v>29</v>
      </c>
      <c r="F1930" t="s">
        <v>106</v>
      </c>
      <c r="G1930" s="6">
        <v>2705.7</v>
      </c>
      <c r="H1930" s="7">
        <v>2.1000000000000001E-2</v>
      </c>
      <c r="I1930" s="6">
        <v>56.82</v>
      </c>
      <c r="J1930" s="6">
        <v>2762.52</v>
      </c>
      <c r="K1930" t="s">
        <v>3915</v>
      </c>
      <c r="L1930" t="s">
        <v>3916</v>
      </c>
    </row>
    <row r="1931" spans="1:13" ht="15" customHeight="1" x14ac:dyDescent="0.25">
      <c r="A1931">
        <v>1930</v>
      </c>
      <c r="B1931" s="5">
        <v>45713</v>
      </c>
      <c r="C1931" t="s">
        <v>47</v>
      </c>
      <c r="D1931" t="s">
        <v>172</v>
      </c>
      <c r="E1931" t="s">
        <v>173</v>
      </c>
      <c r="F1931" t="s">
        <v>120</v>
      </c>
      <c r="G1931" s="6">
        <v>3090.73</v>
      </c>
      <c r="H1931" s="7">
        <v>0.2</v>
      </c>
      <c r="I1931" s="6">
        <v>618.15</v>
      </c>
      <c r="J1931" s="6">
        <v>3708.88</v>
      </c>
      <c r="K1931" t="s">
        <v>3917</v>
      </c>
      <c r="L1931" t="s">
        <v>3918</v>
      </c>
    </row>
    <row r="1932" spans="1:13" ht="15" customHeight="1" x14ac:dyDescent="0.25">
      <c r="A1932">
        <v>1931</v>
      </c>
      <c r="B1932" s="5">
        <v>45685</v>
      </c>
      <c r="C1932" t="s">
        <v>33</v>
      </c>
      <c r="D1932" t="s">
        <v>28</v>
      </c>
      <c r="E1932" t="s">
        <v>29</v>
      </c>
      <c r="F1932" t="s">
        <v>84</v>
      </c>
      <c r="G1932" s="6">
        <v>37681.9</v>
      </c>
      <c r="H1932" s="7">
        <v>2.1000000000000001E-2</v>
      </c>
      <c r="I1932" s="6">
        <v>791.32</v>
      </c>
      <c r="J1932" s="6">
        <v>38473.22</v>
      </c>
      <c r="K1932" t="s">
        <v>3919</v>
      </c>
      <c r="L1932" t="s">
        <v>3920</v>
      </c>
      <c r="M1932" t="s">
        <v>580</v>
      </c>
    </row>
    <row r="1933" spans="1:13" ht="15" customHeight="1" x14ac:dyDescent="0.25">
      <c r="A1933">
        <v>1932</v>
      </c>
      <c r="B1933" s="5">
        <v>45709</v>
      </c>
      <c r="C1933" t="s">
        <v>33</v>
      </c>
      <c r="D1933" t="s">
        <v>28</v>
      </c>
      <c r="E1933" t="s">
        <v>29</v>
      </c>
      <c r="F1933" t="s">
        <v>84</v>
      </c>
      <c r="G1933" s="6">
        <v>1297.53</v>
      </c>
      <c r="H1933" s="7">
        <v>2.1000000000000001E-2</v>
      </c>
      <c r="I1933" s="6">
        <v>27.25</v>
      </c>
      <c r="J1933" s="6">
        <v>1324.78</v>
      </c>
      <c r="K1933" t="s">
        <v>3921</v>
      </c>
      <c r="L1933" t="s">
        <v>3922</v>
      </c>
    </row>
    <row r="1934" spans="1:13" ht="15" customHeight="1" x14ac:dyDescent="0.25">
      <c r="A1934">
        <v>1933</v>
      </c>
      <c r="B1934" s="5">
        <v>45859</v>
      </c>
      <c r="C1934" t="s">
        <v>27</v>
      </c>
      <c r="D1934" t="s">
        <v>63</v>
      </c>
      <c r="E1934" t="s">
        <v>64</v>
      </c>
      <c r="F1934" t="s">
        <v>81</v>
      </c>
      <c r="G1934" s="6">
        <v>527.76</v>
      </c>
      <c r="H1934" s="7">
        <v>0.2</v>
      </c>
      <c r="I1934" s="6">
        <v>105.55</v>
      </c>
      <c r="J1934" s="6">
        <v>633.30999999999995</v>
      </c>
      <c r="K1934" t="s">
        <v>3923</v>
      </c>
      <c r="L1934" t="s">
        <v>3924</v>
      </c>
    </row>
    <row r="1935" spans="1:13" ht="15" customHeight="1" x14ac:dyDescent="0.25">
      <c r="A1935">
        <v>1934</v>
      </c>
      <c r="B1935" s="5">
        <v>45763</v>
      </c>
      <c r="C1935" t="s">
        <v>27</v>
      </c>
      <c r="D1935" t="s">
        <v>55</v>
      </c>
      <c r="E1935" t="s">
        <v>56</v>
      </c>
      <c r="F1935" t="s">
        <v>71</v>
      </c>
      <c r="G1935" s="6">
        <v>835.95</v>
      </c>
      <c r="H1935" s="7">
        <v>5.5E-2</v>
      </c>
      <c r="I1935" s="6">
        <v>45.98</v>
      </c>
      <c r="J1935" s="6">
        <v>881.93</v>
      </c>
      <c r="K1935" t="s">
        <v>3925</v>
      </c>
      <c r="L1935" t="s">
        <v>3926</v>
      </c>
    </row>
    <row r="1936" spans="1:13" ht="15" customHeight="1" x14ac:dyDescent="0.25">
      <c r="A1936">
        <v>1935</v>
      </c>
      <c r="B1936" s="5">
        <v>45805</v>
      </c>
      <c r="C1936" t="s">
        <v>27</v>
      </c>
      <c r="D1936" t="s">
        <v>55</v>
      </c>
      <c r="E1936" t="s">
        <v>56</v>
      </c>
      <c r="F1936" t="s">
        <v>87</v>
      </c>
      <c r="G1936" s="6">
        <v>3323.76</v>
      </c>
      <c r="H1936" s="7">
        <v>5.5E-2</v>
      </c>
      <c r="I1936" s="6">
        <v>182.81</v>
      </c>
      <c r="J1936" s="6">
        <v>3506.57</v>
      </c>
      <c r="K1936" t="s">
        <v>3927</v>
      </c>
      <c r="L1936" t="s">
        <v>3928</v>
      </c>
    </row>
    <row r="1937" spans="1:12" ht="15" customHeight="1" x14ac:dyDescent="0.25">
      <c r="A1937">
        <v>1936</v>
      </c>
      <c r="B1937" s="5">
        <v>45902</v>
      </c>
      <c r="C1937" t="s">
        <v>27</v>
      </c>
      <c r="D1937" t="s">
        <v>100</v>
      </c>
      <c r="E1937" t="s">
        <v>101</v>
      </c>
      <c r="F1937" t="s">
        <v>44</v>
      </c>
      <c r="G1937" s="6">
        <v>3846.15</v>
      </c>
      <c r="H1937" s="7">
        <v>0</v>
      </c>
      <c r="I1937" s="6">
        <v>0</v>
      </c>
      <c r="J1937" s="6">
        <v>3846.15</v>
      </c>
      <c r="K1937" t="s">
        <v>3929</v>
      </c>
      <c r="L1937" t="s">
        <v>3930</v>
      </c>
    </row>
    <row r="1938" spans="1:12" ht="15" customHeight="1" x14ac:dyDescent="0.25">
      <c r="A1938">
        <v>1937</v>
      </c>
      <c r="B1938" s="5">
        <v>46006</v>
      </c>
      <c r="C1938" t="s">
        <v>33</v>
      </c>
      <c r="D1938" t="s">
        <v>28</v>
      </c>
      <c r="E1938" t="s">
        <v>29</v>
      </c>
      <c r="F1938" t="s">
        <v>30</v>
      </c>
      <c r="G1938" s="6">
        <v>386.99</v>
      </c>
      <c r="H1938" s="7">
        <v>2.1000000000000001E-2</v>
      </c>
      <c r="I1938" s="6">
        <v>8.1300000000000008</v>
      </c>
      <c r="J1938" s="6">
        <v>395.12</v>
      </c>
      <c r="K1938" t="s">
        <v>3931</v>
      </c>
      <c r="L1938" t="s">
        <v>3932</v>
      </c>
    </row>
    <row r="1939" spans="1:12" ht="15" customHeight="1" x14ac:dyDescent="0.25">
      <c r="A1939">
        <v>1938</v>
      </c>
      <c r="B1939" s="5">
        <v>45664</v>
      </c>
      <c r="C1939" t="s">
        <v>47</v>
      </c>
      <c r="D1939" t="s">
        <v>28</v>
      </c>
      <c r="E1939" t="s">
        <v>29</v>
      </c>
      <c r="F1939" t="s">
        <v>36</v>
      </c>
      <c r="G1939" s="6">
        <v>3023.86</v>
      </c>
      <c r="H1939" s="7">
        <v>2.1000000000000001E-2</v>
      </c>
      <c r="I1939" s="6">
        <v>63.5</v>
      </c>
      <c r="J1939" s="6">
        <v>3087.36</v>
      </c>
      <c r="K1939" t="s">
        <v>3933</v>
      </c>
      <c r="L1939" t="s">
        <v>3934</v>
      </c>
    </row>
    <row r="1940" spans="1:12" ht="15" customHeight="1" x14ac:dyDescent="0.25">
      <c r="A1940">
        <v>1939</v>
      </c>
      <c r="B1940" s="5">
        <v>45793</v>
      </c>
      <c r="C1940" t="s">
        <v>33</v>
      </c>
      <c r="D1940" t="s">
        <v>28</v>
      </c>
      <c r="E1940" t="s">
        <v>29</v>
      </c>
      <c r="F1940" t="s">
        <v>30</v>
      </c>
      <c r="G1940" s="6">
        <v>3975.16</v>
      </c>
      <c r="H1940" s="7">
        <v>2.1000000000000001E-2</v>
      </c>
      <c r="I1940" s="6">
        <v>83.48</v>
      </c>
      <c r="J1940" s="6">
        <v>4058.64</v>
      </c>
      <c r="K1940" t="s">
        <v>3935</v>
      </c>
      <c r="L1940" t="s">
        <v>3936</v>
      </c>
    </row>
    <row r="1941" spans="1:12" ht="15" customHeight="1" x14ac:dyDescent="0.25">
      <c r="A1941">
        <v>1940</v>
      </c>
      <c r="B1941" s="5">
        <v>45658</v>
      </c>
      <c r="C1941" t="s">
        <v>33</v>
      </c>
      <c r="D1941" t="s">
        <v>172</v>
      </c>
      <c r="E1941" t="s">
        <v>173</v>
      </c>
      <c r="F1941" t="s">
        <v>71</v>
      </c>
      <c r="G1941" s="6">
        <v>2238.3200000000002</v>
      </c>
      <c r="H1941" s="7">
        <v>0.2</v>
      </c>
      <c r="I1941" s="6">
        <v>447.66</v>
      </c>
      <c r="J1941" s="6">
        <v>2685.98</v>
      </c>
      <c r="K1941" t="s">
        <v>3937</v>
      </c>
      <c r="L1941" t="s">
        <v>3938</v>
      </c>
    </row>
    <row r="1942" spans="1:12" ht="15" customHeight="1" x14ac:dyDescent="0.25">
      <c r="A1942">
        <v>1941</v>
      </c>
      <c r="B1942" s="5">
        <v>45666</v>
      </c>
      <c r="C1942" t="s">
        <v>33</v>
      </c>
      <c r="D1942" t="s">
        <v>28</v>
      </c>
      <c r="E1942" t="s">
        <v>29</v>
      </c>
      <c r="F1942" t="s">
        <v>174</v>
      </c>
      <c r="G1942" s="6">
        <v>2587.3200000000002</v>
      </c>
      <c r="H1942" s="7">
        <v>2.1000000000000001E-2</v>
      </c>
      <c r="I1942" s="6">
        <v>54.33</v>
      </c>
      <c r="J1942" s="6">
        <v>2641.65</v>
      </c>
      <c r="K1942" t="s">
        <v>3939</v>
      </c>
      <c r="L1942" t="s">
        <v>3940</v>
      </c>
    </row>
    <row r="1943" spans="1:12" ht="15" customHeight="1" x14ac:dyDescent="0.25">
      <c r="A1943">
        <v>1942</v>
      </c>
      <c r="B1943" s="5">
        <v>45743</v>
      </c>
      <c r="C1943" t="s">
        <v>33</v>
      </c>
      <c r="D1943" t="s">
        <v>172</v>
      </c>
      <c r="E1943" t="s">
        <v>173</v>
      </c>
      <c r="F1943" t="s">
        <v>87</v>
      </c>
      <c r="G1943" s="6">
        <v>3417.07</v>
      </c>
      <c r="H1943" s="7">
        <v>0.2</v>
      </c>
      <c r="I1943" s="6">
        <v>683.41</v>
      </c>
      <c r="J1943" s="6">
        <v>4100.4799999999996</v>
      </c>
      <c r="K1943" t="s">
        <v>3941</v>
      </c>
      <c r="L1943" t="s">
        <v>3942</v>
      </c>
    </row>
    <row r="1944" spans="1:12" ht="15" customHeight="1" x14ac:dyDescent="0.25">
      <c r="A1944">
        <v>1943</v>
      </c>
      <c r="B1944" s="5">
        <v>45889</v>
      </c>
      <c r="C1944" t="s">
        <v>47</v>
      </c>
      <c r="D1944" t="s">
        <v>42</v>
      </c>
      <c r="E1944" t="s">
        <v>43</v>
      </c>
      <c r="F1944" t="s">
        <v>44</v>
      </c>
      <c r="G1944" s="6">
        <v>2641.87</v>
      </c>
      <c r="H1944" s="7">
        <v>0</v>
      </c>
      <c r="I1944" s="6">
        <v>0</v>
      </c>
      <c r="J1944" s="6">
        <v>2641.87</v>
      </c>
      <c r="K1944" t="s">
        <v>3943</v>
      </c>
      <c r="L1944" t="s">
        <v>3944</v>
      </c>
    </row>
    <row r="1945" spans="1:12" ht="15" customHeight="1" x14ac:dyDescent="0.25">
      <c r="A1945">
        <v>1944</v>
      </c>
      <c r="B1945" s="5">
        <v>45664</v>
      </c>
      <c r="C1945" t="s">
        <v>47</v>
      </c>
      <c r="D1945" t="s">
        <v>34</v>
      </c>
      <c r="E1945" t="s">
        <v>35</v>
      </c>
      <c r="F1945" t="s">
        <v>174</v>
      </c>
      <c r="G1945" s="6">
        <v>3738.65</v>
      </c>
      <c r="H1945" s="7">
        <v>0.2</v>
      </c>
      <c r="I1945" s="6">
        <v>747.73</v>
      </c>
      <c r="J1945" s="6">
        <v>4486.38</v>
      </c>
      <c r="K1945" t="s">
        <v>3945</v>
      </c>
      <c r="L1945" t="s">
        <v>3946</v>
      </c>
    </row>
    <row r="1946" spans="1:12" ht="15" customHeight="1" x14ac:dyDescent="0.25">
      <c r="A1946">
        <v>1945</v>
      </c>
      <c r="B1946" s="5">
        <v>45905</v>
      </c>
      <c r="C1946" t="s">
        <v>47</v>
      </c>
      <c r="D1946" t="s">
        <v>100</v>
      </c>
      <c r="E1946" t="s">
        <v>101</v>
      </c>
      <c r="F1946" t="s">
        <v>44</v>
      </c>
      <c r="G1946" s="6">
        <v>3445.88</v>
      </c>
      <c r="H1946" s="7">
        <v>0</v>
      </c>
      <c r="I1946" s="6">
        <v>0</v>
      </c>
      <c r="J1946" s="6">
        <v>3445.88</v>
      </c>
      <c r="K1946" t="s">
        <v>3947</v>
      </c>
      <c r="L1946" t="s">
        <v>3948</v>
      </c>
    </row>
    <row r="1947" spans="1:12" ht="15" customHeight="1" x14ac:dyDescent="0.25">
      <c r="A1947">
        <v>1946</v>
      </c>
      <c r="B1947" s="5">
        <v>45868</v>
      </c>
      <c r="C1947" t="s">
        <v>27</v>
      </c>
      <c r="D1947" t="s">
        <v>28</v>
      </c>
      <c r="E1947" t="s">
        <v>29</v>
      </c>
      <c r="F1947" t="s">
        <v>120</v>
      </c>
      <c r="G1947" s="6">
        <v>3864.69</v>
      </c>
      <c r="H1947" s="7">
        <v>2.1000000000000001E-2</v>
      </c>
      <c r="I1947" s="6">
        <v>81.16</v>
      </c>
      <c r="J1947" s="6">
        <v>3945.85</v>
      </c>
      <c r="K1947" t="s">
        <v>3949</v>
      </c>
      <c r="L1947" t="s">
        <v>3950</v>
      </c>
    </row>
    <row r="1948" spans="1:12" ht="15" customHeight="1" x14ac:dyDescent="0.25">
      <c r="A1948">
        <v>1947</v>
      </c>
      <c r="B1948" s="5">
        <v>45783</v>
      </c>
      <c r="C1948" t="s">
        <v>47</v>
      </c>
      <c r="D1948" t="s">
        <v>79</v>
      </c>
      <c r="E1948" t="s">
        <v>80</v>
      </c>
      <c r="F1948" t="s">
        <v>81</v>
      </c>
      <c r="G1948" s="6">
        <v>2632.92</v>
      </c>
      <c r="H1948" s="7">
        <v>0.2</v>
      </c>
      <c r="I1948" s="6">
        <v>526.58000000000004</v>
      </c>
      <c r="J1948" s="6">
        <v>3159.5</v>
      </c>
      <c r="K1948" t="s">
        <v>3951</v>
      </c>
      <c r="L1948" t="s">
        <v>3952</v>
      </c>
    </row>
    <row r="1949" spans="1:12" ht="15" customHeight="1" x14ac:dyDescent="0.25">
      <c r="A1949">
        <v>1948</v>
      </c>
      <c r="B1949" s="5">
        <v>45757</v>
      </c>
      <c r="C1949" t="s">
        <v>47</v>
      </c>
      <c r="D1949" t="s">
        <v>28</v>
      </c>
      <c r="E1949" t="s">
        <v>29</v>
      </c>
      <c r="F1949" t="s">
        <v>36</v>
      </c>
      <c r="G1949" s="6">
        <v>4149.26</v>
      </c>
      <c r="H1949" s="7">
        <v>2.1000000000000001E-2</v>
      </c>
      <c r="I1949" s="6">
        <v>87.13</v>
      </c>
      <c r="J1949" s="6">
        <v>4236.3900000000003</v>
      </c>
      <c r="K1949" t="s">
        <v>3953</v>
      </c>
      <c r="L1949" t="s">
        <v>3954</v>
      </c>
    </row>
    <row r="1950" spans="1:12" ht="15" customHeight="1" x14ac:dyDescent="0.25">
      <c r="A1950">
        <v>1949</v>
      </c>
      <c r="B1950" s="5">
        <v>45978</v>
      </c>
      <c r="C1950" t="s">
        <v>33</v>
      </c>
      <c r="D1950" t="s">
        <v>94</v>
      </c>
      <c r="E1950" t="s">
        <v>95</v>
      </c>
      <c r="F1950" t="s">
        <v>44</v>
      </c>
      <c r="G1950" s="6">
        <v>2748.05</v>
      </c>
      <c r="H1950" s="7">
        <v>0</v>
      </c>
      <c r="I1950" s="6">
        <v>0</v>
      </c>
      <c r="J1950" s="6">
        <v>2748.05</v>
      </c>
      <c r="K1950" t="s">
        <v>3955</v>
      </c>
      <c r="L1950" t="s">
        <v>3956</v>
      </c>
    </row>
    <row r="1951" spans="1:12" ht="15" customHeight="1" x14ac:dyDescent="0.25">
      <c r="A1951">
        <v>1950</v>
      </c>
      <c r="B1951" s="5">
        <v>45827</v>
      </c>
      <c r="C1951" t="s">
        <v>27</v>
      </c>
      <c r="D1951" t="s">
        <v>28</v>
      </c>
      <c r="E1951" t="s">
        <v>29</v>
      </c>
      <c r="F1951" t="s">
        <v>36</v>
      </c>
      <c r="G1951" s="6">
        <v>1808.34</v>
      </c>
      <c r="H1951" s="7">
        <v>2.1000000000000001E-2</v>
      </c>
      <c r="I1951" s="6">
        <v>37.979999999999997</v>
      </c>
      <c r="J1951" s="6">
        <v>1846.32</v>
      </c>
      <c r="K1951" t="s">
        <v>3957</v>
      </c>
      <c r="L1951" t="s">
        <v>3958</v>
      </c>
    </row>
    <row r="1952" spans="1:12" ht="15" customHeight="1" x14ac:dyDescent="0.25">
      <c r="A1952">
        <v>1951</v>
      </c>
      <c r="B1952" s="5">
        <v>45954</v>
      </c>
      <c r="C1952" t="s">
        <v>47</v>
      </c>
      <c r="D1952" t="s">
        <v>28</v>
      </c>
      <c r="E1952" t="s">
        <v>29</v>
      </c>
      <c r="F1952" t="s">
        <v>50</v>
      </c>
      <c r="G1952" s="6">
        <v>2378.7399999999998</v>
      </c>
      <c r="H1952" s="7">
        <v>2.1000000000000001E-2</v>
      </c>
      <c r="I1952" s="6">
        <v>49.95</v>
      </c>
      <c r="J1952" s="6">
        <v>2428.69</v>
      </c>
      <c r="K1952" t="s">
        <v>3959</v>
      </c>
      <c r="L1952" t="s">
        <v>3960</v>
      </c>
    </row>
    <row r="1953" spans="1:12" ht="15" customHeight="1" x14ac:dyDescent="0.25">
      <c r="A1953">
        <v>1952</v>
      </c>
      <c r="B1953" s="5">
        <v>45890</v>
      </c>
      <c r="C1953" t="s">
        <v>27</v>
      </c>
      <c r="D1953" t="s">
        <v>28</v>
      </c>
      <c r="E1953" t="s">
        <v>29</v>
      </c>
      <c r="F1953" t="s">
        <v>50</v>
      </c>
      <c r="G1953" s="6">
        <v>2584.65</v>
      </c>
      <c r="H1953" s="7">
        <v>2.1000000000000001E-2</v>
      </c>
      <c r="I1953" s="6">
        <v>54.28</v>
      </c>
      <c r="J1953" s="6">
        <v>2638.93</v>
      </c>
      <c r="K1953" t="s">
        <v>3961</v>
      </c>
      <c r="L1953" t="s">
        <v>3962</v>
      </c>
    </row>
    <row r="1954" spans="1:12" ht="15" customHeight="1" x14ac:dyDescent="0.25">
      <c r="A1954">
        <v>1953</v>
      </c>
      <c r="B1954" s="5">
        <v>46008</v>
      </c>
      <c r="C1954" t="s">
        <v>33</v>
      </c>
      <c r="D1954" t="s">
        <v>94</v>
      </c>
      <c r="E1954" t="s">
        <v>95</v>
      </c>
      <c r="F1954" t="s">
        <v>44</v>
      </c>
      <c r="G1954" s="6">
        <v>2202.31</v>
      </c>
      <c r="H1954" s="7">
        <v>0</v>
      </c>
      <c r="I1954" s="6">
        <v>0</v>
      </c>
      <c r="J1954" s="6">
        <v>2202.31</v>
      </c>
      <c r="K1954" t="s">
        <v>3963</v>
      </c>
      <c r="L1954" t="s">
        <v>3964</v>
      </c>
    </row>
    <row r="1955" spans="1:12" ht="15" customHeight="1" x14ac:dyDescent="0.25">
      <c r="A1955">
        <v>1954</v>
      </c>
      <c r="B1955" s="5">
        <v>45741</v>
      </c>
      <c r="C1955" t="s">
        <v>47</v>
      </c>
      <c r="D1955" t="s">
        <v>181</v>
      </c>
      <c r="E1955" t="s">
        <v>182</v>
      </c>
      <c r="F1955" t="s">
        <v>174</v>
      </c>
      <c r="G1955" s="6">
        <v>1422.11</v>
      </c>
      <c r="H1955" s="7">
        <v>0.2</v>
      </c>
      <c r="I1955" s="6">
        <v>284.42</v>
      </c>
      <c r="J1955" s="6">
        <v>1706.53</v>
      </c>
      <c r="K1955" t="s">
        <v>3965</v>
      </c>
      <c r="L1955" t="s">
        <v>3966</v>
      </c>
    </row>
    <row r="1956" spans="1:12" ht="15" customHeight="1" x14ac:dyDescent="0.25">
      <c r="A1956">
        <v>1955</v>
      </c>
      <c r="B1956" s="5">
        <v>45678</v>
      </c>
      <c r="C1956" t="s">
        <v>47</v>
      </c>
      <c r="D1956" t="s">
        <v>28</v>
      </c>
      <c r="E1956" t="s">
        <v>29</v>
      </c>
      <c r="F1956" t="s">
        <v>84</v>
      </c>
      <c r="G1956" s="6">
        <v>1040.58</v>
      </c>
      <c r="H1956" s="7">
        <v>2.1000000000000001E-2</v>
      </c>
      <c r="I1956" s="6">
        <v>21.85</v>
      </c>
      <c r="J1956" s="6">
        <v>1062.43</v>
      </c>
      <c r="K1956" t="s">
        <v>3967</v>
      </c>
      <c r="L1956" t="s">
        <v>3968</v>
      </c>
    </row>
    <row r="1957" spans="1:12" ht="15" customHeight="1" x14ac:dyDescent="0.25">
      <c r="A1957">
        <v>1956</v>
      </c>
      <c r="B1957" s="5">
        <v>45660</v>
      </c>
      <c r="C1957" t="s">
        <v>33</v>
      </c>
      <c r="D1957" t="s">
        <v>79</v>
      </c>
      <c r="E1957" t="s">
        <v>80</v>
      </c>
      <c r="F1957" t="s">
        <v>120</v>
      </c>
      <c r="G1957" s="6">
        <v>1982.03</v>
      </c>
      <c r="H1957" s="7">
        <v>0.2</v>
      </c>
      <c r="I1957" s="6">
        <v>396.41</v>
      </c>
      <c r="J1957" s="6">
        <v>2378.44</v>
      </c>
      <c r="K1957" t="s">
        <v>3969</v>
      </c>
      <c r="L1957" t="s">
        <v>3970</v>
      </c>
    </row>
    <row r="1958" spans="1:12" ht="15" customHeight="1" x14ac:dyDescent="0.25">
      <c r="A1958">
        <v>1957</v>
      </c>
      <c r="B1958" s="5">
        <v>45728</v>
      </c>
      <c r="C1958" t="s">
        <v>33</v>
      </c>
      <c r="D1958" t="s">
        <v>28</v>
      </c>
      <c r="E1958" t="s">
        <v>29</v>
      </c>
      <c r="F1958" t="s">
        <v>174</v>
      </c>
      <c r="G1958" s="6">
        <v>1627.96</v>
      </c>
      <c r="H1958" s="7">
        <v>2.1000000000000001E-2</v>
      </c>
      <c r="I1958" s="6">
        <v>34.19</v>
      </c>
      <c r="J1958" s="6">
        <v>1662.15</v>
      </c>
      <c r="K1958" t="s">
        <v>3971</v>
      </c>
      <c r="L1958" t="s">
        <v>3972</v>
      </c>
    </row>
    <row r="1959" spans="1:12" ht="15" customHeight="1" x14ac:dyDescent="0.25">
      <c r="A1959">
        <v>1958</v>
      </c>
      <c r="B1959" s="5">
        <v>45945</v>
      </c>
      <c r="C1959" t="s">
        <v>27</v>
      </c>
      <c r="D1959" t="s">
        <v>34</v>
      </c>
      <c r="E1959" t="s">
        <v>35</v>
      </c>
      <c r="F1959" t="s">
        <v>87</v>
      </c>
      <c r="G1959" s="6">
        <v>765.26</v>
      </c>
      <c r="H1959" s="7">
        <v>0.2</v>
      </c>
      <c r="I1959" s="6">
        <v>153.05000000000001</v>
      </c>
      <c r="J1959" s="6">
        <v>918.31</v>
      </c>
      <c r="K1959" t="s">
        <v>3973</v>
      </c>
      <c r="L1959" t="s">
        <v>3974</v>
      </c>
    </row>
    <row r="1960" spans="1:12" ht="15" customHeight="1" x14ac:dyDescent="0.25">
      <c r="A1960">
        <v>1959</v>
      </c>
      <c r="B1960" s="5">
        <v>45758</v>
      </c>
      <c r="C1960" t="s">
        <v>47</v>
      </c>
      <c r="D1960" t="s">
        <v>28</v>
      </c>
      <c r="E1960" t="s">
        <v>29</v>
      </c>
      <c r="F1960" t="s">
        <v>87</v>
      </c>
      <c r="G1960" s="6">
        <v>1989.66</v>
      </c>
      <c r="H1960" s="7">
        <v>2.1000000000000001E-2</v>
      </c>
      <c r="I1960" s="6">
        <v>41.78</v>
      </c>
      <c r="J1960" s="6">
        <v>2031.44</v>
      </c>
      <c r="K1960" t="s">
        <v>3975</v>
      </c>
      <c r="L1960" t="s">
        <v>3976</v>
      </c>
    </row>
    <row r="1961" spans="1:12" ht="15" customHeight="1" x14ac:dyDescent="0.25">
      <c r="A1961">
        <v>1960</v>
      </c>
      <c r="B1961" s="5">
        <v>45839</v>
      </c>
      <c r="C1961" t="s">
        <v>33</v>
      </c>
      <c r="D1961" t="s">
        <v>28</v>
      </c>
      <c r="E1961" t="s">
        <v>29</v>
      </c>
      <c r="F1961" t="s">
        <v>120</v>
      </c>
      <c r="G1961" s="6">
        <v>1179.3800000000001</v>
      </c>
      <c r="H1961" s="7">
        <v>2.1000000000000001E-2</v>
      </c>
      <c r="I1961" s="6">
        <v>24.77</v>
      </c>
      <c r="J1961" s="6">
        <v>1204.1500000000001</v>
      </c>
      <c r="K1961" t="s">
        <v>3977</v>
      </c>
      <c r="L1961" t="s">
        <v>3978</v>
      </c>
    </row>
    <row r="1962" spans="1:12" ht="15" customHeight="1" x14ac:dyDescent="0.25">
      <c r="A1962">
        <v>1961</v>
      </c>
      <c r="B1962" s="5">
        <v>45708</v>
      </c>
      <c r="C1962" t="s">
        <v>47</v>
      </c>
      <c r="D1962" t="s">
        <v>63</v>
      </c>
      <c r="E1962" t="s">
        <v>64</v>
      </c>
      <c r="F1962" t="s">
        <v>174</v>
      </c>
      <c r="G1962" s="6">
        <v>4027.21</v>
      </c>
      <c r="H1962" s="7">
        <v>0.2</v>
      </c>
      <c r="I1962" s="6">
        <v>805.44</v>
      </c>
      <c r="J1962" s="6">
        <v>4832.6499999999996</v>
      </c>
      <c r="K1962" t="s">
        <v>3979</v>
      </c>
      <c r="L1962" t="s">
        <v>3980</v>
      </c>
    </row>
    <row r="1963" spans="1:12" ht="15" customHeight="1" x14ac:dyDescent="0.25">
      <c r="A1963">
        <v>1962</v>
      </c>
      <c r="B1963" s="5">
        <v>45881</v>
      </c>
      <c r="C1963" t="s">
        <v>47</v>
      </c>
      <c r="D1963" t="s">
        <v>28</v>
      </c>
      <c r="E1963" t="s">
        <v>29</v>
      </c>
      <c r="F1963" t="s">
        <v>50</v>
      </c>
      <c r="G1963" s="6">
        <v>3080.84</v>
      </c>
      <c r="H1963" s="7">
        <v>2.1000000000000001E-2</v>
      </c>
      <c r="I1963" s="6">
        <v>64.7</v>
      </c>
      <c r="J1963" s="6">
        <v>3145.54</v>
      </c>
      <c r="K1963" t="s">
        <v>3981</v>
      </c>
      <c r="L1963" t="s">
        <v>3982</v>
      </c>
    </row>
    <row r="1964" spans="1:12" ht="15" customHeight="1" x14ac:dyDescent="0.25">
      <c r="A1964">
        <v>1963</v>
      </c>
      <c r="B1964" s="5">
        <v>45786</v>
      </c>
      <c r="C1964" t="s">
        <v>27</v>
      </c>
      <c r="D1964" t="s">
        <v>28</v>
      </c>
      <c r="E1964" t="s">
        <v>29</v>
      </c>
      <c r="F1964" t="s">
        <v>106</v>
      </c>
      <c r="G1964" s="6">
        <v>679.75</v>
      </c>
      <c r="H1964" s="7">
        <v>2.1000000000000001E-2</v>
      </c>
      <c r="I1964" s="6">
        <v>14.27</v>
      </c>
      <c r="J1964" s="6">
        <v>694.02</v>
      </c>
      <c r="K1964" t="s">
        <v>3983</v>
      </c>
      <c r="L1964" t="s">
        <v>3984</v>
      </c>
    </row>
    <row r="1965" spans="1:12" ht="15" customHeight="1" x14ac:dyDescent="0.25">
      <c r="A1965">
        <v>1964</v>
      </c>
      <c r="B1965" s="5">
        <v>45810</v>
      </c>
      <c r="C1965" t="s">
        <v>47</v>
      </c>
      <c r="D1965" t="s">
        <v>55</v>
      </c>
      <c r="E1965" t="s">
        <v>56</v>
      </c>
      <c r="F1965" t="s">
        <v>120</v>
      </c>
      <c r="G1965" s="6">
        <v>2584.66</v>
      </c>
      <c r="H1965" s="7">
        <v>5.5E-2</v>
      </c>
      <c r="I1965" s="6">
        <v>142.16</v>
      </c>
      <c r="J1965" s="6">
        <v>2726.82</v>
      </c>
      <c r="K1965" t="s">
        <v>3985</v>
      </c>
      <c r="L1965" t="s">
        <v>3986</v>
      </c>
    </row>
    <row r="1966" spans="1:12" ht="15" customHeight="1" x14ac:dyDescent="0.25">
      <c r="A1966">
        <v>1965</v>
      </c>
      <c r="B1966" s="5">
        <v>45881</v>
      </c>
      <c r="C1966" t="s">
        <v>27</v>
      </c>
      <c r="D1966" t="s">
        <v>28</v>
      </c>
      <c r="E1966" t="s">
        <v>29</v>
      </c>
      <c r="F1966" t="s">
        <v>106</v>
      </c>
      <c r="G1966" s="6">
        <v>504.51</v>
      </c>
      <c r="H1966" s="7">
        <v>2.1000000000000001E-2</v>
      </c>
      <c r="I1966" s="6">
        <v>10.59</v>
      </c>
      <c r="J1966" s="6">
        <v>515.1</v>
      </c>
      <c r="K1966" t="s">
        <v>3987</v>
      </c>
      <c r="L1966" t="s">
        <v>3988</v>
      </c>
    </row>
    <row r="1967" spans="1:12" ht="15" customHeight="1" x14ac:dyDescent="0.25">
      <c r="A1967">
        <v>1966</v>
      </c>
      <c r="B1967" s="5">
        <v>46008</v>
      </c>
      <c r="C1967" t="s">
        <v>27</v>
      </c>
      <c r="D1967" t="s">
        <v>55</v>
      </c>
      <c r="E1967" t="s">
        <v>56</v>
      </c>
      <c r="F1967" t="s">
        <v>76</v>
      </c>
      <c r="G1967" s="6">
        <v>3229.69</v>
      </c>
      <c r="H1967" s="7">
        <v>5.5E-2</v>
      </c>
      <c r="I1967" s="6">
        <v>177.63</v>
      </c>
      <c r="J1967" s="6">
        <v>3407.32</v>
      </c>
      <c r="K1967" t="s">
        <v>3989</v>
      </c>
      <c r="L1967" t="s">
        <v>3990</v>
      </c>
    </row>
    <row r="1968" spans="1:12" ht="15" customHeight="1" x14ac:dyDescent="0.25">
      <c r="A1968">
        <v>1967</v>
      </c>
      <c r="B1968" s="5">
        <v>45868</v>
      </c>
      <c r="C1968" t="s">
        <v>47</v>
      </c>
      <c r="D1968" t="s">
        <v>79</v>
      </c>
      <c r="E1968" t="s">
        <v>80</v>
      </c>
      <c r="F1968" t="s">
        <v>106</v>
      </c>
      <c r="G1968" s="6">
        <v>2118.88</v>
      </c>
      <c r="H1968" s="7">
        <v>0.2</v>
      </c>
      <c r="I1968" s="6">
        <v>423.78</v>
      </c>
      <c r="J1968" s="6">
        <v>2542.66</v>
      </c>
      <c r="K1968" t="s">
        <v>3991</v>
      </c>
      <c r="L1968" t="s">
        <v>3992</v>
      </c>
    </row>
    <row r="1969" spans="1:13" ht="15" customHeight="1" x14ac:dyDescent="0.25">
      <c r="A1969">
        <v>1968</v>
      </c>
      <c r="B1969" s="5">
        <v>45729</v>
      </c>
      <c r="C1969" t="s">
        <v>47</v>
      </c>
      <c r="D1969" t="s">
        <v>28</v>
      </c>
      <c r="E1969" t="s">
        <v>29</v>
      </c>
      <c r="F1969" t="s">
        <v>174</v>
      </c>
      <c r="G1969" s="6">
        <v>2799.22</v>
      </c>
      <c r="H1969" s="7">
        <v>2.1000000000000001E-2</v>
      </c>
      <c r="I1969" s="6">
        <v>58.78</v>
      </c>
      <c r="J1969" s="6">
        <v>2858</v>
      </c>
      <c r="K1969" t="s">
        <v>3993</v>
      </c>
      <c r="L1969" t="s">
        <v>3994</v>
      </c>
    </row>
    <row r="1970" spans="1:13" ht="15" customHeight="1" x14ac:dyDescent="0.25">
      <c r="A1970">
        <v>1969</v>
      </c>
      <c r="B1970" s="5">
        <v>45849</v>
      </c>
      <c r="C1970" t="s">
        <v>33</v>
      </c>
      <c r="D1970" t="s">
        <v>172</v>
      </c>
      <c r="E1970" t="s">
        <v>173</v>
      </c>
      <c r="F1970" t="s">
        <v>106</v>
      </c>
      <c r="G1970" s="6">
        <v>642.54999999999995</v>
      </c>
      <c r="H1970" s="7">
        <v>0.2</v>
      </c>
      <c r="I1970" s="6">
        <v>128.51</v>
      </c>
      <c r="J1970" s="6">
        <v>771.06</v>
      </c>
      <c r="K1970" t="s">
        <v>3995</v>
      </c>
      <c r="L1970" t="s">
        <v>3996</v>
      </c>
    </row>
    <row r="1971" spans="1:13" ht="15" customHeight="1" x14ac:dyDescent="0.25">
      <c r="A1971">
        <v>1970</v>
      </c>
      <c r="B1971" s="5">
        <v>45859</v>
      </c>
      <c r="C1971" t="s">
        <v>47</v>
      </c>
      <c r="D1971" t="s">
        <v>28</v>
      </c>
      <c r="E1971" t="s">
        <v>29</v>
      </c>
      <c r="F1971" t="s">
        <v>120</v>
      </c>
      <c r="G1971" s="6">
        <v>636.64</v>
      </c>
      <c r="H1971" s="7">
        <v>2.1000000000000001E-2</v>
      </c>
      <c r="I1971" s="6">
        <v>13.37</v>
      </c>
      <c r="J1971" s="6">
        <v>650.01</v>
      </c>
      <c r="K1971" t="s">
        <v>3997</v>
      </c>
      <c r="L1971" t="s">
        <v>3998</v>
      </c>
    </row>
    <row r="1972" spans="1:13" ht="15" customHeight="1" x14ac:dyDescent="0.25">
      <c r="A1972">
        <v>1971</v>
      </c>
      <c r="B1972" s="5">
        <v>45923</v>
      </c>
      <c r="C1972" t="s">
        <v>47</v>
      </c>
      <c r="D1972" t="s">
        <v>42</v>
      </c>
      <c r="E1972" t="s">
        <v>43</v>
      </c>
      <c r="F1972" t="s">
        <v>44</v>
      </c>
      <c r="G1972" s="6">
        <v>1930.43</v>
      </c>
      <c r="H1972" s="7">
        <v>0</v>
      </c>
      <c r="I1972" s="6">
        <v>0</v>
      </c>
      <c r="J1972" s="6">
        <v>1930.43</v>
      </c>
      <c r="K1972" t="s">
        <v>3999</v>
      </c>
      <c r="L1972" t="s">
        <v>4000</v>
      </c>
    </row>
    <row r="1973" spans="1:13" ht="15" customHeight="1" x14ac:dyDescent="0.25">
      <c r="A1973">
        <v>1972</v>
      </c>
      <c r="B1973" s="5">
        <v>45712</v>
      </c>
      <c r="C1973" t="s">
        <v>47</v>
      </c>
      <c r="D1973" t="s">
        <v>42</v>
      </c>
      <c r="E1973" t="s">
        <v>43</v>
      </c>
      <c r="F1973" t="s">
        <v>44</v>
      </c>
      <c r="G1973" s="6">
        <v>2033.76</v>
      </c>
      <c r="H1973" s="7">
        <v>0</v>
      </c>
      <c r="I1973" s="6">
        <v>0</v>
      </c>
      <c r="J1973" s="6">
        <v>2033.76</v>
      </c>
      <c r="K1973" t="s">
        <v>4001</v>
      </c>
      <c r="L1973" t="s">
        <v>4002</v>
      </c>
    </row>
    <row r="1974" spans="1:13" ht="15" customHeight="1" x14ac:dyDescent="0.25">
      <c r="A1974">
        <v>1973</v>
      </c>
      <c r="B1974" s="5">
        <v>45827</v>
      </c>
      <c r="C1974" t="s">
        <v>27</v>
      </c>
      <c r="D1974" t="s">
        <v>79</v>
      </c>
      <c r="E1974" t="s">
        <v>80</v>
      </c>
      <c r="F1974" t="s">
        <v>87</v>
      </c>
      <c r="G1974" s="6">
        <v>3900.27</v>
      </c>
      <c r="H1974" s="7">
        <v>0.2</v>
      </c>
      <c r="I1974" s="6">
        <v>780.05</v>
      </c>
      <c r="J1974" s="6">
        <v>4680.32</v>
      </c>
      <c r="K1974" t="s">
        <v>4003</v>
      </c>
      <c r="L1974" t="s">
        <v>4004</v>
      </c>
    </row>
    <row r="1975" spans="1:13" ht="15" customHeight="1" x14ac:dyDescent="0.25">
      <c r="A1975">
        <v>1974</v>
      </c>
      <c r="B1975" s="5">
        <v>45685</v>
      </c>
      <c r="C1975" t="s">
        <v>27</v>
      </c>
      <c r="D1975" t="s">
        <v>34</v>
      </c>
      <c r="E1975" t="s">
        <v>35</v>
      </c>
      <c r="F1975" t="s">
        <v>106</v>
      </c>
      <c r="G1975" s="6">
        <v>3180.95</v>
      </c>
      <c r="H1975" s="7">
        <v>0.2</v>
      </c>
      <c r="I1975" s="6">
        <v>636.19000000000005</v>
      </c>
      <c r="J1975" s="6">
        <v>3817.14</v>
      </c>
      <c r="K1975" t="s">
        <v>4005</v>
      </c>
      <c r="L1975" t="s">
        <v>4006</v>
      </c>
    </row>
    <row r="1976" spans="1:13" ht="15" customHeight="1" x14ac:dyDescent="0.25">
      <c r="A1976">
        <v>1975</v>
      </c>
      <c r="B1976" s="5">
        <v>45911</v>
      </c>
      <c r="C1976" t="s">
        <v>27</v>
      </c>
      <c r="D1976" t="s">
        <v>42</v>
      </c>
      <c r="E1976" t="s">
        <v>43</v>
      </c>
      <c r="F1976" t="s">
        <v>44</v>
      </c>
      <c r="G1976" s="6">
        <v>3948.13</v>
      </c>
      <c r="H1976" s="7">
        <v>0</v>
      </c>
      <c r="I1976" s="6">
        <v>0</v>
      </c>
      <c r="J1976" s="6">
        <v>3948.13</v>
      </c>
      <c r="K1976" t="s">
        <v>4007</v>
      </c>
      <c r="L1976" t="s">
        <v>4008</v>
      </c>
    </row>
    <row r="1977" spans="1:13" ht="15" customHeight="1" x14ac:dyDescent="0.25">
      <c r="A1977">
        <v>1976</v>
      </c>
      <c r="B1977" s="5">
        <v>45817</v>
      </c>
      <c r="C1977" t="s">
        <v>33</v>
      </c>
      <c r="D1977" t="s">
        <v>55</v>
      </c>
      <c r="E1977" t="s">
        <v>56</v>
      </c>
      <c r="F1977" t="s">
        <v>39</v>
      </c>
      <c r="G1977" s="6">
        <v>3258.61</v>
      </c>
      <c r="H1977" s="7">
        <v>5.5E-2</v>
      </c>
      <c r="I1977" s="6">
        <v>179.22</v>
      </c>
      <c r="J1977" s="6">
        <v>3437.83</v>
      </c>
      <c r="K1977" t="s">
        <v>4009</v>
      </c>
      <c r="L1977" t="s">
        <v>4010</v>
      </c>
    </row>
    <row r="1978" spans="1:13" ht="15" customHeight="1" x14ac:dyDescent="0.25">
      <c r="A1978">
        <v>1977</v>
      </c>
      <c r="B1978" s="5">
        <v>45716</v>
      </c>
      <c r="C1978" t="s">
        <v>47</v>
      </c>
      <c r="D1978" t="s">
        <v>181</v>
      </c>
      <c r="E1978" t="s">
        <v>182</v>
      </c>
      <c r="F1978" t="s">
        <v>30</v>
      </c>
      <c r="G1978" s="6">
        <v>376.77</v>
      </c>
      <c r="H1978" s="7">
        <v>0.2</v>
      </c>
      <c r="I1978" s="6">
        <v>75.349999999999994</v>
      </c>
      <c r="J1978" s="6">
        <v>452.12</v>
      </c>
      <c r="K1978" t="s">
        <v>4011</v>
      </c>
      <c r="L1978" t="s">
        <v>4012</v>
      </c>
    </row>
    <row r="1979" spans="1:13" ht="15" customHeight="1" x14ac:dyDescent="0.25">
      <c r="A1979">
        <v>1978</v>
      </c>
      <c r="B1979" s="5">
        <v>45784</v>
      </c>
      <c r="C1979" t="s">
        <v>33</v>
      </c>
      <c r="D1979" t="s">
        <v>172</v>
      </c>
      <c r="E1979" t="s">
        <v>173</v>
      </c>
      <c r="F1979" t="s">
        <v>76</v>
      </c>
      <c r="G1979" s="6">
        <v>982.98</v>
      </c>
      <c r="H1979" s="7">
        <v>0.2</v>
      </c>
      <c r="I1979" s="6">
        <v>196.6</v>
      </c>
      <c r="J1979" s="6">
        <v>1179.58</v>
      </c>
      <c r="K1979" t="s">
        <v>4013</v>
      </c>
      <c r="L1979" t="s">
        <v>4014</v>
      </c>
    </row>
    <row r="1980" spans="1:13" ht="15" customHeight="1" x14ac:dyDescent="0.25">
      <c r="A1980">
        <v>1979</v>
      </c>
      <c r="B1980" s="5">
        <v>45686</v>
      </c>
      <c r="C1980" t="s">
        <v>27</v>
      </c>
      <c r="D1980" t="s">
        <v>79</v>
      </c>
      <c r="E1980" t="s">
        <v>80</v>
      </c>
      <c r="F1980" t="s">
        <v>174</v>
      </c>
      <c r="G1980" s="6">
        <v>4173.12</v>
      </c>
      <c r="H1980" s="7">
        <v>0.2</v>
      </c>
      <c r="I1980" s="6">
        <v>834.62</v>
      </c>
      <c r="J1980" s="6">
        <v>5007.74</v>
      </c>
      <c r="K1980" t="s">
        <v>4015</v>
      </c>
      <c r="L1980" t="s">
        <v>4016</v>
      </c>
    </row>
    <row r="1981" spans="1:13" ht="15" customHeight="1" x14ac:dyDescent="0.25">
      <c r="A1981">
        <v>1980</v>
      </c>
      <c r="B1981" s="5">
        <v>45778</v>
      </c>
      <c r="C1981" t="s">
        <v>47</v>
      </c>
      <c r="D1981" t="s">
        <v>94</v>
      </c>
      <c r="E1981" t="s">
        <v>95</v>
      </c>
      <c r="F1981" t="s">
        <v>44</v>
      </c>
      <c r="G1981" s="6">
        <v>1866.8</v>
      </c>
      <c r="H1981" s="7">
        <v>0</v>
      </c>
      <c r="I1981" s="6">
        <v>0</v>
      </c>
      <c r="J1981" s="6">
        <v>1866.8</v>
      </c>
      <c r="K1981" t="s">
        <v>4017</v>
      </c>
      <c r="L1981" t="s">
        <v>4018</v>
      </c>
    </row>
    <row r="1982" spans="1:13" ht="15" customHeight="1" x14ac:dyDescent="0.25">
      <c r="A1982">
        <v>1981</v>
      </c>
      <c r="B1982" s="5">
        <v>45994</v>
      </c>
      <c r="C1982" t="s">
        <v>27</v>
      </c>
      <c r="D1982" t="s">
        <v>34</v>
      </c>
      <c r="E1982" t="s">
        <v>35</v>
      </c>
      <c r="F1982" t="s">
        <v>36</v>
      </c>
      <c r="G1982" s="6">
        <v>2807.84</v>
      </c>
      <c r="H1982" s="7">
        <v>0.2</v>
      </c>
      <c r="I1982" s="6">
        <v>561.57000000000005</v>
      </c>
      <c r="J1982" s="6">
        <v>3369.41</v>
      </c>
      <c r="K1982" t="s">
        <v>4019</v>
      </c>
      <c r="L1982" t="s">
        <v>4020</v>
      </c>
    </row>
    <row r="1983" spans="1:13" ht="15" customHeight="1" x14ac:dyDescent="0.25">
      <c r="A1983">
        <v>1982</v>
      </c>
      <c r="B1983" s="5">
        <v>45730</v>
      </c>
      <c r="C1983" t="s">
        <v>27</v>
      </c>
      <c r="D1983" t="s">
        <v>28</v>
      </c>
      <c r="E1983" t="s">
        <v>29</v>
      </c>
      <c r="F1983" t="s">
        <v>120</v>
      </c>
      <c r="G1983" s="6">
        <v>3697.99</v>
      </c>
      <c r="H1983" s="7">
        <v>2.1000000000000001E-2</v>
      </c>
      <c r="I1983" s="6">
        <v>77.66</v>
      </c>
      <c r="J1983" s="6">
        <v>3775.65</v>
      </c>
      <c r="K1983" t="s">
        <v>4021</v>
      </c>
      <c r="L1983" t="s">
        <v>4022</v>
      </c>
    </row>
    <row r="1984" spans="1:13" ht="15" customHeight="1" x14ac:dyDescent="0.25">
      <c r="A1984">
        <v>1983</v>
      </c>
      <c r="B1984" s="5">
        <v>46016</v>
      </c>
      <c r="C1984" t="s">
        <v>33</v>
      </c>
      <c r="D1984" t="s">
        <v>172</v>
      </c>
      <c r="E1984" t="s">
        <v>173</v>
      </c>
      <c r="F1984" t="s">
        <v>76</v>
      </c>
      <c r="G1984" s="6">
        <v>25522.14</v>
      </c>
      <c r="H1984" s="7">
        <v>0.2</v>
      </c>
      <c r="I1984" s="6">
        <v>5104.43</v>
      </c>
      <c r="J1984" s="6">
        <v>30626.57</v>
      </c>
      <c r="K1984" t="s">
        <v>4023</v>
      </c>
      <c r="L1984" t="s">
        <v>4024</v>
      </c>
      <c r="M1984" t="s">
        <v>580</v>
      </c>
    </row>
    <row r="1985" spans="1:12" ht="15" customHeight="1" x14ac:dyDescent="0.25">
      <c r="A1985">
        <v>1984</v>
      </c>
      <c r="B1985" s="5">
        <v>45709</v>
      </c>
      <c r="C1985" t="s">
        <v>47</v>
      </c>
      <c r="D1985" t="s">
        <v>55</v>
      </c>
      <c r="E1985" t="s">
        <v>56</v>
      </c>
      <c r="F1985" t="s">
        <v>76</v>
      </c>
      <c r="G1985" s="6">
        <v>4319.18</v>
      </c>
      <c r="H1985" s="7">
        <v>5.5E-2</v>
      </c>
      <c r="I1985" s="6">
        <v>237.55</v>
      </c>
      <c r="J1985" s="6">
        <v>4556.7299999999996</v>
      </c>
      <c r="K1985" t="s">
        <v>4025</v>
      </c>
      <c r="L1985" t="s">
        <v>4026</v>
      </c>
    </row>
    <row r="1986" spans="1:12" ht="15" customHeight="1" x14ac:dyDescent="0.25">
      <c r="A1986">
        <v>1985</v>
      </c>
      <c r="B1986" s="5">
        <v>45855</v>
      </c>
      <c r="C1986" t="s">
        <v>27</v>
      </c>
      <c r="D1986" t="s">
        <v>55</v>
      </c>
      <c r="E1986" t="s">
        <v>56</v>
      </c>
      <c r="F1986" t="s">
        <v>87</v>
      </c>
      <c r="G1986" s="6">
        <v>3163.62</v>
      </c>
      <c r="H1986" s="7">
        <v>5.5E-2</v>
      </c>
      <c r="I1986" s="6">
        <v>174</v>
      </c>
      <c r="J1986" s="6">
        <v>3337.62</v>
      </c>
      <c r="K1986" t="s">
        <v>4027</v>
      </c>
      <c r="L1986" t="s">
        <v>4028</v>
      </c>
    </row>
    <row r="1987" spans="1:12" ht="15" customHeight="1" x14ac:dyDescent="0.25">
      <c r="A1987">
        <v>1986</v>
      </c>
      <c r="B1987" s="5">
        <v>45733</v>
      </c>
      <c r="C1987" t="s">
        <v>47</v>
      </c>
      <c r="D1987" t="s">
        <v>42</v>
      </c>
      <c r="E1987" t="s">
        <v>43</v>
      </c>
      <c r="F1987" t="s">
        <v>44</v>
      </c>
      <c r="G1987" s="6">
        <v>2897</v>
      </c>
      <c r="H1987" s="7">
        <v>0</v>
      </c>
      <c r="I1987" s="6">
        <v>0</v>
      </c>
      <c r="J1987" s="6">
        <v>2897</v>
      </c>
      <c r="K1987" t="s">
        <v>4029</v>
      </c>
      <c r="L1987" t="s">
        <v>4030</v>
      </c>
    </row>
    <row r="1988" spans="1:12" ht="15" customHeight="1" x14ac:dyDescent="0.25">
      <c r="A1988">
        <v>1987</v>
      </c>
      <c r="B1988" s="5">
        <v>45813</v>
      </c>
      <c r="C1988" t="s">
        <v>47</v>
      </c>
      <c r="D1988" t="s">
        <v>28</v>
      </c>
      <c r="E1988" t="s">
        <v>29</v>
      </c>
      <c r="F1988" t="s">
        <v>120</v>
      </c>
      <c r="G1988" s="6">
        <v>230.65</v>
      </c>
      <c r="H1988" s="7">
        <v>2.1000000000000001E-2</v>
      </c>
      <c r="I1988" s="6">
        <v>4.84</v>
      </c>
      <c r="J1988" s="6">
        <v>235.49</v>
      </c>
      <c r="K1988" t="s">
        <v>4031</v>
      </c>
      <c r="L1988" t="s">
        <v>4032</v>
      </c>
    </row>
    <row r="1989" spans="1:12" ht="15" customHeight="1" x14ac:dyDescent="0.25">
      <c r="A1989">
        <v>1988</v>
      </c>
      <c r="B1989" s="5">
        <v>45839</v>
      </c>
      <c r="C1989" t="s">
        <v>27</v>
      </c>
      <c r="D1989" t="s">
        <v>79</v>
      </c>
      <c r="E1989" t="s">
        <v>80</v>
      </c>
      <c r="F1989" t="s">
        <v>76</v>
      </c>
      <c r="G1989" s="6">
        <v>4335.5600000000004</v>
      </c>
      <c r="H1989" s="7">
        <v>0.2</v>
      </c>
      <c r="I1989" s="6">
        <v>867.11</v>
      </c>
      <c r="J1989" s="6">
        <v>5202.67</v>
      </c>
      <c r="K1989" t="s">
        <v>4033</v>
      </c>
      <c r="L1989" t="s">
        <v>4034</v>
      </c>
    </row>
    <row r="1990" spans="1:12" ht="15" customHeight="1" x14ac:dyDescent="0.25">
      <c r="A1990">
        <v>1989</v>
      </c>
      <c r="B1990" s="5">
        <v>45841</v>
      </c>
      <c r="C1990" t="s">
        <v>47</v>
      </c>
      <c r="D1990" t="s">
        <v>55</v>
      </c>
      <c r="E1990" t="s">
        <v>56</v>
      </c>
      <c r="F1990" t="s">
        <v>106</v>
      </c>
      <c r="G1990" s="6">
        <v>2292.8200000000002</v>
      </c>
      <c r="H1990" s="7">
        <v>5.5E-2</v>
      </c>
      <c r="I1990" s="6">
        <v>126.11</v>
      </c>
      <c r="J1990" s="6">
        <v>2418.9299999999998</v>
      </c>
      <c r="K1990" t="s">
        <v>4035</v>
      </c>
      <c r="L1990" t="s">
        <v>4036</v>
      </c>
    </row>
    <row r="1991" spans="1:12" ht="15" customHeight="1" x14ac:dyDescent="0.25">
      <c r="A1991">
        <v>1990</v>
      </c>
      <c r="B1991" s="5">
        <v>45926</v>
      </c>
      <c r="C1991" t="s">
        <v>47</v>
      </c>
      <c r="D1991" t="s">
        <v>100</v>
      </c>
      <c r="E1991" t="s">
        <v>101</v>
      </c>
      <c r="F1991" t="s">
        <v>44</v>
      </c>
      <c r="G1991" s="6">
        <v>1950.64</v>
      </c>
      <c r="H1991" s="7">
        <v>0</v>
      </c>
      <c r="I1991" s="6">
        <v>0</v>
      </c>
      <c r="J1991" s="6">
        <v>1950.64</v>
      </c>
      <c r="K1991" t="s">
        <v>4037</v>
      </c>
      <c r="L1991" t="s">
        <v>4038</v>
      </c>
    </row>
    <row r="1992" spans="1:12" ht="15" customHeight="1" x14ac:dyDescent="0.25">
      <c r="A1992">
        <v>1991</v>
      </c>
      <c r="B1992" s="5">
        <v>45946</v>
      </c>
      <c r="C1992" t="s">
        <v>33</v>
      </c>
      <c r="D1992" t="s">
        <v>55</v>
      </c>
      <c r="E1992" t="s">
        <v>56</v>
      </c>
      <c r="F1992" t="s">
        <v>81</v>
      </c>
      <c r="G1992" s="6">
        <v>1579.67</v>
      </c>
      <c r="H1992" s="7">
        <v>5.5E-2</v>
      </c>
      <c r="I1992" s="6">
        <v>86.88</v>
      </c>
      <c r="J1992" s="6">
        <v>1666.55</v>
      </c>
      <c r="K1992" t="s">
        <v>4039</v>
      </c>
      <c r="L1992" t="s">
        <v>4040</v>
      </c>
    </row>
    <row r="1993" spans="1:12" ht="15" customHeight="1" x14ac:dyDescent="0.25">
      <c r="A1993">
        <v>1992</v>
      </c>
      <c r="B1993" s="5">
        <v>45995</v>
      </c>
      <c r="C1993" t="s">
        <v>33</v>
      </c>
      <c r="D1993" t="s">
        <v>55</v>
      </c>
      <c r="E1993" t="s">
        <v>56</v>
      </c>
      <c r="F1993" t="s">
        <v>36</v>
      </c>
      <c r="G1993" s="6">
        <v>1418.95</v>
      </c>
      <c r="H1993" s="7">
        <v>5.5E-2</v>
      </c>
      <c r="I1993" s="6">
        <v>78.040000000000006</v>
      </c>
      <c r="J1993" s="6">
        <v>1496.99</v>
      </c>
      <c r="K1993" t="s">
        <v>4041</v>
      </c>
      <c r="L1993" t="s">
        <v>4042</v>
      </c>
    </row>
    <row r="1994" spans="1:12" ht="15" customHeight="1" x14ac:dyDescent="0.25">
      <c r="A1994">
        <v>1993</v>
      </c>
      <c r="B1994" s="5">
        <v>45968</v>
      </c>
      <c r="C1994" t="s">
        <v>27</v>
      </c>
      <c r="D1994" t="s">
        <v>79</v>
      </c>
      <c r="E1994" t="s">
        <v>80</v>
      </c>
      <c r="F1994" t="s">
        <v>84</v>
      </c>
      <c r="G1994" s="6">
        <v>2992.66</v>
      </c>
      <c r="H1994" s="7">
        <v>0.2</v>
      </c>
      <c r="I1994" s="6">
        <v>598.53</v>
      </c>
      <c r="J1994" s="6">
        <v>3591.19</v>
      </c>
      <c r="K1994" t="s">
        <v>4043</v>
      </c>
      <c r="L1994" t="s">
        <v>4044</v>
      </c>
    </row>
    <row r="1995" spans="1:12" ht="15" customHeight="1" x14ac:dyDescent="0.25">
      <c r="A1995">
        <v>1994</v>
      </c>
      <c r="B1995" s="5">
        <v>45790</v>
      </c>
      <c r="C1995" t="s">
        <v>27</v>
      </c>
      <c r="D1995" t="s">
        <v>42</v>
      </c>
      <c r="E1995" t="s">
        <v>43</v>
      </c>
      <c r="F1995" t="s">
        <v>44</v>
      </c>
      <c r="G1995" s="6">
        <v>2577.7800000000002</v>
      </c>
      <c r="H1995" s="7">
        <v>0</v>
      </c>
      <c r="I1995" s="6">
        <v>0</v>
      </c>
      <c r="J1995" s="6">
        <v>2577.7800000000002</v>
      </c>
      <c r="K1995" t="s">
        <v>4045</v>
      </c>
      <c r="L1995" t="s">
        <v>4046</v>
      </c>
    </row>
    <row r="1996" spans="1:12" ht="15" customHeight="1" x14ac:dyDescent="0.25">
      <c r="A1996">
        <v>1995</v>
      </c>
      <c r="B1996" s="5">
        <v>45692</v>
      </c>
      <c r="C1996" t="s">
        <v>47</v>
      </c>
      <c r="D1996" t="s">
        <v>172</v>
      </c>
      <c r="E1996" t="s">
        <v>173</v>
      </c>
      <c r="F1996" t="s">
        <v>81</v>
      </c>
      <c r="G1996" s="6">
        <v>278.58999999999997</v>
      </c>
      <c r="H1996" s="7">
        <v>0.2</v>
      </c>
      <c r="I1996" s="6">
        <v>55.72</v>
      </c>
      <c r="J1996" s="6">
        <v>334.31</v>
      </c>
      <c r="K1996" t="s">
        <v>4047</v>
      </c>
      <c r="L1996" t="s">
        <v>4048</v>
      </c>
    </row>
    <row r="1997" spans="1:12" ht="15" customHeight="1" x14ac:dyDescent="0.25">
      <c r="A1997">
        <v>1996</v>
      </c>
      <c r="B1997" s="5">
        <v>45712</v>
      </c>
      <c r="C1997" t="s">
        <v>33</v>
      </c>
      <c r="D1997" t="s">
        <v>28</v>
      </c>
      <c r="E1997" t="s">
        <v>29</v>
      </c>
      <c r="F1997" t="s">
        <v>120</v>
      </c>
      <c r="G1997" s="6">
        <v>2287.5</v>
      </c>
      <c r="H1997" s="7">
        <v>2.1000000000000001E-2</v>
      </c>
      <c r="I1997" s="6">
        <v>48.04</v>
      </c>
      <c r="J1997" s="6">
        <v>2335.54</v>
      </c>
      <c r="K1997" t="s">
        <v>4049</v>
      </c>
      <c r="L1997" t="s">
        <v>4050</v>
      </c>
    </row>
    <row r="1998" spans="1:12" ht="15" customHeight="1" x14ac:dyDescent="0.25">
      <c r="A1998">
        <v>1997</v>
      </c>
      <c r="B1998" s="5">
        <v>45779</v>
      </c>
      <c r="C1998" t="s">
        <v>47</v>
      </c>
      <c r="D1998" t="s">
        <v>42</v>
      </c>
      <c r="E1998" t="s">
        <v>43</v>
      </c>
      <c r="F1998" t="s">
        <v>44</v>
      </c>
      <c r="G1998" s="6">
        <v>3913.81</v>
      </c>
      <c r="H1998" s="7">
        <v>0</v>
      </c>
      <c r="I1998" s="6">
        <v>0</v>
      </c>
      <c r="J1998" s="6">
        <v>3913.81</v>
      </c>
      <c r="K1998" t="s">
        <v>4051</v>
      </c>
      <c r="L1998" t="s">
        <v>4052</v>
      </c>
    </row>
    <row r="1999" spans="1:12" ht="15" customHeight="1" x14ac:dyDescent="0.25">
      <c r="A1999">
        <v>1998</v>
      </c>
      <c r="B1999" s="5">
        <v>45873</v>
      </c>
      <c r="C1999" t="s">
        <v>47</v>
      </c>
      <c r="D1999" t="s">
        <v>42</v>
      </c>
      <c r="E1999" t="s">
        <v>43</v>
      </c>
      <c r="F1999" t="s">
        <v>44</v>
      </c>
      <c r="G1999" s="6">
        <v>1948.62</v>
      </c>
      <c r="H1999" s="7">
        <v>0</v>
      </c>
      <c r="I1999" s="6">
        <v>0</v>
      </c>
      <c r="J1999" s="6">
        <v>1948.62</v>
      </c>
      <c r="K1999" t="s">
        <v>4053</v>
      </c>
      <c r="L1999" t="s">
        <v>4054</v>
      </c>
    </row>
    <row r="2000" spans="1:12" ht="15" customHeight="1" x14ac:dyDescent="0.25">
      <c r="A2000">
        <v>1999</v>
      </c>
      <c r="B2000" s="5">
        <v>45695</v>
      </c>
      <c r="C2000" t="s">
        <v>33</v>
      </c>
      <c r="D2000" t="s">
        <v>28</v>
      </c>
      <c r="E2000" t="s">
        <v>29</v>
      </c>
      <c r="F2000" t="s">
        <v>50</v>
      </c>
      <c r="G2000" s="6">
        <v>2031.56</v>
      </c>
      <c r="H2000" s="7">
        <v>2.1000000000000001E-2</v>
      </c>
      <c r="I2000" s="6">
        <v>42.66</v>
      </c>
      <c r="J2000" s="6">
        <v>2074.2199999999998</v>
      </c>
      <c r="K2000" t="s">
        <v>4055</v>
      </c>
      <c r="L2000" t="s">
        <v>4056</v>
      </c>
    </row>
    <row r="2001" spans="1:13" ht="15" customHeight="1" x14ac:dyDescent="0.25">
      <c r="A2001">
        <v>2000</v>
      </c>
      <c r="B2001" s="5">
        <v>45747</v>
      </c>
      <c r="C2001" t="s">
        <v>27</v>
      </c>
      <c r="D2001" t="s">
        <v>42</v>
      </c>
      <c r="E2001" t="s">
        <v>43</v>
      </c>
      <c r="F2001" t="s">
        <v>44</v>
      </c>
      <c r="G2001" s="6">
        <v>3476.94</v>
      </c>
      <c r="H2001" s="7">
        <v>0</v>
      </c>
      <c r="I2001" s="6">
        <v>0</v>
      </c>
      <c r="J2001" s="6">
        <v>3476.94</v>
      </c>
      <c r="K2001" t="s">
        <v>4057</v>
      </c>
      <c r="L2001" t="s">
        <v>4058</v>
      </c>
    </row>
    <row r="2002" spans="1:13" ht="15" customHeight="1" x14ac:dyDescent="0.25">
      <c r="A2002">
        <v>2001</v>
      </c>
      <c r="B2002" s="5">
        <v>45951</v>
      </c>
      <c r="C2002" t="s">
        <v>33</v>
      </c>
      <c r="D2002" t="s">
        <v>94</v>
      </c>
      <c r="E2002" t="s">
        <v>95</v>
      </c>
      <c r="F2002" t="s">
        <v>44</v>
      </c>
      <c r="G2002" s="6">
        <v>989.29</v>
      </c>
      <c r="H2002" s="7">
        <v>0</v>
      </c>
      <c r="I2002" s="6">
        <v>0</v>
      </c>
      <c r="J2002" s="6">
        <v>989.29</v>
      </c>
      <c r="K2002" t="s">
        <v>4059</v>
      </c>
      <c r="L2002" t="s">
        <v>4060</v>
      </c>
    </row>
    <row r="2003" spans="1:13" ht="15" customHeight="1" x14ac:dyDescent="0.25">
      <c r="A2003">
        <v>2002</v>
      </c>
      <c r="B2003" s="5">
        <v>45761</v>
      </c>
      <c r="C2003" t="s">
        <v>47</v>
      </c>
      <c r="D2003" t="s">
        <v>34</v>
      </c>
      <c r="E2003" t="s">
        <v>35</v>
      </c>
      <c r="F2003" t="s">
        <v>36</v>
      </c>
      <c r="G2003" s="6">
        <v>3360.32</v>
      </c>
      <c r="H2003" s="7">
        <v>0.2</v>
      </c>
      <c r="I2003" s="6">
        <v>672.06</v>
      </c>
      <c r="J2003" s="6">
        <v>4032.38</v>
      </c>
      <c r="K2003" t="s">
        <v>4061</v>
      </c>
      <c r="L2003" t="s">
        <v>4062</v>
      </c>
    </row>
    <row r="2004" spans="1:13" ht="15" customHeight="1" x14ac:dyDescent="0.25">
      <c r="A2004">
        <v>2003</v>
      </c>
      <c r="B2004" s="5">
        <v>45756</v>
      </c>
      <c r="C2004" t="s">
        <v>27</v>
      </c>
      <c r="D2004" t="s">
        <v>42</v>
      </c>
      <c r="E2004" t="s">
        <v>43</v>
      </c>
      <c r="F2004" t="s">
        <v>44</v>
      </c>
      <c r="G2004" s="6">
        <v>1858.18</v>
      </c>
      <c r="H2004" s="7">
        <v>0</v>
      </c>
      <c r="I2004" s="6">
        <v>0</v>
      </c>
      <c r="J2004" s="6">
        <v>1858.18</v>
      </c>
      <c r="K2004" t="s">
        <v>4063</v>
      </c>
      <c r="L2004" t="s">
        <v>4064</v>
      </c>
    </row>
    <row r="2005" spans="1:13" ht="15" customHeight="1" x14ac:dyDescent="0.25">
      <c r="A2005">
        <v>2004</v>
      </c>
      <c r="B2005" s="5">
        <v>45729</v>
      </c>
      <c r="C2005" t="s">
        <v>33</v>
      </c>
      <c r="D2005" t="s">
        <v>28</v>
      </c>
      <c r="E2005" t="s">
        <v>29</v>
      </c>
      <c r="F2005" t="s">
        <v>50</v>
      </c>
      <c r="G2005" s="6">
        <v>4028.35</v>
      </c>
      <c r="H2005" s="7">
        <v>2.1000000000000001E-2</v>
      </c>
      <c r="I2005" s="6">
        <v>84.6</v>
      </c>
      <c r="J2005" s="6">
        <v>4112.95</v>
      </c>
      <c r="K2005" t="s">
        <v>4065</v>
      </c>
      <c r="L2005" t="s">
        <v>4066</v>
      </c>
    </row>
    <row r="2006" spans="1:13" ht="15" customHeight="1" x14ac:dyDescent="0.25">
      <c r="A2006">
        <v>2005</v>
      </c>
      <c r="B2006" s="5">
        <v>46037</v>
      </c>
      <c r="C2006" t="s">
        <v>47</v>
      </c>
      <c r="D2006" t="s">
        <v>172</v>
      </c>
      <c r="E2006" t="s">
        <v>173</v>
      </c>
      <c r="F2006" t="s">
        <v>120</v>
      </c>
      <c r="G2006" s="6">
        <v>1585.94</v>
      </c>
      <c r="H2006" s="7">
        <v>0.2</v>
      </c>
      <c r="I2006" s="6">
        <v>317.19</v>
      </c>
      <c r="J2006" s="6">
        <v>1903.13</v>
      </c>
      <c r="K2006" t="s">
        <v>4067</v>
      </c>
      <c r="L2006" t="s">
        <v>4068</v>
      </c>
      <c r="M2006" t="s">
        <v>1282</v>
      </c>
    </row>
    <row r="2007" spans="1:13" ht="15" customHeight="1" x14ac:dyDescent="0.25">
      <c r="A2007">
        <v>2006</v>
      </c>
      <c r="B2007" s="5">
        <v>45912</v>
      </c>
      <c r="C2007" t="s">
        <v>27</v>
      </c>
      <c r="D2007" t="s">
        <v>181</v>
      </c>
      <c r="E2007" t="s">
        <v>182</v>
      </c>
      <c r="F2007" t="s">
        <v>71</v>
      </c>
      <c r="G2007" s="6">
        <v>920.41</v>
      </c>
      <c r="H2007" s="7">
        <v>0.2</v>
      </c>
      <c r="I2007" s="6">
        <v>184.08</v>
      </c>
      <c r="J2007" s="6">
        <v>1104.49</v>
      </c>
      <c r="K2007" t="s">
        <v>4069</v>
      </c>
      <c r="L2007" t="s">
        <v>4070</v>
      </c>
    </row>
    <row r="2008" spans="1:13" ht="15" customHeight="1" x14ac:dyDescent="0.25">
      <c r="A2008">
        <v>2007</v>
      </c>
      <c r="B2008" s="5">
        <v>45840</v>
      </c>
      <c r="C2008" t="s">
        <v>47</v>
      </c>
      <c r="D2008" t="s">
        <v>79</v>
      </c>
      <c r="E2008" t="s">
        <v>80</v>
      </c>
      <c r="F2008" t="s">
        <v>106</v>
      </c>
      <c r="G2008" s="6">
        <v>2813.68</v>
      </c>
      <c r="H2008" s="7">
        <v>0.2</v>
      </c>
      <c r="I2008" s="6">
        <v>562.74</v>
      </c>
      <c r="J2008" s="6">
        <v>3376.42</v>
      </c>
      <c r="K2008" t="s">
        <v>4071</v>
      </c>
      <c r="L2008" t="s">
        <v>4072</v>
      </c>
    </row>
    <row r="2009" spans="1:13" ht="15" customHeight="1" x14ac:dyDescent="0.25">
      <c r="A2009">
        <v>2008</v>
      </c>
      <c r="B2009" s="5">
        <v>45882</v>
      </c>
      <c r="C2009" t="s">
        <v>33</v>
      </c>
      <c r="D2009" t="s">
        <v>42</v>
      </c>
      <c r="E2009" t="s">
        <v>43</v>
      </c>
      <c r="F2009" t="s">
        <v>44</v>
      </c>
      <c r="G2009" s="6">
        <v>2702.68</v>
      </c>
      <c r="H2009" s="7">
        <v>0</v>
      </c>
      <c r="I2009" s="6">
        <v>0</v>
      </c>
      <c r="J2009" s="6">
        <v>2702.68</v>
      </c>
      <c r="K2009" t="s">
        <v>4073</v>
      </c>
      <c r="L2009" t="s">
        <v>4074</v>
      </c>
    </row>
    <row r="2010" spans="1:13" ht="15" customHeight="1" x14ac:dyDescent="0.25">
      <c r="A2010">
        <v>2009</v>
      </c>
      <c r="B2010" s="5">
        <v>45922</v>
      </c>
      <c r="C2010" t="s">
        <v>27</v>
      </c>
      <c r="D2010" t="s">
        <v>28</v>
      </c>
      <c r="E2010" t="s">
        <v>29</v>
      </c>
      <c r="F2010" t="s">
        <v>87</v>
      </c>
      <c r="G2010" s="6">
        <v>1398.16</v>
      </c>
      <c r="H2010" s="7">
        <v>2.1000000000000001E-2</v>
      </c>
      <c r="I2010" s="6">
        <v>29.36</v>
      </c>
      <c r="J2010" s="6">
        <v>1427.52</v>
      </c>
      <c r="K2010" t="s">
        <v>4075</v>
      </c>
      <c r="L2010" t="s">
        <v>4076</v>
      </c>
    </row>
    <row r="2011" spans="1:13" ht="15" customHeight="1" x14ac:dyDescent="0.25">
      <c r="A2011">
        <v>2010</v>
      </c>
      <c r="B2011" s="5">
        <v>45827</v>
      </c>
      <c r="C2011" t="s">
        <v>33</v>
      </c>
      <c r="D2011" t="s">
        <v>28</v>
      </c>
      <c r="E2011" t="s">
        <v>29</v>
      </c>
      <c r="F2011" t="s">
        <v>174</v>
      </c>
      <c r="G2011" s="6">
        <v>179.64</v>
      </c>
      <c r="H2011" s="7">
        <v>2.1000000000000001E-2</v>
      </c>
      <c r="I2011" s="6">
        <v>3.77</v>
      </c>
      <c r="J2011" s="6">
        <v>183.41</v>
      </c>
      <c r="K2011" t="s">
        <v>4077</v>
      </c>
      <c r="L2011" t="s">
        <v>4078</v>
      </c>
    </row>
    <row r="2012" spans="1:13" ht="15" customHeight="1" x14ac:dyDescent="0.25">
      <c r="A2012">
        <v>2011</v>
      </c>
      <c r="B2012" s="5">
        <v>45841</v>
      </c>
      <c r="C2012" t="s">
        <v>47</v>
      </c>
      <c r="D2012" t="s">
        <v>63</v>
      </c>
      <c r="E2012" t="s">
        <v>64</v>
      </c>
      <c r="F2012" t="s">
        <v>30</v>
      </c>
      <c r="G2012" s="6">
        <v>380.35</v>
      </c>
      <c r="H2012" s="7">
        <v>0.2</v>
      </c>
      <c r="I2012" s="6">
        <v>76.069999999999993</v>
      </c>
      <c r="J2012" s="6">
        <v>456.42</v>
      </c>
      <c r="K2012" t="s">
        <v>4079</v>
      </c>
      <c r="L2012" t="s">
        <v>4080</v>
      </c>
    </row>
    <row r="2013" spans="1:13" ht="15" customHeight="1" x14ac:dyDescent="0.25">
      <c r="A2013">
        <v>2012</v>
      </c>
      <c r="B2013" s="5">
        <v>45923</v>
      </c>
      <c r="C2013" t="s">
        <v>33</v>
      </c>
      <c r="D2013" t="s">
        <v>172</v>
      </c>
      <c r="E2013" t="s">
        <v>173</v>
      </c>
      <c r="F2013" t="s">
        <v>106</v>
      </c>
      <c r="G2013" s="6">
        <v>4198.6000000000004</v>
      </c>
      <c r="H2013" s="7">
        <v>0.2</v>
      </c>
      <c r="I2013" s="6">
        <v>839.72</v>
      </c>
      <c r="J2013" s="6">
        <v>5038.32</v>
      </c>
      <c r="K2013" t="s">
        <v>4081</v>
      </c>
      <c r="L2013" t="s">
        <v>4082</v>
      </c>
    </row>
    <row r="2014" spans="1:13" ht="15" customHeight="1" x14ac:dyDescent="0.25">
      <c r="A2014">
        <v>2013</v>
      </c>
      <c r="B2014" s="5">
        <v>45937</v>
      </c>
      <c r="C2014" t="s">
        <v>47</v>
      </c>
      <c r="D2014" t="s">
        <v>181</v>
      </c>
      <c r="E2014" t="s">
        <v>182</v>
      </c>
      <c r="F2014" t="s">
        <v>87</v>
      </c>
      <c r="G2014" s="6">
        <v>3163.03</v>
      </c>
      <c r="H2014" s="7">
        <v>0.2</v>
      </c>
      <c r="I2014" s="6">
        <v>632.61</v>
      </c>
      <c r="J2014" s="6">
        <v>3795.64</v>
      </c>
      <c r="K2014" t="s">
        <v>4083</v>
      </c>
      <c r="L2014" t="s">
        <v>4084</v>
      </c>
    </row>
    <row r="2015" spans="1:13" ht="15" customHeight="1" x14ac:dyDescent="0.25">
      <c r="A2015">
        <v>2014</v>
      </c>
      <c r="B2015" s="5">
        <v>45792</v>
      </c>
      <c r="C2015" t="s">
        <v>47</v>
      </c>
      <c r="D2015" t="s">
        <v>100</v>
      </c>
      <c r="E2015" t="s">
        <v>101</v>
      </c>
      <c r="F2015" t="s">
        <v>44</v>
      </c>
      <c r="G2015" s="6">
        <v>1877.46</v>
      </c>
      <c r="H2015" s="7">
        <v>0</v>
      </c>
      <c r="I2015" s="6">
        <v>0</v>
      </c>
      <c r="J2015" s="6">
        <v>1877.46</v>
      </c>
      <c r="K2015" t="s">
        <v>4085</v>
      </c>
      <c r="L2015" t="s">
        <v>4086</v>
      </c>
    </row>
    <row r="2016" spans="1:13" ht="15" customHeight="1" x14ac:dyDescent="0.25">
      <c r="A2016">
        <v>2015</v>
      </c>
      <c r="B2016" s="5">
        <v>45688</v>
      </c>
      <c r="C2016" t="s">
        <v>47</v>
      </c>
      <c r="D2016" t="s">
        <v>28</v>
      </c>
      <c r="E2016" t="s">
        <v>29</v>
      </c>
      <c r="F2016" t="s">
        <v>106</v>
      </c>
      <c r="G2016" s="6">
        <v>695.66</v>
      </c>
      <c r="H2016" s="7">
        <v>2.1000000000000001E-2</v>
      </c>
      <c r="I2016" s="6">
        <v>14.61</v>
      </c>
      <c r="J2016" s="6">
        <v>710.27</v>
      </c>
      <c r="K2016" t="s">
        <v>4087</v>
      </c>
      <c r="L2016" t="s">
        <v>4088</v>
      </c>
    </row>
    <row r="2017" spans="1:12" ht="15" customHeight="1" x14ac:dyDescent="0.25">
      <c r="A2017">
        <v>2016</v>
      </c>
      <c r="B2017" s="5">
        <v>45778</v>
      </c>
      <c r="C2017" t="s">
        <v>27</v>
      </c>
      <c r="D2017" t="s">
        <v>55</v>
      </c>
      <c r="E2017" t="s">
        <v>56</v>
      </c>
      <c r="F2017" t="s">
        <v>84</v>
      </c>
      <c r="G2017" s="6">
        <v>2261.5100000000002</v>
      </c>
      <c r="H2017" s="7">
        <v>5.5E-2</v>
      </c>
      <c r="I2017" s="6">
        <v>124.38</v>
      </c>
      <c r="J2017" s="6">
        <v>2385.89</v>
      </c>
      <c r="K2017" t="s">
        <v>4089</v>
      </c>
      <c r="L2017" t="s">
        <v>4090</v>
      </c>
    </row>
    <row r="2018" spans="1:12" ht="15" customHeight="1" x14ac:dyDescent="0.25">
      <c r="A2018">
        <v>2017</v>
      </c>
      <c r="B2018" s="5">
        <v>45835</v>
      </c>
      <c r="C2018" t="s">
        <v>27</v>
      </c>
      <c r="D2018" t="s">
        <v>42</v>
      </c>
      <c r="E2018" t="s">
        <v>43</v>
      </c>
      <c r="F2018" t="s">
        <v>44</v>
      </c>
      <c r="G2018" s="6">
        <v>4079.78</v>
      </c>
      <c r="H2018" s="7">
        <v>0</v>
      </c>
      <c r="I2018" s="6">
        <v>0</v>
      </c>
      <c r="J2018" s="6">
        <v>4079.78</v>
      </c>
      <c r="K2018" t="s">
        <v>4091</v>
      </c>
      <c r="L2018" t="s">
        <v>4092</v>
      </c>
    </row>
    <row r="2019" spans="1:12" ht="15" customHeight="1" x14ac:dyDescent="0.25">
      <c r="A2019">
        <v>2018</v>
      </c>
      <c r="B2019" s="5">
        <v>45699</v>
      </c>
      <c r="C2019" t="s">
        <v>27</v>
      </c>
      <c r="D2019" t="s">
        <v>181</v>
      </c>
      <c r="E2019" t="s">
        <v>182</v>
      </c>
      <c r="F2019" t="s">
        <v>76</v>
      </c>
      <c r="G2019" s="6">
        <v>4002.83</v>
      </c>
      <c r="H2019" s="7">
        <v>0.2</v>
      </c>
      <c r="I2019" s="6">
        <v>800.57</v>
      </c>
      <c r="J2019" s="6">
        <v>4803.3999999999996</v>
      </c>
      <c r="K2019" t="s">
        <v>4093</v>
      </c>
      <c r="L2019" t="s">
        <v>4094</v>
      </c>
    </row>
    <row r="2020" spans="1:12" ht="15" customHeight="1" x14ac:dyDescent="0.25">
      <c r="A2020">
        <v>2019</v>
      </c>
      <c r="B2020" s="5">
        <v>45912</v>
      </c>
      <c r="C2020" t="s">
        <v>47</v>
      </c>
      <c r="D2020" t="s">
        <v>42</v>
      </c>
      <c r="E2020" t="s">
        <v>43</v>
      </c>
      <c r="F2020" t="s">
        <v>44</v>
      </c>
      <c r="G2020" s="6">
        <v>3360.81</v>
      </c>
      <c r="H2020" s="7">
        <v>0</v>
      </c>
      <c r="I2020" s="6">
        <v>0</v>
      </c>
      <c r="J2020" s="6">
        <v>3360.81</v>
      </c>
      <c r="K2020" t="s">
        <v>4095</v>
      </c>
      <c r="L2020" t="s">
        <v>4096</v>
      </c>
    </row>
    <row r="2021" spans="1:12" ht="15" customHeight="1" x14ac:dyDescent="0.25">
      <c r="A2021">
        <v>2020</v>
      </c>
      <c r="B2021" s="5">
        <v>45686</v>
      </c>
      <c r="C2021" t="s">
        <v>47</v>
      </c>
      <c r="D2021" t="s">
        <v>55</v>
      </c>
      <c r="E2021" t="s">
        <v>56</v>
      </c>
      <c r="F2021" t="s">
        <v>71</v>
      </c>
      <c r="G2021" s="6">
        <v>196.48</v>
      </c>
      <c r="H2021" s="7">
        <v>5.5E-2</v>
      </c>
      <c r="I2021" s="6">
        <v>10.81</v>
      </c>
      <c r="J2021" s="6">
        <v>207.29</v>
      </c>
      <c r="K2021" t="s">
        <v>4097</v>
      </c>
      <c r="L2021" t="s">
        <v>4098</v>
      </c>
    </row>
    <row r="2022" spans="1:12" ht="15" customHeight="1" x14ac:dyDescent="0.25">
      <c r="A2022">
        <v>2021</v>
      </c>
      <c r="B2022" s="5">
        <v>46007</v>
      </c>
      <c r="C2022" t="s">
        <v>27</v>
      </c>
      <c r="D2022" t="s">
        <v>42</v>
      </c>
      <c r="E2022" t="s">
        <v>43</v>
      </c>
      <c r="F2022" t="s">
        <v>44</v>
      </c>
      <c r="G2022" s="6">
        <v>1843.43</v>
      </c>
      <c r="H2022" s="7">
        <v>0</v>
      </c>
      <c r="I2022" s="6">
        <v>0</v>
      </c>
      <c r="J2022" s="6">
        <v>1843.43</v>
      </c>
      <c r="K2022" t="s">
        <v>4099</v>
      </c>
      <c r="L2022" t="s">
        <v>4100</v>
      </c>
    </row>
    <row r="2023" spans="1:12" ht="15" customHeight="1" x14ac:dyDescent="0.25">
      <c r="A2023">
        <v>2022</v>
      </c>
      <c r="B2023" s="5">
        <v>46014</v>
      </c>
      <c r="C2023" t="s">
        <v>33</v>
      </c>
      <c r="D2023" t="s">
        <v>63</v>
      </c>
      <c r="E2023" t="s">
        <v>64</v>
      </c>
      <c r="F2023" t="s">
        <v>81</v>
      </c>
      <c r="G2023" s="6">
        <v>633.54999999999995</v>
      </c>
      <c r="H2023" s="7">
        <v>0.2</v>
      </c>
      <c r="I2023" s="6">
        <v>126.71</v>
      </c>
      <c r="J2023" s="6">
        <v>760.26</v>
      </c>
      <c r="K2023" t="s">
        <v>4101</v>
      </c>
      <c r="L2023" t="s">
        <v>4102</v>
      </c>
    </row>
    <row r="2024" spans="1:12" ht="15" customHeight="1" x14ac:dyDescent="0.25">
      <c r="A2024">
        <v>2023</v>
      </c>
      <c r="B2024" s="5">
        <v>45882</v>
      </c>
      <c r="C2024" t="s">
        <v>27</v>
      </c>
      <c r="D2024" t="s">
        <v>28</v>
      </c>
      <c r="E2024" t="s">
        <v>29</v>
      </c>
      <c r="F2024" t="s">
        <v>84</v>
      </c>
      <c r="G2024" s="6">
        <v>601.53</v>
      </c>
      <c r="H2024" s="7">
        <v>2.1000000000000001E-2</v>
      </c>
      <c r="I2024" s="6">
        <v>12.63</v>
      </c>
      <c r="J2024" s="6">
        <v>614.16</v>
      </c>
      <c r="K2024" t="s">
        <v>4103</v>
      </c>
      <c r="L2024" t="s">
        <v>4104</v>
      </c>
    </row>
    <row r="2025" spans="1:12" ht="15" customHeight="1" x14ac:dyDescent="0.25">
      <c r="A2025">
        <v>2024</v>
      </c>
      <c r="B2025" s="5">
        <v>45881</v>
      </c>
      <c r="C2025" t="s">
        <v>47</v>
      </c>
      <c r="D2025" t="s">
        <v>28</v>
      </c>
      <c r="E2025" t="s">
        <v>29</v>
      </c>
      <c r="F2025" t="s">
        <v>71</v>
      </c>
      <c r="G2025" s="6">
        <v>4137.8599999999997</v>
      </c>
      <c r="H2025" s="7">
        <v>2.1000000000000001E-2</v>
      </c>
      <c r="I2025" s="6">
        <v>86.9</v>
      </c>
      <c r="J2025" s="6">
        <v>4224.76</v>
      </c>
      <c r="K2025" t="s">
        <v>4105</v>
      </c>
      <c r="L2025" t="s">
        <v>4106</v>
      </c>
    </row>
    <row r="2026" spans="1:12" ht="15" customHeight="1" x14ac:dyDescent="0.25">
      <c r="A2026">
        <v>2025</v>
      </c>
      <c r="B2026" s="5">
        <v>45869</v>
      </c>
      <c r="C2026" t="s">
        <v>33</v>
      </c>
      <c r="D2026" t="s">
        <v>172</v>
      </c>
      <c r="E2026" t="s">
        <v>173</v>
      </c>
      <c r="F2026" t="s">
        <v>106</v>
      </c>
      <c r="G2026" s="6">
        <v>3383.84</v>
      </c>
      <c r="H2026" s="7">
        <v>0.2</v>
      </c>
      <c r="I2026" s="6">
        <v>676.77</v>
      </c>
      <c r="J2026" s="6">
        <v>4060.61</v>
      </c>
      <c r="K2026" t="s">
        <v>4107</v>
      </c>
      <c r="L2026" t="s">
        <v>4108</v>
      </c>
    </row>
    <row r="2027" spans="1:12" ht="15" customHeight="1" x14ac:dyDescent="0.25">
      <c r="A2027">
        <v>2026</v>
      </c>
      <c r="B2027" s="5">
        <v>45665</v>
      </c>
      <c r="C2027" t="s">
        <v>33</v>
      </c>
      <c r="D2027" t="s">
        <v>94</v>
      </c>
      <c r="E2027" t="s">
        <v>95</v>
      </c>
      <c r="F2027" t="s">
        <v>44</v>
      </c>
      <c r="G2027" s="6">
        <v>1124.81</v>
      </c>
      <c r="H2027" s="7">
        <v>0</v>
      </c>
      <c r="I2027" s="6">
        <v>0</v>
      </c>
      <c r="J2027" s="6">
        <v>1124.81</v>
      </c>
      <c r="K2027" t="s">
        <v>4109</v>
      </c>
      <c r="L2027" t="s">
        <v>4110</v>
      </c>
    </row>
    <row r="2028" spans="1:12" ht="15" customHeight="1" x14ac:dyDescent="0.25">
      <c r="A2028">
        <v>2027</v>
      </c>
      <c r="B2028" s="5">
        <v>45882</v>
      </c>
      <c r="C2028" t="s">
        <v>33</v>
      </c>
      <c r="D2028" t="s">
        <v>28</v>
      </c>
      <c r="E2028" t="s">
        <v>29</v>
      </c>
      <c r="F2028" t="s">
        <v>39</v>
      </c>
      <c r="G2028" s="6">
        <v>878.22</v>
      </c>
      <c r="H2028" s="7">
        <v>2.1000000000000001E-2</v>
      </c>
      <c r="I2028" s="6">
        <v>18.440000000000001</v>
      </c>
      <c r="J2028" s="6">
        <v>896.66</v>
      </c>
      <c r="K2028" t="s">
        <v>4111</v>
      </c>
      <c r="L2028" t="s">
        <v>4112</v>
      </c>
    </row>
    <row r="2029" spans="1:12" ht="15" customHeight="1" x14ac:dyDescent="0.25">
      <c r="A2029">
        <v>2028</v>
      </c>
      <c r="B2029" s="5">
        <v>45783</v>
      </c>
      <c r="C2029" t="s">
        <v>47</v>
      </c>
      <c r="D2029" t="s">
        <v>172</v>
      </c>
      <c r="E2029" t="s">
        <v>173</v>
      </c>
      <c r="F2029" t="s">
        <v>30</v>
      </c>
      <c r="G2029" s="6">
        <v>4491.55</v>
      </c>
      <c r="H2029" s="7">
        <v>0.2</v>
      </c>
      <c r="I2029" s="6">
        <v>898.31</v>
      </c>
      <c r="J2029" s="6">
        <v>5389.86</v>
      </c>
      <c r="K2029" t="s">
        <v>4113</v>
      </c>
      <c r="L2029" t="s">
        <v>4114</v>
      </c>
    </row>
    <row r="2030" spans="1:12" ht="15" customHeight="1" x14ac:dyDescent="0.25">
      <c r="A2030">
        <v>2029</v>
      </c>
      <c r="B2030" s="5">
        <v>45720</v>
      </c>
      <c r="C2030" t="s">
        <v>47</v>
      </c>
      <c r="D2030" t="s">
        <v>79</v>
      </c>
      <c r="E2030" t="s">
        <v>80</v>
      </c>
      <c r="F2030" t="s">
        <v>87</v>
      </c>
      <c r="G2030" s="6">
        <v>2982.13</v>
      </c>
      <c r="H2030" s="7">
        <v>0.2</v>
      </c>
      <c r="I2030" s="6">
        <v>596.42999999999995</v>
      </c>
      <c r="J2030" s="6">
        <v>3578.56</v>
      </c>
      <c r="K2030" t="s">
        <v>4115</v>
      </c>
      <c r="L2030" t="s">
        <v>4116</v>
      </c>
    </row>
    <row r="2031" spans="1:12" ht="15" customHeight="1" x14ac:dyDescent="0.25">
      <c r="A2031">
        <v>2030</v>
      </c>
      <c r="B2031" s="5">
        <v>45840</v>
      </c>
      <c r="C2031" t="s">
        <v>27</v>
      </c>
      <c r="D2031" t="s">
        <v>28</v>
      </c>
      <c r="E2031" t="s">
        <v>29</v>
      </c>
      <c r="F2031" t="s">
        <v>71</v>
      </c>
      <c r="G2031" s="6">
        <v>4047.57</v>
      </c>
      <c r="H2031" s="7">
        <v>2.1000000000000001E-2</v>
      </c>
      <c r="I2031" s="6">
        <v>85</v>
      </c>
      <c r="J2031" s="6">
        <v>4132.57</v>
      </c>
      <c r="K2031" t="s">
        <v>4117</v>
      </c>
      <c r="L2031" t="s">
        <v>4118</v>
      </c>
    </row>
    <row r="2032" spans="1:12" ht="15" customHeight="1" x14ac:dyDescent="0.25">
      <c r="A2032">
        <v>2031</v>
      </c>
      <c r="B2032" s="5">
        <v>45845</v>
      </c>
      <c r="C2032" t="s">
        <v>27</v>
      </c>
      <c r="D2032" t="s">
        <v>55</v>
      </c>
      <c r="E2032" t="s">
        <v>56</v>
      </c>
      <c r="F2032" t="s">
        <v>174</v>
      </c>
      <c r="G2032" s="6">
        <v>3528.52</v>
      </c>
      <c r="H2032" s="7">
        <v>5.5E-2</v>
      </c>
      <c r="I2032" s="6">
        <v>194.07</v>
      </c>
      <c r="J2032" s="6">
        <v>3722.59</v>
      </c>
      <c r="K2032" t="s">
        <v>4119</v>
      </c>
      <c r="L2032" t="s">
        <v>4120</v>
      </c>
    </row>
    <row r="2033" spans="1:13" ht="15" customHeight="1" x14ac:dyDescent="0.25">
      <c r="A2033">
        <v>2032</v>
      </c>
      <c r="B2033" s="5">
        <v>45821</v>
      </c>
      <c r="C2033" t="s">
        <v>33</v>
      </c>
      <c r="D2033" t="s">
        <v>172</v>
      </c>
      <c r="E2033" t="s">
        <v>173</v>
      </c>
      <c r="F2033" t="s">
        <v>106</v>
      </c>
      <c r="G2033" s="6">
        <v>12000</v>
      </c>
      <c r="H2033" s="7">
        <v>0.2</v>
      </c>
      <c r="I2033" s="6">
        <v>2400</v>
      </c>
      <c r="J2033" s="6">
        <v>14400</v>
      </c>
      <c r="K2033" t="s">
        <v>4121</v>
      </c>
      <c r="L2033" t="s">
        <v>4122</v>
      </c>
      <c r="M2033" t="s">
        <v>143</v>
      </c>
    </row>
    <row r="2034" spans="1:13" ht="15" customHeight="1" x14ac:dyDescent="0.25">
      <c r="A2034">
        <v>2033</v>
      </c>
      <c r="B2034" s="5">
        <v>45868</v>
      </c>
      <c r="C2034" t="s">
        <v>33</v>
      </c>
      <c r="D2034" t="s">
        <v>55</v>
      </c>
      <c r="E2034" t="s">
        <v>56</v>
      </c>
      <c r="F2034" t="s">
        <v>84</v>
      </c>
      <c r="G2034" s="6">
        <v>3198.32</v>
      </c>
      <c r="H2034" s="7">
        <v>5.5E-2</v>
      </c>
      <c r="I2034" s="6">
        <v>175.91</v>
      </c>
      <c r="J2034" s="6">
        <v>3374.23</v>
      </c>
      <c r="K2034" t="s">
        <v>4123</v>
      </c>
      <c r="L2034" t="s">
        <v>4124</v>
      </c>
    </row>
    <row r="2035" spans="1:13" ht="15" customHeight="1" x14ac:dyDescent="0.25">
      <c r="A2035">
        <v>2034</v>
      </c>
      <c r="B2035" s="5">
        <v>45728</v>
      </c>
      <c r="C2035" t="s">
        <v>47</v>
      </c>
      <c r="D2035" t="s">
        <v>28</v>
      </c>
      <c r="E2035" t="s">
        <v>29</v>
      </c>
      <c r="F2035" t="s">
        <v>106</v>
      </c>
      <c r="G2035" s="6">
        <v>3799.1</v>
      </c>
      <c r="H2035" s="7">
        <v>2.1000000000000001E-2</v>
      </c>
      <c r="I2035" s="6">
        <v>79.78</v>
      </c>
      <c r="J2035" s="6">
        <v>3878.88</v>
      </c>
      <c r="K2035" t="s">
        <v>4125</v>
      </c>
      <c r="L2035" t="s">
        <v>4126</v>
      </c>
    </row>
    <row r="2036" spans="1:13" ht="15" customHeight="1" x14ac:dyDescent="0.25">
      <c r="A2036">
        <v>2035</v>
      </c>
      <c r="B2036" s="5">
        <v>45765</v>
      </c>
      <c r="C2036" t="s">
        <v>47</v>
      </c>
      <c r="D2036" t="s">
        <v>42</v>
      </c>
      <c r="E2036" t="s">
        <v>43</v>
      </c>
      <c r="F2036" t="s">
        <v>44</v>
      </c>
      <c r="G2036" s="6">
        <v>3539.79</v>
      </c>
      <c r="H2036" s="7">
        <v>0</v>
      </c>
      <c r="I2036" s="6">
        <v>0</v>
      </c>
      <c r="J2036" s="6">
        <v>3539.79</v>
      </c>
      <c r="K2036" t="s">
        <v>4127</v>
      </c>
      <c r="L2036" t="s">
        <v>4128</v>
      </c>
    </row>
    <row r="2037" spans="1:13" ht="15" customHeight="1" x14ac:dyDescent="0.25">
      <c r="A2037">
        <v>2036</v>
      </c>
      <c r="B2037" s="5">
        <v>45778</v>
      </c>
      <c r="C2037" t="s">
        <v>33</v>
      </c>
      <c r="D2037" t="s">
        <v>28</v>
      </c>
      <c r="E2037" t="s">
        <v>29</v>
      </c>
      <c r="F2037" t="s">
        <v>120</v>
      </c>
      <c r="G2037" s="6">
        <v>3166.67</v>
      </c>
      <c r="H2037" s="7">
        <v>2.1000000000000001E-2</v>
      </c>
      <c r="I2037" s="6">
        <v>66.5</v>
      </c>
      <c r="J2037" s="6">
        <v>3233.17</v>
      </c>
      <c r="K2037" t="s">
        <v>4129</v>
      </c>
      <c r="L2037" t="s">
        <v>4130</v>
      </c>
    </row>
    <row r="2038" spans="1:13" ht="15" customHeight="1" x14ac:dyDescent="0.25">
      <c r="A2038">
        <v>2037</v>
      </c>
      <c r="B2038" s="5">
        <v>45796</v>
      </c>
      <c r="C2038" t="s">
        <v>47</v>
      </c>
      <c r="D2038" t="s">
        <v>100</v>
      </c>
      <c r="E2038" t="s">
        <v>101</v>
      </c>
      <c r="F2038" t="s">
        <v>44</v>
      </c>
      <c r="G2038" s="6">
        <v>2722.02</v>
      </c>
      <c r="H2038" s="7">
        <v>0</v>
      </c>
      <c r="I2038" s="6">
        <v>0</v>
      </c>
      <c r="J2038" s="6">
        <v>2722.02</v>
      </c>
      <c r="K2038" t="s">
        <v>4131</v>
      </c>
      <c r="L2038" t="s">
        <v>4132</v>
      </c>
    </row>
    <row r="2039" spans="1:13" ht="15" customHeight="1" x14ac:dyDescent="0.25">
      <c r="A2039">
        <v>2038</v>
      </c>
      <c r="B2039" s="5">
        <v>45854</v>
      </c>
      <c r="C2039" t="s">
        <v>33</v>
      </c>
      <c r="D2039" t="s">
        <v>28</v>
      </c>
      <c r="E2039" t="s">
        <v>29</v>
      </c>
      <c r="F2039" t="s">
        <v>36</v>
      </c>
      <c r="G2039" s="6">
        <v>2269.48</v>
      </c>
      <c r="H2039" s="7">
        <v>2.1000000000000001E-2</v>
      </c>
      <c r="I2039" s="6">
        <v>47.66</v>
      </c>
      <c r="J2039" s="6">
        <v>2317.14</v>
      </c>
      <c r="K2039" t="s">
        <v>4133</v>
      </c>
      <c r="L2039" t="s">
        <v>4134</v>
      </c>
    </row>
    <row r="2040" spans="1:13" ht="15" customHeight="1" x14ac:dyDescent="0.25">
      <c r="A2040">
        <v>2039</v>
      </c>
      <c r="B2040" s="5">
        <v>45763</v>
      </c>
      <c r="C2040" t="s">
        <v>47</v>
      </c>
      <c r="D2040" t="s">
        <v>28</v>
      </c>
      <c r="E2040" t="s">
        <v>29</v>
      </c>
      <c r="F2040" t="s">
        <v>120</v>
      </c>
      <c r="G2040" s="6">
        <v>1756.63</v>
      </c>
      <c r="H2040" s="7">
        <v>2.1000000000000001E-2</v>
      </c>
      <c r="I2040" s="6">
        <v>36.89</v>
      </c>
      <c r="J2040" s="6">
        <v>1793.52</v>
      </c>
      <c r="K2040" t="s">
        <v>4135</v>
      </c>
      <c r="L2040" t="s">
        <v>4136</v>
      </c>
    </row>
    <row r="2041" spans="1:13" ht="15" customHeight="1" x14ac:dyDescent="0.25">
      <c r="A2041">
        <v>2040</v>
      </c>
      <c r="B2041" s="5">
        <v>45814</v>
      </c>
      <c r="C2041" t="s">
        <v>27</v>
      </c>
      <c r="D2041" t="s">
        <v>28</v>
      </c>
      <c r="E2041" t="s">
        <v>29</v>
      </c>
      <c r="F2041" t="s">
        <v>50</v>
      </c>
      <c r="G2041" s="6">
        <v>218.37</v>
      </c>
      <c r="H2041" s="7">
        <v>2.1000000000000001E-2</v>
      </c>
      <c r="I2041" s="6">
        <v>4.59</v>
      </c>
      <c r="J2041" s="6">
        <v>222.96</v>
      </c>
      <c r="K2041" t="s">
        <v>4137</v>
      </c>
      <c r="L2041" t="s">
        <v>4138</v>
      </c>
    </row>
    <row r="2042" spans="1:13" ht="15" customHeight="1" x14ac:dyDescent="0.25">
      <c r="A2042">
        <v>2041</v>
      </c>
      <c r="B2042" s="5">
        <v>45792</v>
      </c>
      <c r="C2042" t="s">
        <v>27</v>
      </c>
      <c r="D2042" t="s">
        <v>42</v>
      </c>
      <c r="E2042" t="s">
        <v>43</v>
      </c>
      <c r="F2042" t="s">
        <v>44</v>
      </c>
      <c r="G2042" s="6">
        <v>3218.3</v>
      </c>
      <c r="H2042" s="7">
        <v>0</v>
      </c>
      <c r="I2042" s="6">
        <v>0</v>
      </c>
      <c r="J2042" s="6">
        <v>3218.3</v>
      </c>
      <c r="K2042" t="s">
        <v>4139</v>
      </c>
      <c r="L2042" t="s">
        <v>4140</v>
      </c>
    </row>
    <row r="2043" spans="1:13" ht="15" customHeight="1" x14ac:dyDescent="0.25">
      <c r="A2043">
        <v>2042</v>
      </c>
      <c r="B2043" s="5">
        <v>45880</v>
      </c>
      <c r="C2043" t="s">
        <v>33</v>
      </c>
      <c r="D2043" t="s">
        <v>55</v>
      </c>
      <c r="E2043" t="s">
        <v>56</v>
      </c>
      <c r="F2043" t="s">
        <v>81</v>
      </c>
      <c r="G2043" s="6">
        <v>3906.58</v>
      </c>
      <c r="H2043" s="7">
        <v>5.5E-2</v>
      </c>
      <c r="I2043" s="6">
        <v>214.86</v>
      </c>
      <c r="J2043" s="6">
        <v>4121.4399999999996</v>
      </c>
      <c r="K2043" t="s">
        <v>4141</v>
      </c>
      <c r="L2043" t="s">
        <v>4142</v>
      </c>
    </row>
    <row r="2044" spans="1:13" ht="15" customHeight="1" x14ac:dyDescent="0.25">
      <c r="A2044">
        <v>2043</v>
      </c>
      <c r="B2044" s="5">
        <v>45856</v>
      </c>
      <c r="C2044" t="s">
        <v>33</v>
      </c>
      <c r="D2044" t="s">
        <v>42</v>
      </c>
      <c r="E2044" t="s">
        <v>43</v>
      </c>
      <c r="F2044" t="s">
        <v>44</v>
      </c>
      <c r="G2044" s="6">
        <v>4037.93</v>
      </c>
      <c r="H2044" s="7">
        <v>0</v>
      </c>
      <c r="I2044" s="6">
        <v>0</v>
      </c>
      <c r="J2044" s="6">
        <v>4037.93</v>
      </c>
      <c r="K2044" t="s">
        <v>4143</v>
      </c>
      <c r="L2044" t="s">
        <v>4144</v>
      </c>
    </row>
    <row r="2045" spans="1:13" ht="15" customHeight="1" x14ac:dyDescent="0.25">
      <c r="A2045">
        <v>2044</v>
      </c>
      <c r="B2045" s="5">
        <v>45951</v>
      </c>
      <c r="C2045" t="s">
        <v>27</v>
      </c>
      <c r="D2045" t="s">
        <v>79</v>
      </c>
      <c r="E2045" t="s">
        <v>80</v>
      </c>
      <c r="F2045" t="s">
        <v>106</v>
      </c>
      <c r="G2045" s="6">
        <v>3258.95</v>
      </c>
      <c r="H2045" s="7">
        <v>0.2</v>
      </c>
      <c r="I2045" s="6">
        <v>651.79</v>
      </c>
      <c r="J2045" s="6">
        <v>3910.74</v>
      </c>
      <c r="K2045" t="s">
        <v>4145</v>
      </c>
      <c r="L2045" t="s">
        <v>4146</v>
      </c>
    </row>
    <row r="2046" spans="1:13" ht="15" customHeight="1" x14ac:dyDescent="0.25">
      <c r="A2046">
        <v>2045</v>
      </c>
      <c r="B2046" s="5">
        <v>45897</v>
      </c>
      <c r="C2046" t="s">
        <v>33</v>
      </c>
      <c r="D2046" t="s">
        <v>94</v>
      </c>
      <c r="E2046" t="s">
        <v>95</v>
      </c>
      <c r="F2046" t="s">
        <v>44</v>
      </c>
      <c r="G2046" s="6">
        <v>2811.65</v>
      </c>
      <c r="H2046" s="7">
        <v>0</v>
      </c>
      <c r="I2046" s="6">
        <v>0</v>
      </c>
      <c r="J2046" s="6">
        <v>2811.65</v>
      </c>
      <c r="K2046" t="s">
        <v>4147</v>
      </c>
      <c r="L2046" t="s">
        <v>4148</v>
      </c>
    </row>
    <row r="2047" spans="1:13" ht="15" customHeight="1" x14ac:dyDescent="0.25">
      <c r="A2047">
        <v>2046</v>
      </c>
      <c r="B2047" s="5">
        <v>46007</v>
      </c>
      <c r="C2047" t="s">
        <v>33</v>
      </c>
      <c r="D2047" t="s">
        <v>55</v>
      </c>
      <c r="E2047" t="s">
        <v>56</v>
      </c>
      <c r="F2047" t="s">
        <v>87</v>
      </c>
      <c r="G2047" s="6">
        <v>4283.28</v>
      </c>
      <c r="H2047" s="7">
        <v>5.5E-2</v>
      </c>
      <c r="I2047" s="6">
        <v>235.58</v>
      </c>
      <c r="J2047" s="6">
        <v>4518.8599999999997</v>
      </c>
      <c r="K2047" t="s">
        <v>4149</v>
      </c>
      <c r="L2047" t="s">
        <v>4150</v>
      </c>
    </row>
    <row r="2048" spans="1:13" ht="15" customHeight="1" x14ac:dyDescent="0.25">
      <c r="A2048">
        <v>2047</v>
      </c>
      <c r="B2048" s="5">
        <v>45950</v>
      </c>
      <c r="C2048" t="s">
        <v>27</v>
      </c>
      <c r="D2048" t="s">
        <v>55</v>
      </c>
      <c r="E2048" t="s">
        <v>56</v>
      </c>
      <c r="F2048" t="s">
        <v>84</v>
      </c>
      <c r="G2048" s="6">
        <v>1824.14</v>
      </c>
      <c r="H2048" s="7">
        <v>5.5E-2</v>
      </c>
      <c r="I2048" s="6">
        <v>100.33</v>
      </c>
      <c r="J2048" s="6">
        <v>1924.47</v>
      </c>
      <c r="K2048" t="s">
        <v>4151</v>
      </c>
      <c r="L2048" t="s">
        <v>4152</v>
      </c>
    </row>
    <row r="2049" spans="1:12" ht="15" customHeight="1" x14ac:dyDescent="0.25">
      <c r="A2049">
        <v>2048</v>
      </c>
      <c r="B2049" s="5">
        <v>45786</v>
      </c>
      <c r="C2049" t="s">
        <v>47</v>
      </c>
      <c r="D2049" t="s">
        <v>55</v>
      </c>
      <c r="E2049" t="s">
        <v>56</v>
      </c>
      <c r="F2049" t="s">
        <v>84</v>
      </c>
      <c r="G2049" s="6">
        <v>3538.32</v>
      </c>
      <c r="H2049" s="7">
        <v>5.5E-2</v>
      </c>
      <c r="I2049" s="6">
        <v>194.61</v>
      </c>
      <c r="J2049" s="6">
        <v>3732.93</v>
      </c>
      <c r="K2049" t="s">
        <v>4153</v>
      </c>
      <c r="L2049" t="s">
        <v>4154</v>
      </c>
    </row>
    <row r="2050" spans="1:12" ht="15" customHeight="1" x14ac:dyDescent="0.25">
      <c r="A2050">
        <v>2049</v>
      </c>
      <c r="B2050" s="5">
        <v>45996</v>
      </c>
      <c r="C2050" t="s">
        <v>33</v>
      </c>
      <c r="D2050" t="s">
        <v>55</v>
      </c>
      <c r="E2050" t="s">
        <v>56</v>
      </c>
      <c r="F2050" t="s">
        <v>174</v>
      </c>
      <c r="G2050" s="6">
        <v>1498.77</v>
      </c>
      <c r="H2050" s="7">
        <v>5.5E-2</v>
      </c>
      <c r="I2050" s="6">
        <v>82.43</v>
      </c>
      <c r="J2050" s="6">
        <v>1581.2</v>
      </c>
      <c r="K2050" t="s">
        <v>4155</v>
      </c>
      <c r="L2050" t="s">
        <v>4156</v>
      </c>
    </row>
    <row r="2051" spans="1:12" ht="15" customHeight="1" x14ac:dyDescent="0.25">
      <c r="A2051">
        <v>2050</v>
      </c>
      <c r="B2051" s="5">
        <v>45666</v>
      </c>
      <c r="C2051" t="s">
        <v>33</v>
      </c>
      <c r="D2051" t="s">
        <v>79</v>
      </c>
      <c r="E2051" t="s">
        <v>80</v>
      </c>
      <c r="F2051" t="s">
        <v>76</v>
      </c>
      <c r="G2051" s="6">
        <v>2024.4</v>
      </c>
      <c r="H2051" s="7">
        <v>0.2</v>
      </c>
      <c r="I2051" s="6">
        <v>404.88</v>
      </c>
      <c r="J2051" s="6">
        <v>2429.2800000000002</v>
      </c>
      <c r="K2051" t="s">
        <v>4157</v>
      </c>
      <c r="L2051" t="s">
        <v>4158</v>
      </c>
    </row>
    <row r="2052" spans="1:12" ht="15" customHeight="1" x14ac:dyDescent="0.25">
      <c r="A2052">
        <v>2051</v>
      </c>
      <c r="B2052" s="5">
        <v>45769</v>
      </c>
      <c r="C2052" t="s">
        <v>47</v>
      </c>
      <c r="D2052" t="s">
        <v>79</v>
      </c>
      <c r="E2052" t="s">
        <v>80</v>
      </c>
      <c r="F2052" t="s">
        <v>84</v>
      </c>
      <c r="G2052" s="6">
        <v>1886.06</v>
      </c>
      <c r="H2052" s="7">
        <v>0.2</v>
      </c>
      <c r="I2052" s="6">
        <v>377.21</v>
      </c>
      <c r="J2052" s="6">
        <v>2263.27</v>
      </c>
      <c r="K2052" t="s">
        <v>4159</v>
      </c>
      <c r="L2052" t="s">
        <v>4160</v>
      </c>
    </row>
    <row r="2053" spans="1:12" ht="15" customHeight="1" x14ac:dyDescent="0.25">
      <c r="A2053">
        <v>2052</v>
      </c>
      <c r="B2053" s="5">
        <v>45940</v>
      </c>
      <c r="C2053" t="s">
        <v>47</v>
      </c>
      <c r="D2053" t="s">
        <v>100</v>
      </c>
      <c r="E2053" t="s">
        <v>101</v>
      </c>
      <c r="F2053" t="s">
        <v>44</v>
      </c>
      <c r="G2053" s="6">
        <v>1953.7</v>
      </c>
      <c r="H2053" s="7">
        <v>0</v>
      </c>
      <c r="I2053" s="6">
        <v>0</v>
      </c>
      <c r="J2053" s="6">
        <v>1953.7</v>
      </c>
      <c r="K2053" t="s">
        <v>4161</v>
      </c>
      <c r="L2053" t="s">
        <v>4162</v>
      </c>
    </row>
    <row r="2054" spans="1:12" ht="15" customHeight="1" x14ac:dyDescent="0.25">
      <c r="A2054">
        <v>2053</v>
      </c>
      <c r="B2054" s="5">
        <v>45799</v>
      </c>
      <c r="C2054" t="s">
        <v>47</v>
      </c>
      <c r="D2054" t="s">
        <v>42</v>
      </c>
      <c r="E2054" t="s">
        <v>43</v>
      </c>
      <c r="F2054" t="s">
        <v>44</v>
      </c>
      <c r="G2054" s="6">
        <v>2987.83</v>
      </c>
      <c r="H2054" s="7">
        <v>0</v>
      </c>
      <c r="I2054" s="6">
        <v>0</v>
      </c>
      <c r="J2054" s="6">
        <v>2987.83</v>
      </c>
      <c r="K2054" t="s">
        <v>4163</v>
      </c>
      <c r="L2054" t="s">
        <v>4164</v>
      </c>
    </row>
    <row r="2055" spans="1:12" ht="15" customHeight="1" x14ac:dyDescent="0.25">
      <c r="A2055">
        <v>2054</v>
      </c>
      <c r="B2055" s="5">
        <v>45974</v>
      </c>
      <c r="C2055" t="s">
        <v>27</v>
      </c>
      <c r="D2055" t="s">
        <v>28</v>
      </c>
      <c r="E2055" t="s">
        <v>29</v>
      </c>
      <c r="F2055" t="s">
        <v>71</v>
      </c>
      <c r="G2055" s="6">
        <v>2979.42</v>
      </c>
      <c r="H2055" s="7">
        <v>2.1000000000000001E-2</v>
      </c>
      <c r="I2055" s="6">
        <v>62.57</v>
      </c>
      <c r="J2055" s="6">
        <v>3041.99</v>
      </c>
      <c r="K2055" t="s">
        <v>4165</v>
      </c>
      <c r="L2055" t="s">
        <v>4166</v>
      </c>
    </row>
    <row r="2056" spans="1:12" ht="15" customHeight="1" x14ac:dyDescent="0.25">
      <c r="A2056">
        <v>2055</v>
      </c>
      <c r="B2056" s="5">
        <v>46008</v>
      </c>
      <c r="C2056" t="s">
        <v>27</v>
      </c>
      <c r="D2056" t="s">
        <v>28</v>
      </c>
      <c r="E2056" t="s">
        <v>29</v>
      </c>
      <c r="F2056" t="s">
        <v>76</v>
      </c>
      <c r="G2056" s="6">
        <v>2319.6999999999998</v>
      </c>
      <c r="H2056" s="7">
        <v>2.1000000000000001E-2</v>
      </c>
      <c r="I2056" s="6">
        <v>48.71</v>
      </c>
      <c r="J2056" s="6">
        <v>2368.41</v>
      </c>
      <c r="K2056" t="s">
        <v>4167</v>
      </c>
      <c r="L2056" t="s">
        <v>4168</v>
      </c>
    </row>
    <row r="2057" spans="1:12" ht="15" customHeight="1" x14ac:dyDescent="0.25">
      <c r="A2057">
        <v>2056</v>
      </c>
      <c r="B2057" s="5">
        <v>45790</v>
      </c>
      <c r="C2057" t="s">
        <v>47</v>
      </c>
      <c r="D2057" t="s">
        <v>28</v>
      </c>
      <c r="E2057" t="s">
        <v>29</v>
      </c>
      <c r="F2057" t="s">
        <v>39</v>
      </c>
      <c r="G2057" s="6">
        <v>4390.75</v>
      </c>
      <c r="H2057" s="7">
        <v>2.1000000000000001E-2</v>
      </c>
      <c r="I2057" s="6">
        <v>92.21</v>
      </c>
      <c r="J2057" s="6">
        <v>4482.96</v>
      </c>
      <c r="K2057" t="s">
        <v>4169</v>
      </c>
      <c r="L2057" t="s">
        <v>4170</v>
      </c>
    </row>
    <row r="2058" spans="1:12" ht="15" customHeight="1" x14ac:dyDescent="0.25">
      <c r="A2058">
        <v>2057</v>
      </c>
      <c r="B2058" s="5">
        <v>45680</v>
      </c>
      <c r="C2058" t="s">
        <v>47</v>
      </c>
      <c r="D2058" t="s">
        <v>172</v>
      </c>
      <c r="E2058" t="s">
        <v>173</v>
      </c>
      <c r="F2058" t="s">
        <v>50</v>
      </c>
      <c r="G2058" s="6">
        <v>2734.56</v>
      </c>
      <c r="H2058" s="7">
        <v>0.2</v>
      </c>
      <c r="I2058" s="6">
        <v>546.91</v>
      </c>
      <c r="J2058" s="6">
        <v>3281.47</v>
      </c>
      <c r="K2058" t="s">
        <v>4171</v>
      </c>
      <c r="L2058" t="s">
        <v>4172</v>
      </c>
    </row>
    <row r="2059" spans="1:12" ht="15" customHeight="1" x14ac:dyDescent="0.25">
      <c r="A2059">
        <v>2058</v>
      </c>
      <c r="B2059" s="5">
        <v>45715</v>
      </c>
      <c r="C2059" t="s">
        <v>33</v>
      </c>
      <c r="D2059" t="s">
        <v>79</v>
      </c>
      <c r="E2059" t="s">
        <v>80</v>
      </c>
      <c r="F2059" t="s">
        <v>71</v>
      </c>
      <c r="G2059" s="6">
        <v>2338.7800000000002</v>
      </c>
      <c r="H2059" s="7">
        <v>0.2</v>
      </c>
      <c r="I2059" s="6">
        <v>467.76</v>
      </c>
      <c r="J2059" s="6">
        <v>2806.54</v>
      </c>
      <c r="K2059" t="s">
        <v>4173</v>
      </c>
      <c r="L2059" t="s">
        <v>4174</v>
      </c>
    </row>
    <row r="2060" spans="1:12" ht="15" customHeight="1" x14ac:dyDescent="0.25">
      <c r="A2060">
        <v>2059</v>
      </c>
      <c r="B2060" s="5">
        <v>46006</v>
      </c>
      <c r="C2060" t="s">
        <v>47</v>
      </c>
      <c r="D2060" t="s">
        <v>172</v>
      </c>
      <c r="E2060" t="s">
        <v>173</v>
      </c>
      <c r="F2060" t="s">
        <v>120</v>
      </c>
      <c r="G2060" s="6">
        <v>1918.59</v>
      </c>
      <c r="H2060" s="7">
        <v>0.2</v>
      </c>
      <c r="I2060" s="6">
        <v>383.72</v>
      </c>
      <c r="J2060" s="6">
        <v>2302.31</v>
      </c>
      <c r="K2060" t="s">
        <v>4175</v>
      </c>
      <c r="L2060" t="s">
        <v>4176</v>
      </c>
    </row>
    <row r="2061" spans="1:12" ht="15" customHeight="1" x14ac:dyDescent="0.25">
      <c r="A2061">
        <v>2060</v>
      </c>
      <c r="B2061" s="5">
        <v>45825</v>
      </c>
      <c r="C2061" t="s">
        <v>47</v>
      </c>
      <c r="D2061" t="s">
        <v>28</v>
      </c>
      <c r="E2061" t="s">
        <v>29</v>
      </c>
      <c r="F2061" t="s">
        <v>50</v>
      </c>
      <c r="G2061" s="6">
        <v>2762.79</v>
      </c>
      <c r="H2061" s="7">
        <v>2.1000000000000001E-2</v>
      </c>
      <c r="I2061" s="6">
        <v>58.02</v>
      </c>
      <c r="J2061" s="6">
        <v>2820.81</v>
      </c>
      <c r="K2061" t="s">
        <v>4177</v>
      </c>
      <c r="L2061" t="s">
        <v>4178</v>
      </c>
    </row>
    <row r="2062" spans="1:12" ht="15" customHeight="1" x14ac:dyDescent="0.25">
      <c r="A2062">
        <v>2061</v>
      </c>
      <c r="B2062" s="5">
        <v>45849</v>
      </c>
      <c r="C2062" t="s">
        <v>47</v>
      </c>
      <c r="D2062" t="s">
        <v>100</v>
      </c>
      <c r="E2062" t="s">
        <v>101</v>
      </c>
      <c r="F2062" t="s">
        <v>44</v>
      </c>
      <c r="G2062" s="6">
        <v>4136.3999999999996</v>
      </c>
      <c r="H2062" s="7">
        <v>0</v>
      </c>
      <c r="I2062" s="6">
        <v>0</v>
      </c>
      <c r="J2062" s="6">
        <v>4136.3999999999996</v>
      </c>
      <c r="K2062" t="s">
        <v>4179</v>
      </c>
      <c r="L2062" t="s">
        <v>4180</v>
      </c>
    </row>
    <row r="2063" spans="1:12" ht="15" customHeight="1" x14ac:dyDescent="0.25">
      <c r="A2063">
        <v>2062</v>
      </c>
      <c r="B2063" s="5">
        <v>45680</v>
      </c>
      <c r="C2063" t="s">
        <v>33</v>
      </c>
      <c r="D2063" t="s">
        <v>28</v>
      </c>
      <c r="E2063" t="s">
        <v>29</v>
      </c>
      <c r="F2063" t="s">
        <v>30</v>
      </c>
      <c r="G2063" s="6">
        <v>1365.66</v>
      </c>
      <c r="H2063" s="7">
        <v>2.1000000000000001E-2</v>
      </c>
      <c r="I2063" s="6">
        <v>28.68</v>
      </c>
      <c r="J2063" s="6">
        <v>1394.34</v>
      </c>
      <c r="K2063" t="s">
        <v>4181</v>
      </c>
      <c r="L2063" t="s">
        <v>4182</v>
      </c>
    </row>
    <row r="2064" spans="1:12" ht="15" customHeight="1" x14ac:dyDescent="0.25">
      <c r="A2064">
        <v>2063</v>
      </c>
      <c r="B2064" s="5">
        <v>45818</v>
      </c>
      <c r="C2064" t="s">
        <v>33</v>
      </c>
      <c r="D2064" t="s">
        <v>28</v>
      </c>
      <c r="E2064" t="s">
        <v>29</v>
      </c>
      <c r="F2064" t="s">
        <v>81</v>
      </c>
      <c r="G2064" s="6">
        <v>2337.7199999999998</v>
      </c>
      <c r="H2064" s="7">
        <v>2.1000000000000001E-2</v>
      </c>
      <c r="I2064" s="6">
        <v>49.09</v>
      </c>
      <c r="J2064" s="6">
        <v>2386.81</v>
      </c>
      <c r="K2064" t="s">
        <v>4183</v>
      </c>
      <c r="L2064" t="s">
        <v>4184</v>
      </c>
    </row>
    <row r="2065" spans="1:13" ht="15" customHeight="1" x14ac:dyDescent="0.25">
      <c r="A2065">
        <v>2064</v>
      </c>
      <c r="B2065" s="5">
        <v>45768</v>
      </c>
      <c r="C2065" t="s">
        <v>27</v>
      </c>
      <c r="D2065" t="s">
        <v>42</v>
      </c>
      <c r="E2065" t="s">
        <v>43</v>
      </c>
      <c r="F2065" t="s">
        <v>44</v>
      </c>
      <c r="G2065" s="6">
        <v>3198.45</v>
      </c>
      <c r="H2065" s="7">
        <v>0</v>
      </c>
      <c r="I2065" s="6">
        <v>0</v>
      </c>
      <c r="J2065" s="6">
        <v>3198.45</v>
      </c>
      <c r="K2065" t="s">
        <v>4185</v>
      </c>
      <c r="L2065" t="s">
        <v>4186</v>
      </c>
    </row>
    <row r="2066" spans="1:13" ht="15" customHeight="1" x14ac:dyDescent="0.25">
      <c r="A2066">
        <v>2065</v>
      </c>
      <c r="B2066" s="5">
        <v>45698</v>
      </c>
      <c r="C2066" t="s">
        <v>27</v>
      </c>
      <c r="D2066" t="s">
        <v>28</v>
      </c>
      <c r="E2066" t="s">
        <v>29</v>
      </c>
      <c r="F2066" t="s">
        <v>71</v>
      </c>
      <c r="G2066" s="6">
        <v>4301.8900000000003</v>
      </c>
      <c r="H2066" s="7">
        <v>2.1000000000000001E-2</v>
      </c>
      <c r="I2066" s="6">
        <v>90.34</v>
      </c>
      <c r="J2066" s="6">
        <v>4392.2299999999996</v>
      </c>
      <c r="K2066" t="s">
        <v>4187</v>
      </c>
      <c r="L2066" t="s">
        <v>4188</v>
      </c>
    </row>
    <row r="2067" spans="1:13" ht="15" customHeight="1" x14ac:dyDescent="0.25">
      <c r="A2067">
        <v>2066</v>
      </c>
      <c r="B2067" s="5">
        <v>46035</v>
      </c>
      <c r="C2067" t="s">
        <v>27</v>
      </c>
      <c r="D2067" t="s">
        <v>94</v>
      </c>
      <c r="E2067" t="s">
        <v>95</v>
      </c>
      <c r="F2067" t="s">
        <v>44</v>
      </c>
      <c r="G2067" s="6">
        <v>1545.2</v>
      </c>
      <c r="H2067" s="7">
        <v>0</v>
      </c>
      <c r="I2067" s="6">
        <v>0</v>
      </c>
      <c r="J2067" s="6">
        <v>1545.2</v>
      </c>
      <c r="K2067" t="s">
        <v>4189</v>
      </c>
      <c r="L2067" t="s">
        <v>4190</v>
      </c>
      <c r="M2067" t="s">
        <v>1282</v>
      </c>
    </row>
    <row r="2068" spans="1:13" ht="15" customHeight="1" x14ac:dyDescent="0.25">
      <c r="A2068">
        <v>2067</v>
      </c>
      <c r="B2068" s="5">
        <v>45684</v>
      </c>
      <c r="C2068" t="s">
        <v>33</v>
      </c>
      <c r="D2068" t="s">
        <v>42</v>
      </c>
      <c r="E2068" t="s">
        <v>43</v>
      </c>
      <c r="F2068" t="s">
        <v>44</v>
      </c>
      <c r="G2068" s="6">
        <v>3382.07</v>
      </c>
      <c r="H2068" s="7">
        <v>0</v>
      </c>
      <c r="I2068" s="6">
        <v>0</v>
      </c>
      <c r="J2068" s="6">
        <v>3382.07</v>
      </c>
      <c r="K2068" t="s">
        <v>4191</v>
      </c>
      <c r="L2068" t="s">
        <v>4192</v>
      </c>
    </row>
    <row r="2069" spans="1:13" ht="15" customHeight="1" x14ac:dyDescent="0.25">
      <c r="A2069">
        <v>2068</v>
      </c>
      <c r="B2069" s="5">
        <v>45757</v>
      </c>
      <c r="C2069" t="s">
        <v>47</v>
      </c>
      <c r="D2069" t="s">
        <v>55</v>
      </c>
      <c r="E2069" t="s">
        <v>56</v>
      </c>
      <c r="F2069" t="s">
        <v>174</v>
      </c>
      <c r="G2069" s="6">
        <v>3775.16</v>
      </c>
      <c r="H2069" s="7">
        <v>5.5E-2</v>
      </c>
      <c r="I2069" s="6">
        <v>207.63</v>
      </c>
      <c r="J2069" s="6">
        <v>3982.79</v>
      </c>
      <c r="K2069" t="s">
        <v>4193</v>
      </c>
      <c r="L2069" t="s">
        <v>4194</v>
      </c>
    </row>
    <row r="2070" spans="1:13" ht="15" customHeight="1" x14ac:dyDescent="0.25">
      <c r="A2070">
        <v>2069</v>
      </c>
      <c r="B2070" s="5">
        <v>45776</v>
      </c>
      <c r="C2070" t="s">
        <v>47</v>
      </c>
      <c r="D2070" t="s">
        <v>55</v>
      </c>
      <c r="E2070" t="s">
        <v>56</v>
      </c>
      <c r="F2070" t="s">
        <v>81</v>
      </c>
      <c r="G2070" s="6">
        <v>2094.73</v>
      </c>
      <c r="H2070" s="7">
        <v>5.5E-2</v>
      </c>
      <c r="I2070" s="6">
        <v>115.21</v>
      </c>
      <c r="J2070" s="6">
        <v>2209.94</v>
      </c>
      <c r="K2070" t="s">
        <v>4195</v>
      </c>
      <c r="L2070" t="s">
        <v>4196</v>
      </c>
    </row>
    <row r="2071" spans="1:13" ht="15" customHeight="1" x14ac:dyDescent="0.25">
      <c r="A2071">
        <v>2070</v>
      </c>
      <c r="B2071" s="5">
        <v>45867</v>
      </c>
      <c r="C2071" t="s">
        <v>27</v>
      </c>
      <c r="D2071" t="s">
        <v>55</v>
      </c>
      <c r="E2071" t="s">
        <v>56</v>
      </c>
      <c r="F2071" t="s">
        <v>65</v>
      </c>
      <c r="G2071" s="6">
        <v>1679.51</v>
      </c>
      <c r="H2071" s="7">
        <v>5.5E-2</v>
      </c>
      <c r="I2071" s="6">
        <v>92.37</v>
      </c>
      <c r="J2071" s="6">
        <v>1771.88</v>
      </c>
      <c r="K2071" t="s">
        <v>4197</v>
      </c>
      <c r="L2071" t="s">
        <v>4198</v>
      </c>
      <c r="M2071" t="s">
        <v>68</v>
      </c>
    </row>
    <row r="2072" spans="1:13" ht="15" customHeight="1" x14ac:dyDescent="0.25">
      <c r="A2072">
        <v>2071</v>
      </c>
      <c r="B2072" s="5">
        <v>45997</v>
      </c>
      <c r="C2072" t="s">
        <v>27</v>
      </c>
      <c r="D2072" t="s">
        <v>28</v>
      </c>
      <c r="E2072" t="s">
        <v>29</v>
      </c>
      <c r="F2072" t="s">
        <v>71</v>
      </c>
      <c r="G2072" s="6">
        <v>2219.96</v>
      </c>
      <c r="H2072" s="7">
        <v>2.1000000000000001E-2</v>
      </c>
      <c r="I2072" s="6">
        <v>46.62</v>
      </c>
      <c r="J2072" s="6">
        <v>2266.58</v>
      </c>
      <c r="K2072" t="s">
        <v>4199</v>
      </c>
      <c r="L2072" t="s">
        <v>4200</v>
      </c>
      <c r="M2072" t="s">
        <v>472</v>
      </c>
    </row>
    <row r="2073" spans="1:13" ht="15" customHeight="1" x14ac:dyDescent="0.25">
      <c r="A2073">
        <v>2072</v>
      </c>
      <c r="B2073" s="5">
        <v>45722</v>
      </c>
      <c r="C2073" t="s">
        <v>47</v>
      </c>
      <c r="D2073" t="s">
        <v>55</v>
      </c>
      <c r="E2073" t="s">
        <v>56</v>
      </c>
      <c r="F2073" t="s">
        <v>71</v>
      </c>
      <c r="G2073" s="6">
        <v>4171.67</v>
      </c>
      <c r="H2073" s="7">
        <v>5.5E-2</v>
      </c>
      <c r="I2073" s="6">
        <v>229.44</v>
      </c>
      <c r="J2073" s="6">
        <v>4401.1099999999997</v>
      </c>
      <c r="K2073" t="s">
        <v>4201</v>
      </c>
      <c r="L2073" t="s">
        <v>4202</v>
      </c>
    </row>
    <row r="2074" spans="1:13" ht="15" customHeight="1" x14ac:dyDescent="0.25">
      <c r="A2074">
        <v>2073</v>
      </c>
      <c r="B2074" s="5">
        <v>45728</v>
      </c>
      <c r="C2074" t="s">
        <v>47</v>
      </c>
      <c r="D2074" t="s">
        <v>34</v>
      </c>
      <c r="E2074" t="s">
        <v>35</v>
      </c>
      <c r="F2074" t="s">
        <v>174</v>
      </c>
      <c r="G2074" s="6">
        <v>2756.51</v>
      </c>
      <c r="H2074" s="7">
        <v>0.2</v>
      </c>
      <c r="I2074" s="6">
        <v>551.29999999999995</v>
      </c>
      <c r="J2074" s="6">
        <v>3307.81</v>
      </c>
      <c r="K2074" t="s">
        <v>4203</v>
      </c>
      <c r="L2074" t="s">
        <v>4204</v>
      </c>
    </row>
    <row r="2075" spans="1:13" ht="15" customHeight="1" x14ac:dyDescent="0.25">
      <c r="A2075">
        <v>2074</v>
      </c>
      <c r="B2075" s="5">
        <v>45867</v>
      </c>
      <c r="C2075" t="s">
        <v>47</v>
      </c>
      <c r="D2075" t="s">
        <v>28</v>
      </c>
      <c r="E2075" t="s">
        <v>29</v>
      </c>
      <c r="F2075" t="s">
        <v>30</v>
      </c>
      <c r="G2075" s="6">
        <v>1940.92</v>
      </c>
      <c r="H2075" s="7">
        <v>2.1000000000000001E-2</v>
      </c>
      <c r="I2075" s="6">
        <v>40.76</v>
      </c>
      <c r="J2075" s="6">
        <v>1981.68</v>
      </c>
      <c r="K2075" t="s">
        <v>4205</v>
      </c>
      <c r="L2075" t="s">
        <v>4206</v>
      </c>
    </row>
    <row r="2076" spans="1:13" ht="15" customHeight="1" x14ac:dyDescent="0.25">
      <c r="A2076">
        <v>2075</v>
      </c>
      <c r="B2076" s="5">
        <v>45750</v>
      </c>
      <c r="C2076" t="s">
        <v>47</v>
      </c>
      <c r="D2076" t="s">
        <v>181</v>
      </c>
      <c r="E2076" t="s">
        <v>182</v>
      </c>
      <c r="F2076" t="s">
        <v>39</v>
      </c>
      <c r="G2076" s="6">
        <v>3953.71</v>
      </c>
      <c r="H2076" s="7">
        <v>0.2</v>
      </c>
      <c r="I2076" s="6">
        <v>790.74</v>
      </c>
      <c r="J2076" s="6">
        <v>4744.45</v>
      </c>
      <c r="K2076" t="s">
        <v>4207</v>
      </c>
      <c r="L2076" t="s">
        <v>4208</v>
      </c>
    </row>
    <row r="2077" spans="1:13" ht="15" customHeight="1" x14ac:dyDescent="0.25">
      <c r="A2077">
        <v>2076</v>
      </c>
      <c r="B2077" s="5">
        <v>46022</v>
      </c>
      <c r="C2077" t="s">
        <v>33</v>
      </c>
      <c r="D2077" t="s">
        <v>63</v>
      </c>
      <c r="E2077" t="s">
        <v>64</v>
      </c>
      <c r="F2077" t="s">
        <v>81</v>
      </c>
      <c r="G2077" s="6">
        <v>4191.1499999999996</v>
      </c>
      <c r="H2077" s="7">
        <v>0.2</v>
      </c>
      <c r="I2077" s="6">
        <v>838.23</v>
      </c>
      <c r="J2077" s="6">
        <v>5029.38</v>
      </c>
      <c r="K2077" t="s">
        <v>4209</v>
      </c>
      <c r="L2077" t="s">
        <v>4210</v>
      </c>
    </row>
    <row r="2078" spans="1:13" ht="15" customHeight="1" x14ac:dyDescent="0.25">
      <c r="A2078">
        <v>2077</v>
      </c>
      <c r="B2078" s="5">
        <v>45670</v>
      </c>
      <c r="C2078" t="s">
        <v>33</v>
      </c>
      <c r="D2078" t="s">
        <v>42</v>
      </c>
      <c r="E2078" t="s">
        <v>43</v>
      </c>
      <c r="F2078" t="s">
        <v>44</v>
      </c>
      <c r="G2078" s="6">
        <v>4175.84</v>
      </c>
      <c r="H2078" s="7">
        <v>0</v>
      </c>
      <c r="I2078" s="6">
        <v>0</v>
      </c>
      <c r="J2078" s="6">
        <v>4175.84</v>
      </c>
      <c r="K2078" t="s">
        <v>4211</v>
      </c>
      <c r="L2078" t="s">
        <v>4212</v>
      </c>
    </row>
    <row r="2079" spans="1:13" ht="15" customHeight="1" x14ac:dyDescent="0.25">
      <c r="A2079">
        <v>2078</v>
      </c>
      <c r="B2079" s="5">
        <v>45856</v>
      </c>
      <c r="C2079" t="s">
        <v>27</v>
      </c>
      <c r="D2079" t="s">
        <v>42</v>
      </c>
      <c r="E2079" t="s">
        <v>43</v>
      </c>
      <c r="F2079" t="s">
        <v>44</v>
      </c>
      <c r="G2079" s="6">
        <v>2650.48</v>
      </c>
      <c r="H2079" s="7">
        <v>0</v>
      </c>
      <c r="I2079" s="6">
        <v>0</v>
      </c>
      <c r="J2079" s="6">
        <v>2650.48</v>
      </c>
      <c r="K2079" t="s">
        <v>4213</v>
      </c>
      <c r="L2079" t="s">
        <v>4214</v>
      </c>
    </row>
    <row r="2080" spans="1:13" ht="15" customHeight="1" x14ac:dyDescent="0.25">
      <c r="A2080">
        <v>2079</v>
      </c>
      <c r="B2080" s="5">
        <v>46022</v>
      </c>
      <c r="C2080" t="s">
        <v>27</v>
      </c>
      <c r="D2080" t="s">
        <v>172</v>
      </c>
      <c r="E2080" t="s">
        <v>173</v>
      </c>
      <c r="F2080" t="s">
        <v>50</v>
      </c>
      <c r="G2080" s="6">
        <v>1376.79</v>
      </c>
      <c r="H2080" s="7">
        <v>0.2</v>
      </c>
      <c r="I2080" s="6">
        <v>275.36</v>
      </c>
      <c r="J2080" s="6">
        <v>1652.15</v>
      </c>
      <c r="K2080" t="s">
        <v>4215</v>
      </c>
      <c r="L2080" t="s">
        <v>4216</v>
      </c>
    </row>
    <row r="2081" spans="1:13" ht="15" customHeight="1" x14ac:dyDescent="0.25">
      <c r="A2081">
        <v>2080</v>
      </c>
      <c r="B2081" s="5">
        <v>45973</v>
      </c>
      <c r="C2081" t="s">
        <v>47</v>
      </c>
      <c r="D2081" t="s">
        <v>172</v>
      </c>
      <c r="E2081" t="s">
        <v>173</v>
      </c>
      <c r="F2081" t="s">
        <v>81</v>
      </c>
      <c r="G2081" s="6">
        <v>556.35</v>
      </c>
      <c r="H2081" s="7">
        <v>0.2</v>
      </c>
      <c r="I2081" s="6">
        <v>111.27</v>
      </c>
      <c r="J2081" s="6">
        <v>667.62</v>
      </c>
      <c r="K2081" t="s">
        <v>4217</v>
      </c>
      <c r="L2081" t="s">
        <v>4218</v>
      </c>
    </row>
    <row r="2082" spans="1:13" ht="15" customHeight="1" x14ac:dyDescent="0.25">
      <c r="A2082">
        <v>2081</v>
      </c>
      <c r="B2082" s="5">
        <v>45839</v>
      </c>
      <c r="C2082" t="s">
        <v>33</v>
      </c>
      <c r="D2082" t="s">
        <v>42</v>
      </c>
      <c r="E2082" t="s">
        <v>43</v>
      </c>
      <c r="F2082" t="s">
        <v>44</v>
      </c>
      <c r="G2082" s="6">
        <v>3985.62</v>
      </c>
      <c r="H2082" s="7">
        <v>0</v>
      </c>
      <c r="I2082" s="6">
        <v>0</v>
      </c>
      <c r="J2082" s="6">
        <v>3985.62</v>
      </c>
      <c r="K2082" t="s">
        <v>4219</v>
      </c>
      <c r="L2082" t="s">
        <v>4220</v>
      </c>
    </row>
    <row r="2083" spans="1:13" ht="15" customHeight="1" x14ac:dyDescent="0.25">
      <c r="A2083">
        <v>2082</v>
      </c>
      <c r="B2083" s="5">
        <v>45881</v>
      </c>
      <c r="C2083" t="s">
        <v>47</v>
      </c>
      <c r="D2083" t="s">
        <v>42</v>
      </c>
      <c r="E2083" t="s">
        <v>43</v>
      </c>
      <c r="F2083" t="s">
        <v>44</v>
      </c>
      <c r="G2083" s="6">
        <v>2945.05</v>
      </c>
      <c r="H2083" s="7">
        <v>0</v>
      </c>
      <c r="I2083" s="6">
        <v>0</v>
      </c>
      <c r="J2083" s="6">
        <v>2945.05</v>
      </c>
      <c r="K2083" t="s">
        <v>4221</v>
      </c>
      <c r="L2083" t="s">
        <v>4222</v>
      </c>
    </row>
    <row r="2084" spans="1:13" ht="15" customHeight="1" x14ac:dyDescent="0.25">
      <c r="A2084">
        <v>2083</v>
      </c>
      <c r="B2084" s="5">
        <v>45962</v>
      </c>
      <c r="C2084" t="s">
        <v>27</v>
      </c>
      <c r="D2084" t="s">
        <v>28</v>
      </c>
      <c r="E2084" t="s">
        <v>29</v>
      </c>
      <c r="F2084" t="s">
        <v>106</v>
      </c>
      <c r="G2084" s="6">
        <v>4130.2299999999996</v>
      </c>
      <c r="H2084" s="7">
        <v>2.1000000000000001E-2</v>
      </c>
      <c r="I2084" s="6">
        <v>86.73</v>
      </c>
      <c r="J2084" s="6">
        <v>4216.96</v>
      </c>
      <c r="K2084" t="s">
        <v>4223</v>
      </c>
      <c r="L2084" t="s">
        <v>4224</v>
      </c>
      <c r="M2084" t="s">
        <v>472</v>
      </c>
    </row>
    <row r="2085" spans="1:13" ht="15" customHeight="1" x14ac:dyDescent="0.25">
      <c r="A2085">
        <v>2084</v>
      </c>
      <c r="B2085" s="5">
        <v>45961</v>
      </c>
      <c r="C2085" t="s">
        <v>33</v>
      </c>
      <c r="D2085" t="s">
        <v>100</v>
      </c>
      <c r="E2085" t="s">
        <v>101</v>
      </c>
      <c r="F2085" t="s">
        <v>44</v>
      </c>
      <c r="G2085" s="6">
        <v>3417.38</v>
      </c>
      <c r="H2085" s="7">
        <v>0</v>
      </c>
      <c r="I2085" s="6">
        <v>0</v>
      </c>
      <c r="J2085" s="6">
        <v>3417.38</v>
      </c>
      <c r="K2085" t="s">
        <v>4225</v>
      </c>
      <c r="L2085" t="s">
        <v>4226</v>
      </c>
    </row>
    <row r="2086" spans="1:13" ht="15" customHeight="1" x14ac:dyDescent="0.25">
      <c r="A2086">
        <v>2085</v>
      </c>
      <c r="B2086" s="5">
        <v>45748</v>
      </c>
      <c r="C2086" t="s">
        <v>47</v>
      </c>
      <c r="D2086" t="s">
        <v>55</v>
      </c>
      <c r="E2086" t="s">
        <v>56</v>
      </c>
      <c r="F2086" t="s">
        <v>84</v>
      </c>
      <c r="G2086" s="6">
        <v>2328.31</v>
      </c>
      <c r="H2086" s="7">
        <v>5.5E-2</v>
      </c>
      <c r="I2086" s="6">
        <v>128.06</v>
      </c>
      <c r="J2086" s="6">
        <v>2456.37</v>
      </c>
      <c r="K2086" t="s">
        <v>4227</v>
      </c>
      <c r="L2086" t="s">
        <v>4228</v>
      </c>
    </row>
    <row r="2087" spans="1:13" ht="15" customHeight="1" x14ac:dyDescent="0.25">
      <c r="A2087">
        <v>2086</v>
      </c>
      <c r="B2087" s="5">
        <v>45910</v>
      </c>
      <c r="C2087" t="s">
        <v>33</v>
      </c>
      <c r="D2087" t="s">
        <v>55</v>
      </c>
      <c r="E2087" t="s">
        <v>56</v>
      </c>
      <c r="F2087" t="s">
        <v>84</v>
      </c>
      <c r="G2087" s="6">
        <v>1587.74</v>
      </c>
      <c r="H2087" s="7">
        <v>5.5E-2</v>
      </c>
      <c r="I2087" s="6">
        <v>87.33</v>
      </c>
      <c r="J2087" s="6">
        <v>1675.07</v>
      </c>
      <c r="K2087" t="s">
        <v>4229</v>
      </c>
      <c r="L2087" t="s">
        <v>4230</v>
      </c>
    </row>
    <row r="2088" spans="1:13" ht="15" customHeight="1" x14ac:dyDescent="0.25">
      <c r="A2088">
        <v>2087</v>
      </c>
      <c r="B2088" s="5">
        <v>45876</v>
      </c>
      <c r="C2088" t="s">
        <v>27</v>
      </c>
      <c r="D2088" t="s">
        <v>172</v>
      </c>
      <c r="E2088" t="s">
        <v>173</v>
      </c>
      <c r="F2088" t="s">
        <v>36</v>
      </c>
      <c r="G2088" s="6">
        <v>1340.84</v>
      </c>
      <c r="H2088" s="7">
        <v>0.2</v>
      </c>
      <c r="I2088" s="6">
        <v>268.17</v>
      </c>
      <c r="J2088" s="6">
        <v>1609.01</v>
      </c>
      <c r="K2088" t="s">
        <v>4231</v>
      </c>
      <c r="L2088" t="s">
        <v>4232</v>
      </c>
    </row>
    <row r="2089" spans="1:13" ht="15" customHeight="1" x14ac:dyDescent="0.25">
      <c r="A2089">
        <v>2088</v>
      </c>
      <c r="B2089" s="5">
        <v>45679</v>
      </c>
      <c r="C2089" t="s">
        <v>33</v>
      </c>
      <c r="D2089" t="s">
        <v>100</v>
      </c>
      <c r="E2089" t="s">
        <v>101</v>
      </c>
      <c r="F2089" t="s">
        <v>44</v>
      </c>
      <c r="G2089" s="6">
        <v>3563.1</v>
      </c>
      <c r="H2089" s="7">
        <v>0</v>
      </c>
      <c r="I2089" s="6">
        <v>0</v>
      </c>
      <c r="J2089" s="6">
        <v>3563.1</v>
      </c>
      <c r="K2089" t="s">
        <v>4233</v>
      </c>
      <c r="L2089" t="s">
        <v>4234</v>
      </c>
    </row>
    <row r="2090" spans="1:13" ht="15" customHeight="1" x14ac:dyDescent="0.25">
      <c r="A2090">
        <v>2089</v>
      </c>
      <c r="B2090" s="5">
        <v>45800</v>
      </c>
      <c r="C2090" t="s">
        <v>33</v>
      </c>
      <c r="D2090" t="s">
        <v>79</v>
      </c>
      <c r="E2090" t="s">
        <v>80</v>
      </c>
      <c r="F2090" t="s">
        <v>84</v>
      </c>
      <c r="G2090" s="6">
        <v>2622.11</v>
      </c>
      <c r="H2090" s="7">
        <v>0.2</v>
      </c>
      <c r="I2090" s="6">
        <v>524.41999999999996</v>
      </c>
      <c r="J2090" s="6">
        <v>3146.53</v>
      </c>
      <c r="K2090" t="s">
        <v>4235</v>
      </c>
      <c r="L2090" t="s">
        <v>4236</v>
      </c>
    </row>
    <row r="2091" spans="1:13" ht="15" customHeight="1" x14ac:dyDescent="0.25">
      <c r="A2091">
        <v>2090</v>
      </c>
      <c r="B2091" s="5">
        <v>45742</v>
      </c>
      <c r="C2091" t="s">
        <v>33</v>
      </c>
      <c r="D2091" t="s">
        <v>55</v>
      </c>
      <c r="E2091" t="s">
        <v>56</v>
      </c>
      <c r="F2091" t="s">
        <v>174</v>
      </c>
      <c r="G2091" s="6">
        <v>604</v>
      </c>
      <c r="H2091" s="7">
        <v>5.5E-2</v>
      </c>
      <c r="I2091" s="6">
        <v>33.22</v>
      </c>
      <c r="J2091" s="6">
        <v>637.22</v>
      </c>
      <c r="K2091" t="s">
        <v>4237</v>
      </c>
      <c r="L2091" t="s">
        <v>4238</v>
      </c>
    </row>
    <row r="2092" spans="1:13" ht="15" customHeight="1" x14ac:dyDescent="0.25">
      <c r="A2092">
        <v>2091</v>
      </c>
      <c r="B2092" s="5">
        <v>45744</v>
      </c>
      <c r="C2092" t="s">
        <v>47</v>
      </c>
      <c r="D2092" t="s">
        <v>55</v>
      </c>
      <c r="E2092" t="s">
        <v>56</v>
      </c>
      <c r="F2092" t="s">
        <v>174</v>
      </c>
      <c r="G2092" s="6">
        <v>1355.08</v>
      </c>
      <c r="H2092" s="7">
        <v>5.5E-2</v>
      </c>
      <c r="I2092" s="6">
        <v>74.53</v>
      </c>
      <c r="J2092" s="6">
        <v>1429.61</v>
      </c>
      <c r="K2092" t="s">
        <v>4239</v>
      </c>
      <c r="L2092" t="s">
        <v>4240</v>
      </c>
    </row>
    <row r="2093" spans="1:13" ht="15" customHeight="1" x14ac:dyDescent="0.25">
      <c r="A2093">
        <v>2092</v>
      </c>
      <c r="B2093" s="5">
        <v>45999</v>
      </c>
      <c r="C2093" t="s">
        <v>33</v>
      </c>
      <c r="D2093" t="s">
        <v>100</v>
      </c>
      <c r="E2093" t="s">
        <v>101</v>
      </c>
      <c r="F2093" t="s">
        <v>44</v>
      </c>
      <c r="G2093" s="6">
        <v>2030.34</v>
      </c>
      <c r="H2093" s="7">
        <v>0</v>
      </c>
      <c r="I2093" s="6">
        <v>0</v>
      </c>
      <c r="J2093" s="6">
        <v>2030.34</v>
      </c>
      <c r="K2093" t="s">
        <v>4241</v>
      </c>
      <c r="L2093" t="s">
        <v>4242</v>
      </c>
    </row>
    <row r="2094" spans="1:13" ht="15" customHeight="1" x14ac:dyDescent="0.25">
      <c r="A2094">
        <v>2093</v>
      </c>
      <c r="B2094" s="5">
        <v>45672</v>
      </c>
      <c r="C2094" t="s">
        <v>27</v>
      </c>
      <c r="D2094" t="s">
        <v>42</v>
      </c>
      <c r="E2094" t="s">
        <v>43</v>
      </c>
      <c r="F2094" t="s">
        <v>44</v>
      </c>
      <c r="G2094" s="6">
        <v>1895.39</v>
      </c>
      <c r="H2094" s="7">
        <v>0</v>
      </c>
      <c r="I2094" s="6">
        <v>0</v>
      </c>
      <c r="J2094" s="6">
        <v>1895.39</v>
      </c>
      <c r="K2094" t="s">
        <v>4243</v>
      </c>
      <c r="L2094" t="s">
        <v>4244</v>
      </c>
    </row>
    <row r="2095" spans="1:13" ht="15" customHeight="1" x14ac:dyDescent="0.25">
      <c r="A2095">
        <v>2094</v>
      </c>
      <c r="B2095" s="5">
        <v>45908</v>
      </c>
      <c r="C2095" t="s">
        <v>27</v>
      </c>
      <c r="D2095" t="s">
        <v>42</v>
      </c>
      <c r="E2095" t="s">
        <v>43</v>
      </c>
      <c r="F2095" t="s">
        <v>44</v>
      </c>
      <c r="G2095" s="6">
        <v>1861.87</v>
      </c>
      <c r="H2095" s="7">
        <v>0</v>
      </c>
      <c r="I2095" s="6">
        <v>0</v>
      </c>
      <c r="J2095" s="6">
        <v>1861.87</v>
      </c>
      <c r="K2095" t="s">
        <v>4245</v>
      </c>
      <c r="L2095" t="s">
        <v>4246</v>
      </c>
    </row>
    <row r="2096" spans="1:13" ht="15" customHeight="1" x14ac:dyDescent="0.25">
      <c r="A2096">
        <v>2095</v>
      </c>
      <c r="B2096" s="5">
        <v>45950</v>
      </c>
      <c r="C2096" t="s">
        <v>47</v>
      </c>
      <c r="D2096" t="s">
        <v>100</v>
      </c>
      <c r="E2096" t="s">
        <v>101</v>
      </c>
      <c r="F2096" t="s">
        <v>44</v>
      </c>
      <c r="G2096" s="6">
        <v>2867.58</v>
      </c>
      <c r="H2096" s="7">
        <v>0</v>
      </c>
      <c r="I2096" s="6">
        <v>0</v>
      </c>
      <c r="J2096" s="6">
        <v>2867.58</v>
      </c>
      <c r="K2096" t="s">
        <v>4247</v>
      </c>
      <c r="L2096" t="s">
        <v>4248</v>
      </c>
    </row>
    <row r="2097" spans="1:13" ht="15" customHeight="1" x14ac:dyDescent="0.25">
      <c r="A2097">
        <v>2096</v>
      </c>
      <c r="B2097" s="5">
        <v>45714</v>
      </c>
      <c r="C2097" t="s">
        <v>47</v>
      </c>
      <c r="D2097" t="s">
        <v>55</v>
      </c>
      <c r="E2097" t="s">
        <v>56</v>
      </c>
      <c r="F2097" t="s">
        <v>65</v>
      </c>
      <c r="G2097" s="6">
        <v>3245.83</v>
      </c>
      <c r="H2097" s="7">
        <v>5.5E-2</v>
      </c>
      <c r="I2097" s="6">
        <v>178.52</v>
      </c>
      <c r="J2097" s="6">
        <v>3424.35</v>
      </c>
      <c r="K2097" t="s">
        <v>4249</v>
      </c>
      <c r="L2097" t="s">
        <v>4250</v>
      </c>
      <c r="M2097" t="s">
        <v>68</v>
      </c>
    </row>
    <row r="2098" spans="1:13" ht="15" customHeight="1" x14ac:dyDescent="0.25">
      <c r="A2098">
        <v>2097</v>
      </c>
      <c r="B2098" s="5">
        <v>45702</v>
      </c>
      <c r="C2098" t="s">
        <v>47</v>
      </c>
      <c r="D2098" t="s">
        <v>79</v>
      </c>
      <c r="E2098" t="s">
        <v>80</v>
      </c>
      <c r="F2098" t="s">
        <v>174</v>
      </c>
      <c r="G2098" s="6">
        <v>3901.1</v>
      </c>
      <c r="H2098" s="7">
        <v>0.2</v>
      </c>
      <c r="I2098" s="6">
        <v>780.22</v>
      </c>
      <c r="J2098" s="6">
        <v>4681.32</v>
      </c>
      <c r="K2098" t="s">
        <v>4251</v>
      </c>
      <c r="L2098" t="s">
        <v>4252</v>
      </c>
    </row>
    <row r="2099" spans="1:13" ht="15" customHeight="1" x14ac:dyDescent="0.25">
      <c r="A2099">
        <v>2098</v>
      </c>
      <c r="B2099" s="5">
        <v>45839</v>
      </c>
      <c r="C2099" t="s">
        <v>27</v>
      </c>
      <c r="D2099" t="s">
        <v>28</v>
      </c>
      <c r="E2099" t="s">
        <v>29</v>
      </c>
      <c r="F2099" t="s">
        <v>81</v>
      </c>
      <c r="G2099" s="6">
        <v>3632.09</v>
      </c>
      <c r="H2099" s="7">
        <v>2.1000000000000001E-2</v>
      </c>
      <c r="I2099" s="6">
        <v>76.27</v>
      </c>
      <c r="J2099" s="6">
        <v>3708.36</v>
      </c>
      <c r="K2099" t="s">
        <v>4253</v>
      </c>
      <c r="L2099" t="s">
        <v>4254</v>
      </c>
    </row>
    <row r="2100" spans="1:13" ht="15" customHeight="1" x14ac:dyDescent="0.25">
      <c r="A2100">
        <v>2099</v>
      </c>
      <c r="B2100" s="5">
        <v>45825</v>
      </c>
      <c r="C2100" t="s">
        <v>33</v>
      </c>
      <c r="D2100" t="s">
        <v>42</v>
      </c>
      <c r="E2100" t="s">
        <v>43</v>
      </c>
      <c r="F2100" t="s">
        <v>44</v>
      </c>
      <c r="G2100" s="6">
        <v>2604.81</v>
      </c>
      <c r="H2100" s="7">
        <v>0</v>
      </c>
      <c r="I2100" s="6">
        <v>0</v>
      </c>
      <c r="J2100" s="6">
        <v>2604.81</v>
      </c>
      <c r="K2100" t="s">
        <v>4255</v>
      </c>
      <c r="L2100" t="s">
        <v>4256</v>
      </c>
    </row>
    <row r="2101" spans="1:13" ht="15" customHeight="1" x14ac:dyDescent="0.25">
      <c r="A2101">
        <v>2100</v>
      </c>
      <c r="B2101" s="5">
        <v>46002</v>
      </c>
      <c r="C2101" t="s">
        <v>27</v>
      </c>
      <c r="D2101" t="s">
        <v>42</v>
      </c>
      <c r="E2101" t="s">
        <v>43</v>
      </c>
      <c r="F2101" t="s">
        <v>44</v>
      </c>
      <c r="G2101" s="6">
        <v>3496.34</v>
      </c>
      <c r="H2101" s="7">
        <v>0</v>
      </c>
      <c r="I2101" s="6">
        <v>0</v>
      </c>
      <c r="J2101" s="6">
        <v>3496.34</v>
      </c>
      <c r="K2101" t="s">
        <v>4257</v>
      </c>
      <c r="L2101" t="s">
        <v>4258</v>
      </c>
    </row>
    <row r="2102" spans="1:13" ht="15" customHeight="1" x14ac:dyDescent="0.25">
      <c r="A2102">
        <v>2101</v>
      </c>
      <c r="B2102" s="5">
        <v>45924</v>
      </c>
      <c r="C2102" t="s">
        <v>33</v>
      </c>
      <c r="D2102" t="s">
        <v>79</v>
      </c>
      <c r="E2102" t="s">
        <v>80</v>
      </c>
      <c r="F2102" t="s">
        <v>106</v>
      </c>
      <c r="G2102" s="6">
        <v>1483.47</v>
      </c>
      <c r="H2102" s="7">
        <v>0.2</v>
      </c>
      <c r="I2102" s="6">
        <v>296.69</v>
      </c>
      <c r="J2102" s="6">
        <v>1780.16</v>
      </c>
      <c r="K2102" t="s">
        <v>4259</v>
      </c>
      <c r="L2102" t="s">
        <v>4260</v>
      </c>
    </row>
    <row r="2103" spans="1:13" ht="15" customHeight="1" x14ac:dyDescent="0.25">
      <c r="A2103">
        <v>2102</v>
      </c>
      <c r="B2103" s="5">
        <v>45982</v>
      </c>
      <c r="C2103" t="s">
        <v>27</v>
      </c>
      <c r="D2103" t="s">
        <v>28</v>
      </c>
      <c r="E2103" t="s">
        <v>29</v>
      </c>
      <c r="F2103" t="s">
        <v>71</v>
      </c>
      <c r="G2103" s="6">
        <v>2852.6</v>
      </c>
      <c r="H2103" s="7">
        <v>2.1000000000000001E-2</v>
      </c>
      <c r="I2103" s="6">
        <v>59.9</v>
      </c>
      <c r="J2103" s="6">
        <v>2912.5</v>
      </c>
      <c r="K2103" t="s">
        <v>4261</v>
      </c>
      <c r="L2103" t="s">
        <v>4262</v>
      </c>
    </row>
    <row r="2104" spans="1:13" ht="15" customHeight="1" x14ac:dyDescent="0.25">
      <c r="A2104">
        <v>2103</v>
      </c>
      <c r="B2104" s="5">
        <v>45770</v>
      </c>
      <c r="C2104" t="s">
        <v>27</v>
      </c>
      <c r="D2104" t="s">
        <v>63</v>
      </c>
      <c r="E2104" t="s">
        <v>64</v>
      </c>
      <c r="F2104" t="s">
        <v>174</v>
      </c>
      <c r="G2104" s="6">
        <v>3056.2</v>
      </c>
      <c r="H2104" s="7">
        <v>0.2</v>
      </c>
      <c r="I2104" s="6">
        <v>611.24</v>
      </c>
      <c r="J2104" s="6">
        <v>3667.44</v>
      </c>
      <c r="K2104" t="s">
        <v>4263</v>
      </c>
      <c r="L2104" t="s">
        <v>4264</v>
      </c>
    </row>
    <row r="2105" spans="1:13" ht="15" customHeight="1" x14ac:dyDescent="0.25">
      <c r="A2105">
        <v>2104</v>
      </c>
      <c r="B2105" s="5">
        <v>45912</v>
      </c>
      <c r="C2105" t="s">
        <v>33</v>
      </c>
      <c r="D2105" t="s">
        <v>79</v>
      </c>
      <c r="E2105" t="s">
        <v>80</v>
      </c>
      <c r="F2105" t="s">
        <v>71</v>
      </c>
      <c r="G2105" s="6">
        <v>1329.09</v>
      </c>
      <c r="H2105" s="7">
        <v>0.2</v>
      </c>
      <c r="I2105" s="6">
        <v>265.82</v>
      </c>
      <c r="J2105" s="6">
        <v>1594.91</v>
      </c>
      <c r="K2105" t="s">
        <v>4265</v>
      </c>
      <c r="L2105" t="s">
        <v>4266</v>
      </c>
    </row>
    <row r="2106" spans="1:13" ht="15" customHeight="1" x14ac:dyDescent="0.25">
      <c r="A2106">
        <v>2105</v>
      </c>
      <c r="B2106" s="5">
        <v>45659</v>
      </c>
      <c r="C2106" t="s">
        <v>33</v>
      </c>
      <c r="D2106" t="s">
        <v>100</v>
      </c>
      <c r="E2106" t="s">
        <v>101</v>
      </c>
      <c r="F2106" t="s">
        <v>44</v>
      </c>
      <c r="G2106" s="6">
        <v>2977.66</v>
      </c>
      <c r="H2106" s="7">
        <v>0</v>
      </c>
      <c r="I2106" s="6">
        <v>0</v>
      </c>
      <c r="J2106" s="6">
        <v>2977.66</v>
      </c>
      <c r="K2106" t="s">
        <v>4267</v>
      </c>
      <c r="L2106" t="s">
        <v>4268</v>
      </c>
    </row>
    <row r="2107" spans="1:13" ht="15" customHeight="1" x14ac:dyDescent="0.25">
      <c r="A2107">
        <v>2106</v>
      </c>
      <c r="B2107" s="5">
        <v>45677</v>
      </c>
      <c r="C2107" t="s">
        <v>33</v>
      </c>
      <c r="D2107" t="s">
        <v>42</v>
      </c>
      <c r="E2107" t="s">
        <v>43</v>
      </c>
      <c r="F2107" t="s">
        <v>44</v>
      </c>
      <c r="G2107" s="6">
        <v>2431.38</v>
      </c>
      <c r="H2107" s="7">
        <v>0</v>
      </c>
      <c r="I2107" s="6">
        <v>0</v>
      </c>
      <c r="J2107" s="6">
        <v>2431.38</v>
      </c>
      <c r="K2107" t="s">
        <v>4269</v>
      </c>
      <c r="L2107" t="s">
        <v>4270</v>
      </c>
    </row>
    <row r="2108" spans="1:13" ht="15" customHeight="1" x14ac:dyDescent="0.25">
      <c r="A2108">
        <v>2107</v>
      </c>
      <c r="B2108" s="5">
        <v>45905</v>
      </c>
      <c r="C2108" t="s">
        <v>27</v>
      </c>
      <c r="D2108" t="s">
        <v>172</v>
      </c>
      <c r="E2108" t="s">
        <v>173</v>
      </c>
      <c r="F2108" t="s">
        <v>30</v>
      </c>
      <c r="G2108" s="6">
        <v>2424.64</v>
      </c>
      <c r="H2108" s="7">
        <v>0.2</v>
      </c>
      <c r="I2108" s="6">
        <v>484.93</v>
      </c>
      <c r="J2108" s="6">
        <v>2909.57</v>
      </c>
      <c r="K2108" t="s">
        <v>4271</v>
      </c>
      <c r="L2108" t="s">
        <v>4272</v>
      </c>
    </row>
    <row r="2109" spans="1:13" ht="15" customHeight="1" x14ac:dyDescent="0.25">
      <c r="A2109">
        <v>2108</v>
      </c>
      <c r="B2109" s="5">
        <v>46000</v>
      </c>
      <c r="C2109" t="s">
        <v>33</v>
      </c>
      <c r="D2109" t="s">
        <v>100</v>
      </c>
      <c r="E2109" t="s">
        <v>101</v>
      </c>
      <c r="F2109" t="s">
        <v>44</v>
      </c>
      <c r="G2109" s="6">
        <v>3712.19</v>
      </c>
      <c r="H2109" s="7">
        <v>0</v>
      </c>
      <c r="I2109" s="6">
        <v>0</v>
      </c>
      <c r="J2109" s="6">
        <v>3712.19</v>
      </c>
      <c r="K2109" t="s">
        <v>4273</v>
      </c>
      <c r="L2109" t="s">
        <v>4274</v>
      </c>
    </row>
    <row r="2110" spans="1:13" ht="15" customHeight="1" x14ac:dyDescent="0.25">
      <c r="A2110">
        <v>2109</v>
      </c>
      <c r="B2110" s="5">
        <v>45904</v>
      </c>
      <c r="C2110" t="s">
        <v>27</v>
      </c>
      <c r="D2110" t="s">
        <v>55</v>
      </c>
      <c r="E2110" t="s">
        <v>56</v>
      </c>
      <c r="F2110" t="s">
        <v>71</v>
      </c>
      <c r="G2110" s="6">
        <v>1385.74</v>
      </c>
      <c r="H2110" s="7">
        <v>5.5E-2</v>
      </c>
      <c r="I2110" s="6">
        <v>76.22</v>
      </c>
      <c r="J2110" s="6">
        <v>1461.96</v>
      </c>
      <c r="K2110" t="s">
        <v>4275</v>
      </c>
      <c r="L2110" t="s">
        <v>4276</v>
      </c>
    </row>
    <row r="2111" spans="1:13" ht="15" customHeight="1" x14ac:dyDescent="0.25">
      <c r="A2111">
        <v>2110</v>
      </c>
      <c r="B2111" s="5">
        <v>45824</v>
      </c>
      <c r="C2111" t="s">
        <v>47</v>
      </c>
      <c r="D2111" t="s">
        <v>63</v>
      </c>
      <c r="E2111" t="s">
        <v>64</v>
      </c>
      <c r="F2111" t="s">
        <v>36</v>
      </c>
      <c r="G2111" s="6">
        <v>1173.49</v>
      </c>
      <c r="H2111" s="7">
        <v>0.2</v>
      </c>
      <c r="I2111" s="6">
        <v>234.7</v>
      </c>
      <c r="J2111" s="6">
        <v>1408.19</v>
      </c>
      <c r="K2111" t="s">
        <v>4277</v>
      </c>
      <c r="L2111" t="s">
        <v>4278</v>
      </c>
    </row>
    <row r="2112" spans="1:13" ht="15" customHeight="1" x14ac:dyDescent="0.25">
      <c r="A2112">
        <v>2111</v>
      </c>
      <c r="B2112" s="5">
        <v>45821</v>
      </c>
      <c r="C2112" t="s">
        <v>33</v>
      </c>
      <c r="D2112" t="s">
        <v>79</v>
      </c>
      <c r="E2112" t="s">
        <v>80</v>
      </c>
      <c r="F2112" t="s">
        <v>50</v>
      </c>
      <c r="G2112" s="6">
        <v>2999.91</v>
      </c>
      <c r="H2112" s="7">
        <v>0.2</v>
      </c>
      <c r="I2112" s="6">
        <v>599.98</v>
      </c>
      <c r="J2112" s="6">
        <v>3599.89</v>
      </c>
      <c r="K2112" t="s">
        <v>4279</v>
      </c>
      <c r="L2112" t="s">
        <v>4280</v>
      </c>
    </row>
    <row r="2113" spans="1:13" ht="15" customHeight="1" x14ac:dyDescent="0.25">
      <c r="A2113">
        <v>2112</v>
      </c>
      <c r="B2113" s="5">
        <v>45905</v>
      </c>
      <c r="C2113" t="s">
        <v>47</v>
      </c>
      <c r="D2113" t="s">
        <v>42</v>
      </c>
      <c r="E2113" t="s">
        <v>43</v>
      </c>
      <c r="F2113" t="s">
        <v>44</v>
      </c>
      <c r="G2113" s="6">
        <v>3873.62</v>
      </c>
      <c r="H2113" s="7">
        <v>0</v>
      </c>
      <c r="I2113" s="6">
        <v>0</v>
      </c>
      <c r="J2113" s="6">
        <v>3873.62</v>
      </c>
      <c r="K2113" t="s">
        <v>4281</v>
      </c>
      <c r="L2113" t="s">
        <v>4282</v>
      </c>
    </row>
    <row r="2114" spans="1:13" ht="15" customHeight="1" x14ac:dyDescent="0.25">
      <c r="A2114">
        <v>2113</v>
      </c>
      <c r="B2114" s="5">
        <v>45672</v>
      </c>
      <c r="C2114" t="s">
        <v>47</v>
      </c>
      <c r="D2114" t="s">
        <v>34</v>
      </c>
      <c r="E2114" t="s">
        <v>35</v>
      </c>
      <c r="F2114" t="s">
        <v>106</v>
      </c>
      <c r="G2114" s="6">
        <v>1365.91</v>
      </c>
      <c r="H2114" s="7">
        <v>0.2</v>
      </c>
      <c r="I2114" s="6">
        <v>273.18</v>
      </c>
      <c r="J2114" s="6">
        <v>1639.09</v>
      </c>
      <c r="K2114" t="s">
        <v>4283</v>
      </c>
      <c r="L2114" t="s">
        <v>4284</v>
      </c>
    </row>
    <row r="2115" spans="1:13" ht="15" customHeight="1" x14ac:dyDescent="0.25">
      <c r="A2115">
        <v>2114</v>
      </c>
      <c r="B2115" s="5">
        <v>45791</v>
      </c>
      <c r="C2115" t="s">
        <v>47</v>
      </c>
      <c r="D2115" t="s">
        <v>28</v>
      </c>
      <c r="E2115" t="s">
        <v>29</v>
      </c>
      <c r="F2115" t="s">
        <v>36</v>
      </c>
      <c r="G2115" s="6">
        <v>3063.45</v>
      </c>
      <c r="H2115" s="7">
        <v>2.1000000000000001E-2</v>
      </c>
      <c r="I2115" s="6">
        <v>64.33</v>
      </c>
      <c r="J2115" s="6">
        <v>3127.78</v>
      </c>
      <c r="K2115" t="s">
        <v>4285</v>
      </c>
      <c r="L2115" t="s">
        <v>4286</v>
      </c>
    </row>
    <row r="2116" spans="1:13" ht="15" customHeight="1" x14ac:dyDescent="0.25">
      <c r="A2116">
        <v>2115</v>
      </c>
      <c r="B2116" s="5">
        <v>45791</v>
      </c>
      <c r="C2116" t="s">
        <v>47</v>
      </c>
      <c r="D2116" t="s">
        <v>63</v>
      </c>
      <c r="E2116" t="s">
        <v>64</v>
      </c>
      <c r="F2116" t="s">
        <v>174</v>
      </c>
      <c r="G2116" s="6">
        <v>4112.67</v>
      </c>
      <c r="H2116" s="7">
        <v>0.2</v>
      </c>
      <c r="I2116" s="6">
        <v>822.53</v>
      </c>
      <c r="J2116" s="6">
        <v>4935.2</v>
      </c>
      <c r="K2116" t="s">
        <v>4287</v>
      </c>
      <c r="L2116" t="s">
        <v>4288</v>
      </c>
    </row>
    <row r="2117" spans="1:13" ht="15" customHeight="1" x14ac:dyDescent="0.25">
      <c r="A2117">
        <v>2116</v>
      </c>
      <c r="B2117" s="5">
        <v>45681</v>
      </c>
      <c r="C2117" t="s">
        <v>27</v>
      </c>
      <c r="D2117" t="s">
        <v>28</v>
      </c>
      <c r="E2117" t="s">
        <v>29</v>
      </c>
      <c r="F2117" t="s">
        <v>36</v>
      </c>
      <c r="G2117" s="6">
        <v>13427.73</v>
      </c>
      <c r="H2117" s="7">
        <v>2.1000000000000001E-2</v>
      </c>
      <c r="I2117" s="6">
        <v>281.98</v>
      </c>
      <c r="J2117" s="6">
        <v>13709.71</v>
      </c>
      <c r="K2117" t="s">
        <v>4289</v>
      </c>
      <c r="L2117" t="s">
        <v>4290</v>
      </c>
      <c r="M2117" t="s">
        <v>580</v>
      </c>
    </row>
    <row r="2118" spans="1:13" ht="15" customHeight="1" x14ac:dyDescent="0.25">
      <c r="A2118">
        <v>2117</v>
      </c>
      <c r="B2118" s="5">
        <v>45932</v>
      </c>
      <c r="C2118" t="s">
        <v>27</v>
      </c>
      <c r="D2118" t="s">
        <v>100</v>
      </c>
      <c r="E2118" t="s">
        <v>101</v>
      </c>
      <c r="F2118" t="s">
        <v>44</v>
      </c>
      <c r="G2118" s="6">
        <v>3300.69</v>
      </c>
      <c r="H2118" s="7">
        <v>0</v>
      </c>
      <c r="I2118" s="6">
        <v>0</v>
      </c>
      <c r="J2118" s="6">
        <v>3300.69</v>
      </c>
      <c r="K2118" t="s">
        <v>4291</v>
      </c>
      <c r="L2118" t="s">
        <v>4292</v>
      </c>
    </row>
    <row r="2119" spans="1:13" ht="15" customHeight="1" x14ac:dyDescent="0.25">
      <c r="A2119">
        <v>2118</v>
      </c>
      <c r="B2119" s="5">
        <v>45967</v>
      </c>
      <c r="C2119" t="s">
        <v>27</v>
      </c>
      <c r="D2119" t="s">
        <v>55</v>
      </c>
      <c r="E2119" t="s">
        <v>56</v>
      </c>
      <c r="F2119" t="s">
        <v>81</v>
      </c>
      <c r="G2119" s="6">
        <v>2465.77</v>
      </c>
      <c r="H2119" s="7">
        <v>5.5E-2</v>
      </c>
      <c r="I2119" s="6">
        <v>135.62</v>
      </c>
      <c r="J2119" s="6">
        <v>2601.39</v>
      </c>
      <c r="K2119" t="s">
        <v>4293</v>
      </c>
      <c r="L2119" t="s">
        <v>4294</v>
      </c>
    </row>
    <row r="2120" spans="1:13" ht="15" customHeight="1" x14ac:dyDescent="0.25">
      <c r="A2120">
        <v>2119</v>
      </c>
      <c r="B2120" s="5">
        <v>45828</v>
      </c>
      <c r="C2120" t="s">
        <v>47</v>
      </c>
      <c r="D2120" t="s">
        <v>28</v>
      </c>
      <c r="E2120" t="s">
        <v>29</v>
      </c>
      <c r="F2120" t="s">
        <v>106</v>
      </c>
      <c r="G2120" s="6">
        <v>4112.05</v>
      </c>
      <c r="H2120" s="7">
        <v>2.1000000000000001E-2</v>
      </c>
      <c r="I2120" s="6">
        <v>86.35</v>
      </c>
      <c r="J2120" s="6">
        <v>4198.3999999999996</v>
      </c>
      <c r="K2120" t="s">
        <v>4295</v>
      </c>
      <c r="L2120" t="s">
        <v>4296</v>
      </c>
    </row>
    <row r="2121" spans="1:13" ht="15" customHeight="1" x14ac:dyDescent="0.25">
      <c r="A2121">
        <v>2120</v>
      </c>
      <c r="B2121" s="5">
        <v>45765</v>
      </c>
      <c r="C2121" t="s">
        <v>27</v>
      </c>
      <c r="D2121" t="s">
        <v>28</v>
      </c>
      <c r="E2121" t="s">
        <v>29</v>
      </c>
      <c r="F2121" t="s">
        <v>71</v>
      </c>
      <c r="G2121" s="6">
        <v>1680.47</v>
      </c>
      <c r="H2121" s="7">
        <v>2.1000000000000001E-2</v>
      </c>
      <c r="I2121" s="6">
        <v>35.29</v>
      </c>
      <c r="J2121" s="6">
        <v>1715.76</v>
      </c>
      <c r="K2121" t="s">
        <v>4297</v>
      </c>
      <c r="L2121" t="s">
        <v>4298</v>
      </c>
    </row>
    <row r="2122" spans="1:13" ht="15" customHeight="1" x14ac:dyDescent="0.25">
      <c r="A2122">
        <v>2121</v>
      </c>
      <c r="B2122" s="5">
        <v>45775</v>
      </c>
      <c r="C2122" t="s">
        <v>27</v>
      </c>
      <c r="D2122" t="s">
        <v>63</v>
      </c>
      <c r="E2122" t="s">
        <v>64</v>
      </c>
      <c r="F2122" t="s">
        <v>30</v>
      </c>
      <c r="G2122" s="6">
        <v>1362.63</v>
      </c>
      <c r="H2122" s="7">
        <v>0.2</v>
      </c>
      <c r="I2122" s="6">
        <v>272.52999999999997</v>
      </c>
      <c r="J2122" s="6">
        <v>1635.16</v>
      </c>
      <c r="K2122" t="s">
        <v>4299</v>
      </c>
      <c r="L2122" t="s">
        <v>4300</v>
      </c>
    </row>
    <row r="2123" spans="1:13" ht="15" customHeight="1" x14ac:dyDescent="0.25">
      <c r="A2123">
        <v>2122</v>
      </c>
      <c r="B2123" s="5">
        <v>45785</v>
      </c>
      <c r="C2123" t="s">
        <v>47</v>
      </c>
      <c r="D2123" t="s">
        <v>63</v>
      </c>
      <c r="E2123" t="s">
        <v>64</v>
      </c>
      <c r="F2123" t="s">
        <v>39</v>
      </c>
      <c r="G2123" s="6">
        <v>4234.8599999999997</v>
      </c>
      <c r="H2123" s="7">
        <v>0.2</v>
      </c>
      <c r="I2123" s="6">
        <v>846.97</v>
      </c>
      <c r="J2123" s="6">
        <v>5081.83</v>
      </c>
      <c r="K2123" t="s">
        <v>4301</v>
      </c>
      <c r="L2123" t="s">
        <v>4302</v>
      </c>
    </row>
    <row r="2124" spans="1:13" ht="15" customHeight="1" x14ac:dyDescent="0.25">
      <c r="A2124">
        <v>2123</v>
      </c>
      <c r="B2124" s="5">
        <v>45861</v>
      </c>
      <c r="C2124" t="s">
        <v>33</v>
      </c>
      <c r="D2124" t="s">
        <v>42</v>
      </c>
      <c r="E2124" t="s">
        <v>43</v>
      </c>
      <c r="F2124" t="s">
        <v>44</v>
      </c>
      <c r="G2124" s="6">
        <v>1901.48</v>
      </c>
      <c r="H2124" s="7">
        <v>0</v>
      </c>
      <c r="I2124" s="6">
        <v>0</v>
      </c>
      <c r="J2124" s="6">
        <v>1901.48</v>
      </c>
      <c r="K2124" t="s">
        <v>4303</v>
      </c>
      <c r="L2124" t="s">
        <v>4304</v>
      </c>
    </row>
    <row r="2125" spans="1:13" ht="15" customHeight="1" x14ac:dyDescent="0.25">
      <c r="A2125">
        <v>2124</v>
      </c>
      <c r="B2125" s="5">
        <v>45981</v>
      </c>
      <c r="C2125" t="s">
        <v>47</v>
      </c>
      <c r="D2125" t="s">
        <v>28</v>
      </c>
      <c r="E2125" t="s">
        <v>29</v>
      </c>
      <c r="F2125" t="s">
        <v>71</v>
      </c>
      <c r="G2125" s="6">
        <v>3494.06</v>
      </c>
      <c r="H2125" s="7">
        <v>2.1000000000000001E-2</v>
      </c>
      <c r="I2125" s="6">
        <v>73.38</v>
      </c>
      <c r="J2125" s="6">
        <v>3567.44</v>
      </c>
      <c r="K2125" t="s">
        <v>4305</v>
      </c>
      <c r="L2125" t="s">
        <v>4306</v>
      </c>
    </row>
    <row r="2126" spans="1:13" ht="15" customHeight="1" x14ac:dyDescent="0.25">
      <c r="A2126">
        <v>2125</v>
      </c>
      <c r="B2126" s="5">
        <v>45993</v>
      </c>
      <c r="C2126" t="s">
        <v>47</v>
      </c>
      <c r="D2126" t="s">
        <v>42</v>
      </c>
      <c r="E2126" t="s">
        <v>43</v>
      </c>
      <c r="F2126" t="s">
        <v>44</v>
      </c>
      <c r="G2126" s="6">
        <v>3763.91</v>
      </c>
      <c r="H2126" s="7">
        <v>0</v>
      </c>
      <c r="I2126" s="6">
        <v>0</v>
      </c>
      <c r="J2126" s="6">
        <v>3763.91</v>
      </c>
      <c r="K2126" t="s">
        <v>4307</v>
      </c>
      <c r="L2126" t="s">
        <v>4308</v>
      </c>
    </row>
    <row r="2127" spans="1:13" ht="15" customHeight="1" x14ac:dyDescent="0.25">
      <c r="A2127">
        <v>2126</v>
      </c>
      <c r="B2127" s="5">
        <v>45916</v>
      </c>
      <c r="C2127" t="s">
        <v>33</v>
      </c>
      <c r="D2127" t="s">
        <v>28</v>
      </c>
      <c r="E2127" t="s">
        <v>29</v>
      </c>
      <c r="F2127" t="s">
        <v>81</v>
      </c>
      <c r="G2127" s="6">
        <v>3271.74</v>
      </c>
      <c r="H2127" s="7">
        <v>2.1000000000000001E-2</v>
      </c>
      <c r="I2127" s="6">
        <v>68.709999999999994</v>
      </c>
      <c r="J2127" s="6">
        <v>3340.45</v>
      </c>
      <c r="K2127" t="s">
        <v>4309</v>
      </c>
      <c r="L2127" t="s">
        <v>4310</v>
      </c>
    </row>
    <row r="2128" spans="1:13" ht="15" customHeight="1" x14ac:dyDescent="0.25">
      <c r="A2128">
        <v>2127</v>
      </c>
      <c r="B2128" s="5">
        <v>45967</v>
      </c>
      <c r="C2128" t="s">
        <v>33</v>
      </c>
      <c r="D2128" t="s">
        <v>28</v>
      </c>
      <c r="E2128" t="s">
        <v>29</v>
      </c>
      <c r="F2128" t="s">
        <v>87</v>
      </c>
      <c r="G2128" s="6">
        <v>4141.87</v>
      </c>
      <c r="H2128" s="7">
        <v>0</v>
      </c>
      <c r="I2128" s="6">
        <v>0</v>
      </c>
      <c r="J2128" s="6">
        <v>4141.87</v>
      </c>
      <c r="K2128" t="s">
        <v>4311</v>
      </c>
      <c r="L2128" t="s">
        <v>4312</v>
      </c>
      <c r="M2128" t="s">
        <v>447</v>
      </c>
    </row>
    <row r="2129" spans="1:12" ht="15" customHeight="1" x14ac:dyDescent="0.25">
      <c r="A2129">
        <v>2128</v>
      </c>
      <c r="B2129" s="5">
        <v>45757</v>
      </c>
      <c r="C2129" t="s">
        <v>27</v>
      </c>
      <c r="D2129" t="s">
        <v>42</v>
      </c>
      <c r="E2129" t="s">
        <v>43</v>
      </c>
      <c r="F2129" t="s">
        <v>44</v>
      </c>
      <c r="G2129" s="6">
        <v>3862.33</v>
      </c>
      <c r="H2129" s="7">
        <v>0</v>
      </c>
      <c r="I2129" s="6">
        <v>0</v>
      </c>
      <c r="J2129" s="6">
        <v>3862.33</v>
      </c>
      <c r="K2129" t="s">
        <v>4313</v>
      </c>
      <c r="L2129" t="s">
        <v>4314</v>
      </c>
    </row>
    <row r="2130" spans="1:12" ht="15" customHeight="1" x14ac:dyDescent="0.25">
      <c r="A2130">
        <v>2129</v>
      </c>
      <c r="B2130" s="5">
        <v>45812</v>
      </c>
      <c r="C2130" t="s">
        <v>47</v>
      </c>
      <c r="D2130" t="s">
        <v>63</v>
      </c>
      <c r="E2130" t="s">
        <v>64</v>
      </c>
      <c r="F2130" t="s">
        <v>71</v>
      </c>
      <c r="G2130" s="6">
        <v>1291.3</v>
      </c>
      <c r="H2130" s="7">
        <v>0.2</v>
      </c>
      <c r="I2130" s="6">
        <v>258.26</v>
      </c>
      <c r="J2130" s="6">
        <v>1549.56</v>
      </c>
      <c r="K2130" t="s">
        <v>4315</v>
      </c>
      <c r="L2130" t="s">
        <v>4316</v>
      </c>
    </row>
    <row r="2131" spans="1:12" ht="15" customHeight="1" x14ac:dyDescent="0.25">
      <c r="A2131">
        <v>2130</v>
      </c>
      <c r="B2131" s="5">
        <v>45953</v>
      </c>
      <c r="C2131" t="s">
        <v>47</v>
      </c>
      <c r="D2131" t="s">
        <v>94</v>
      </c>
      <c r="E2131" t="s">
        <v>95</v>
      </c>
      <c r="F2131" t="s">
        <v>44</v>
      </c>
      <c r="G2131" s="6">
        <v>1228.0999999999999</v>
      </c>
      <c r="H2131" s="7">
        <v>0</v>
      </c>
      <c r="I2131" s="6">
        <v>0</v>
      </c>
      <c r="J2131" s="6">
        <v>1228.0999999999999</v>
      </c>
      <c r="K2131" t="s">
        <v>4317</v>
      </c>
      <c r="L2131" t="s">
        <v>4318</v>
      </c>
    </row>
    <row r="2132" spans="1:12" ht="15" customHeight="1" x14ac:dyDescent="0.25">
      <c r="A2132">
        <v>2131</v>
      </c>
      <c r="B2132" s="5">
        <v>45945</v>
      </c>
      <c r="C2132" t="s">
        <v>33</v>
      </c>
      <c r="D2132" t="s">
        <v>94</v>
      </c>
      <c r="E2132" t="s">
        <v>95</v>
      </c>
      <c r="F2132" t="s">
        <v>44</v>
      </c>
      <c r="G2132" s="6">
        <v>1211.06</v>
      </c>
      <c r="H2132" s="7">
        <v>0</v>
      </c>
      <c r="I2132" s="6">
        <v>0</v>
      </c>
      <c r="J2132" s="6">
        <v>1211.06</v>
      </c>
      <c r="K2132" t="s">
        <v>4319</v>
      </c>
      <c r="L2132" t="s">
        <v>4320</v>
      </c>
    </row>
    <row r="2133" spans="1:12" ht="15" customHeight="1" x14ac:dyDescent="0.25">
      <c r="A2133">
        <v>2132</v>
      </c>
      <c r="B2133" s="5">
        <v>45853</v>
      </c>
      <c r="C2133" t="s">
        <v>27</v>
      </c>
      <c r="D2133" t="s">
        <v>79</v>
      </c>
      <c r="E2133" t="s">
        <v>80</v>
      </c>
      <c r="F2133" t="s">
        <v>76</v>
      </c>
      <c r="G2133" s="6">
        <v>156.08000000000001</v>
      </c>
      <c r="H2133" s="7">
        <v>0.2</v>
      </c>
      <c r="I2133" s="6">
        <v>31.22</v>
      </c>
      <c r="J2133" s="6">
        <v>187.3</v>
      </c>
      <c r="K2133" t="s">
        <v>4321</v>
      </c>
      <c r="L2133" t="s">
        <v>4322</v>
      </c>
    </row>
    <row r="2134" spans="1:12" ht="15" customHeight="1" x14ac:dyDescent="0.25">
      <c r="A2134">
        <v>2133</v>
      </c>
      <c r="B2134" s="5">
        <v>45937</v>
      </c>
      <c r="C2134" t="s">
        <v>47</v>
      </c>
      <c r="D2134" t="s">
        <v>100</v>
      </c>
      <c r="E2134" t="s">
        <v>101</v>
      </c>
      <c r="F2134" t="s">
        <v>44</v>
      </c>
      <c r="G2134" s="6">
        <v>2885.45</v>
      </c>
      <c r="H2134" s="7">
        <v>0</v>
      </c>
      <c r="I2134" s="6">
        <v>0</v>
      </c>
      <c r="J2134" s="6">
        <v>2885.45</v>
      </c>
      <c r="K2134" t="s">
        <v>4323</v>
      </c>
      <c r="L2134" t="s">
        <v>4324</v>
      </c>
    </row>
    <row r="2135" spans="1:12" ht="15" customHeight="1" x14ac:dyDescent="0.25">
      <c r="A2135">
        <v>2134</v>
      </c>
      <c r="B2135" s="5">
        <v>45776</v>
      </c>
      <c r="C2135" t="s">
        <v>33</v>
      </c>
      <c r="D2135" t="s">
        <v>63</v>
      </c>
      <c r="E2135" t="s">
        <v>64</v>
      </c>
      <c r="F2135" t="s">
        <v>76</v>
      </c>
      <c r="G2135" s="6">
        <v>2056.12</v>
      </c>
      <c r="H2135" s="7">
        <v>0.2</v>
      </c>
      <c r="I2135" s="6">
        <v>411.22</v>
      </c>
      <c r="J2135" s="6">
        <v>2467.34</v>
      </c>
      <c r="K2135" t="s">
        <v>4325</v>
      </c>
      <c r="L2135" t="s">
        <v>4326</v>
      </c>
    </row>
    <row r="2136" spans="1:12" ht="15" customHeight="1" x14ac:dyDescent="0.25">
      <c r="A2136">
        <v>2135</v>
      </c>
      <c r="B2136" s="5">
        <v>45828</v>
      </c>
      <c r="C2136" t="s">
        <v>33</v>
      </c>
      <c r="D2136" t="s">
        <v>181</v>
      </c>
      <c r="E2136" t="s">
        <v>182</v>
      </c>
      <c r="F2136" t="s">
        <v>120</v>
      </c>
      <c r="G2136" s="6">
        <v>715.47</v>
      </c>
      <c r="H2136" s="7">
        <v>0.2</v>
      </c>
      <c r="I2136" s="6">
        <v>143.09</v>
      </c>
      <c r="J2136" s="6">
        <v>858.56</v>
      </c>
      <c r="K2136" t="s">
        <v>4327</v>
      </c>
      <c r="L2136" t="s">
        <v>4328</v>
      </c>
    </row>
    <row r="2137" spans="1:12" ht="15" customHeight="1" x14ac:dyDescent="0.25">
      <c r="A2137">
        <v>2136</v>
      </c>
      <c r="B2137" s="5">
        <v>45764</v>
      </c>
      <c r="C2137" t="s">
        <v>33</v>
      </c>
      <c r="D2137" t="s">
        <v>172</v>
      </c>
      <c r="E2137" t="s">
        <v>173</v>
      </c>
      <c r="F2137" t="s">
        <v>76</v>
      </c>
      <c r="G2137" s="6">
        <v>3902.54</v>
      </c>
      <c r="H2137" s="7">
        <v>0.2</v>
      </c>
      <c r="I2137" s="6">
        <v>780.51</v>
      </c>
      <c r="J2137" s="6">
        <v>4683.05</v>
      </c>
      <c r="K2137" t="s">
        <v>4329</v>
      </c>
      <c r="L2137" t="s">
        <v>4330</v>
      </c>
    </row>
    <row r="2138" spans="1:12" ht="15" customHeight="1" x14ac:dyDescent="0.25">
      <c r="A2138">
        <v>2137</v>
      </c>
      <c r="B2138" s="5">
        <v>45973</v>
      </c>
      <c r="C2138" t="s">
        <v>33</v>
      </c>
      <c r="D2138" t="s">
        <v>28</v>
      </c>
      <c r="E2138" t="s">
        <v>29</v>
      </c>
      <c r="F2138" t="s">
        <v>106</v>
      </c>
      <c r="G2138" s="6">
        <v>3784.27</v>
      </c>
      <c r="H2138" s="7">
        <v>2.1000000000000001E-2</v>
      </c>
      <c r="I2138" s="6">
        <v>79.47</v>
      </c>
      <c r="J2138" s="6">
        <v>3863.74</v>
      </c>
      <c r="K2138" t="s">
        <v>4331</v>
      </c>
      <c r="L2138" t="s">
        <v>4332</v>
      </c>
    </row>
    <row r="2139" spans="1:12" ht="15" customHeight="1" x14ac:dyDescent="0.25">
      <c r="A2139">
        <v>2138</v>
      </c>
      <c r="B2139" s="5">
        <v>45688</v>
      </c>
      <c r="C2139" t="s">
        <v>27</v>
      </c>
      <c r="D2139" t="s">
        <v>42</v>
      </c>
      <c r="E2139" t="s">
        <v>43</v>
      </c>
      <c r="F2139" t="s">
        <v>44</v>
      </c>
      <c r="G2139" s="6">
        <v>2404.86</v>
      </c>
      <c r="H2139" s="7">
        <v>0</v>
      </c>
      <c r="I2139" s="6">
        <v>0</v>
      </c>
      <c r="J2139" s="6">
        <v>2404.86</v>
      </c>
      <c r="K2139" t="s">
        <v>4333</v>
      </c>
      <c r="L2139" t="s">
        <v>4334</v>
      </c>
    </row>
    <row r="2140" spans="1:12" ht="15" customHeight="1" x14ac:dyDescent="0.25">
      <c r="A2140">
        <v>2139</v>
      </c>
      <c r="B2140" s="5">
        <v>45735</v>
      </c>
      <c r="C2140" t="s">
        <v>27</v>
      </c>
      <c r="D2140" t="s">
        <v>55</v>
      </c>
      <c r="E2140" t="s">
        <v>56</v>
      </c>
      <c r="F2140" t="s">
        <v>81</v>
      </c>
      <c r="G2140" s="6">
        <v>241.37</v>
      </c>
      <c r="H2140" s="7">
        <v>5.5E-2</v>
      </c>
      <c r="I2140" s="6">
        <v>13.28</v>
      </c>
      <c r="J2140" s="6">
        <v>254.65</v>
      </c>
      <c r="K2140" t="s">
        <v>4335</v>
      </c>
      <c r="L2140" t="s">
        <v>4336</v>
      </c>
    </row>
    <row r="2141" spans="1:12" ht="15" customHeight="1" x14ac:dyDescent="0.25">
      <c r="A2141">
        <v>2140</v>
      </c>
      <c r="B2141" s="5">
        <v>45660</v>
      </c>
      <c r="C2141" t="s">
        <v>27</v>
      </c>
      <c r="D2141" t="s">
        <v>63</v>
      </c>
      <c r="E2141" t="s">
        <v>64</v>
      </c>
      <c r="F2141" t="s">
        <v>71</v>
      </c>
      <c r="G2141" s="6">
        <v>1265.2</v>
      </c>
      <c r="H2141" s="7">
        <v>0.2</v>
      </c>
      <c r="I2141" s="6">
        <v>253.04</v>
      </c>
      <c r="J2141" s="6">
        <v>1518.24</v>
      </c>
      <c r="K2141" t="s">
        <v>4337</v>
      </c>
      <c r="L2141" t="s">
        <v>4338</v>
      </c>
    </row>
    <row r="2142" spans="1:12" ht="15" customHeight="1" x14ac:dyDescent="0.25">
      <c r="A2142">
        <v>2141</v>
      </c>
      <c r="B2142" s="5">
        <v>45937</v>
      </c>
      <c r="C2142" t="s">
        <v>27</v>
      </c>
      <c r="D2142" t="s">
        <v>42</v>
      </c>
      <c r="E2142" t="s">
        <v>43</v>
      </c>
      <c r="F2142" t="s">
        <v>44</v>
      </c>
      <c r="G2142" s="6">
        <v>4102.74</v>
      </c>
      <c r="H2142" s="7">
        <v>0</v>
      </c>
      <c r="I2142" s="6">
        <v>0</v>
      </c>
      <c r="J2142" s="6">
        <v>4102.74</v>
      </c>
      <c r="K2142" t="s">
        <v>4339</v>
      </c>
      <c r="L2142" t="s">
        <v>4340</v>
      </c>
    </row>
    <row r="2143" spans="1:12" ht="15" customHeight="1" x14ac:dyDescent="0.25">
      <c r="A2143">
        <v>2142</v>
      </c>
      <c r="B2143" s="5">
        <v>45905</v>
      </c>
      <c r="C2143" t="s">
        <v>47</v>
      </c>
      <c r="D2143" t="s">
        <v>79</v>
      </c>
      <c r="E2143" t="s">
        <v>80</v>
      </c>
      <c r="F2143" t="s">
        <v>81</v>
      </c>
      <c r="G2143" s="6">
        <v>2353.79</v>
      </c>
      <c r="H2143" s="7">
        <v>0.2</v>
      </c>
      <c r="I2143" s="6">
        <v>470.76</v>
      </c>
      <c r="J2143" s="6">
        <v>2824.55</v>
      </c>
      <c r="K2143" t="s">
        <v>4341</v>
      </c>
      <c r="L2143" t="s">
        <v>4342</v>
      </c>
    </row>
    <row r="2144" spans="1:12" ht="15" customHeight="1" x14ac:dyDescent="0.25">
      <c r="A2144">
        <v>2143</v>
      </c>
      <c r="B2144" s="5">
        <v>45875</v>
      </c>
      <c r="C2144" t="s">
        <v>33</v>
      </c>
      <c r="D2144" t="s">
        <v>100</v>
      </c>
      <c r="E2144" t="s">
        <v>101</v>
      </c>
      <c r="F2144" t="s">
        <v>44</v>
      </c>
      <c r="G2144" s="6">
        <v>2701.65</v>
      </c>
      <c r="H2144" s="7">
        <v>0</v>
      </c>
      <c r="I2144" s="6">
        <v>0</v>
      </c>
      <c r="J2144" s="6">
        <v>2701.65</v>
      </c>
      <c r="K2144" t="s">
        <v>4343</v>
      </c>
      <c r="L2144" t="s">
        <v>4344</v>
      </c>
    </row>
    <row r="2145" spans="1:12" ht="15" customHeight="1" x14ac:dyDescent="0.25">
      <c r="A2145">
        <v>2144</v>
      </c>
      <c r="B2145" s="5">
        <v>45720</v>
      </c>
      <c r="C2145" t="s">
        <v>33</v>
      </c>
      <c r="D2145" t="s">
        <v>28</v>
      </c>
      <c r="E2145" t="s">
        <v>29</v>
      </c>
      <c r="F2145" t="s">
        <v>76</v>
      </c>
      <c r="G2145" s="6">
        <v>814.59</v>
      </c>
      <c r="H2145" s="7">
        <v>2.1000000000000001E-2</v>
      </c>
      <c r="I2145" s="6">
        <v>17.11</v>
      </c>
      <c r="J2145" s="6">
        <v>831.7</v>
      </c>
      <c r="K2145" t="s">
        <v>4345</v>
      </c>
      <c r="L2145" t="s">
        <v>4346</v>
      </c>
    </row>
    <row r="2146" spans="1:12" ht="15" customHeight="1" x14ac:dyDescent="0.25">
      <c r="A2146">
        <v>2145</v>
      </c>
      <c r="B2146" s="5">
        <v>45911</v>
      </c>
      <c r="C2146" t="s">
        <v>33</v>
      </c>
      <c r="D2146" t="s">
        <v>100</v>
      </c>
      <c r="E2146" t="s">
        <v>101</v>
      </c>
      <c r="F2146" t="s">
        <v>44</v>
      </c>
      <c r="G2146" s="6">
        <v>3727.57</v>
      </c>
      <c r="H2146" s="7">
        <v>0</v>
      </c>
      <c r="I2146" s="6">
        <v>0</v>
      </c>
      <c r="J2146" s="6">
        <v>3727.57</v>
      </c>
      <c r="K2146" t="s">
        <v>4347</v>
      </c>
      <c r="L2146" t="s">
        <v>4348</v>
      </c>
    </row>
    <row r="2147" spans="1:12" ht="15" customHeight="1" x14ac:dyDescent="0.25">
      <c r="A2147">
        <v>2146</v>
      </c>
      <c r="B2147" s="5">
        <v>45938</v>
      </c>
      <c r="C2147" t="s">
        <v>33</v>
      </c>
      <c r="D2147" t="s">
        <v>42</v>
      </c>
      <c r="E2147" t="s">
        <v>43</v>
      </c>
      <c r="F2147" t="s">
        <v>44</v>
      </c>
      <c r="G2147" s="6">
        <v>1822.22</v>
      </c>
      <c r="H2147" s="7">
        <v>0</v>
      </c>
      <c r="I2147" s="6">
        <v>0</v>
      </c>
      <c r="J2147" s="6">
        <v>1822.22</v>
      </c>
      <c r="K2147" t="s">
        <v>4349</v>
      </c>
      <c r="L2147" t="s">
        <v>4350</v>
      </c>
    </row>
    <row r="2148" spans="1:12" ht="15" customHeight="1" x14ac:dyDescent="0.25">
      <c r="A2148">
        <v>2147</v>
      </c>
      <c r="B2148" s="5">
        <v>45796</v>
      </c>
      <c r="C2148" t="s">
        <v>47</v>
      </c>
      <c r="D2148" t="s">
        <v>94</v>
      </c>
      <c r="E2148" t="s">
        <v>95</v>
      </c>
      <c r="F2148" t="s">
        <v>44</v>
      </c>
      <c r="G2148" s="6">
        <v>2037.75</v>
      </c>
      <c r="H2148" s="7">
        <v>0</v>
      </c>
      <c r="I2148" s="6">
        <v>0</v>
      </c>
      <c r="J2148" s="6">
        <v>2037.75</v>
      </c>
      <c r="K2148" t="s">
        <v>4351</v>
      </c>
      <c r="L2148" t="s">
        <v>4352</v>
      </c>
    </row>
    <row r="2149" spans="1:12" ht="15" customHeight="1" x14ac:dyDescent="0.25">
      <c r="A2149">
        <v>2148</v>
      </c>
      <c r="B2149" s="5">
        <v>45730</v>
      </c>
      <c r="C2149" t="s">
        <v>27</v>
      </c>
      <c r="D2149" t="s">
        <v>34</v>
      </c>
      <c r="E2149" t="s">
        <v>35</v>
      </c>
      <c r="F2149" t="s">
        <v>120</v>
      </c>
      <c r="G2149" s="6">
        <v>1362.67</v>
      </c>
      <c r="H2149" s="7">
        <v>0.2</v>
      </c>
      <c r="I2149" s="6">
        <v>272.52999999999997</v>
      </c>
      <c r="J2149" s="6">
        <v>1635.2</v>
      </c>
      <c r="K2149" t="s">
        <v>4353</v>
      </c>
      <c r="L2149" t="s">
        <v>4354</v>
      </c>
    </row>
    <row r="2150" spans="1:12" ht="15" customHeight="1" x14ac:dyDescent="0.25">
      <c r="A2150">
        <v>2149</v>
      </c>
      <c r="B2150" s="5">
        <v>45848</v>
      </c>
      <c r="C2150" t="s">
        <v>27</v>
      </c>
      <c r="D2150" t="s">
        <v>100</v>
      </c>
      <c r="E2150" t="s">
        <v>101</v>
      </c>
      <c r="F2150" t="s">
        <v>44</v>
      </c>
      <c r="G2150" s="6">
        <v>2402.9699999999998</v>
      </c>
      <c r="H2150" s="7">
        <v>0</v>
      </c>
      <c r="I2150" s="6">
        <v>0</v>
      </c>
      <c r="J2150" s="6">
        <v>2402.9699999999998</v>
      </c>
      <c r="K2150" t="s">
        <v>4355</v>
      </c>
      <c r="L2150" t="s">
        <v>4356</v>
      </c>
    </row>
    <row r="2151" spans="1:12" ht="15" customHeight="1" x14ac:dyDescent="0.25">
      <c r="A2151">
        <v>2150</v>
      </c>
      <c r="B2151" s="5">
        <v>45727</v>
      </c>
      <c r="C2151" t="s">
        <v>33</v>
      </c>
      <c r="D2151" t="s">
        <v>100</v>
      </c>
      <c r="E2151" t="s">
        <v>101</v>
      </c>
      <c r="F2151" t="s">
        <v>44</v>
      </c>
      <c r="G2151" s="6">
        <v>3516.2</v>
      </c>
      <c r="H2151" s="7">
        <v>0</v>
      </c>
      <c r="I2151" s="6">
        <v>0</v>
      </c>
      <c r="J2151" s="6">
        <v>3516.2</v>
      </c>
      <c r="K2151" t="s">
        <v>4357</v>
      </c>
      <c r="L2151" t="s">
        <v>4358</v>
      </c>
    </row>
    <row r="2152" spans="1:12" ht="15" customHeight="1" x14ac:dyDescent="0.25">
      <c r="A2152">
        <v>2151</v>
      </c>
      <c r="B2152" s="5">
        <v>45749</v>
      </c>
      <c r="C2152" t="s">
        <v>33</v>
      </c>
      <c r="D2152" t="s">
        <v>55</v>
      </c>
      <c r="E2152" t="s">
        <v>56</v>
      </c>
      <c r="F2152" t="s">
        <v>87</v>
      </c>
      <c r="G2152" s="6">
        <v>744.54</v>
      </c>
      <c r="H2152" s="7">
        <v>5.5E-2</v>
      </c>
      <c r="I2152" s="6">
        <v>40.950000000000003</v>
      </c>
      <c r="J2152" s="6">
        <v>785.49</v>
      </c>
      <c r="K2152" t="s">
        <v>4359</v>
      </c>
      <c r="L2152" t="s">
        <v>4360</v>
      </c>
    </row>
    <row r="2153" spans="1:12" ht="15" customHeight="1" x14ac:dyDescent="0.25">
      <c r="A2153">
        <v>2152</v>
      </c>
      <c r="B2153" s="5">
        <v>46013</v>
      </c>
      <c r="C2153" t="s">
        <v>47</v>
      </c>
      <c r="D2153" t="s">
        <v>42</v>
      </c>
      <c r="E2153" t="s">
        <v>43</v>
      </c>
      <c r="F2153" t="s">
        <v>44</v>
      </c>
      <c r="G2153" s="6">
        <v>2900.62</v>
      </c>
      <c r="H2153" s="7">
        <v>0</v>
      </c>
      <c r="I2153" s="6">
        <v>0</v>
      </c>
      <c r="J2153" s="6">
        <v>2900.62</v>
      </c>
      <c r="K2153" t="s">
        <v>4361</v>
      </c>
      <c r="L2153" t="s">
        <v>4362</v>
      </c>
    </row>
    <row r="2154" spans="1:12" ht="15" customHeight="1" x14ac:dyDescent="0.25">
      <c r="A2154">
        <v>2153</v>
      </c>
      <c r="B2154" s="5">
        <v>45692</v>
      </c>
      <c r="C2154" t="s">
        <v>33</v>
      </c>
      <c r="D2154" t="s">
        <v>181</v>
      </c>
      <c r="E2154" t="s">
        <v>182</v>
      </c>
      <c r="F2154" t="s">
        <v>106</v>
      </c>
      <c r="G2154" s="6">
        <v>1629</v>
      </c>
      <c r="H2154" s="7">
        <v>0.2</v>
      </c>
      <c r="I2154" s="6">
        <v>325.8</v>
      </c>
      <c r="J2154" s="6">
        <v>1954.8</v>
      </c>
      <c r="K2154" t="s">
        <v>4363</v>
      </c>
      <c r="L2154" t="s">
        <v>4364</v>
      </c>
    </row>
    <row r="2155" spans="1:12" ht="15" customHeight="1" x14ac:dyDescent="0.25">
      <c r="A2155">
        <v>2154</v>
      </c>
      <c r="B2155" s="5">
        <v>45756</v>
      </c>
      <c r="C2155" t="s">
        <v>47</v>
      </c>
      <c r="D2155" t="s">
        <v>181</v>
      </c>
      <c r="E2155" t="s">
        <v>182</v>
      </c>
      <c r="F2155" t="s">
        <v>36</v>
      </c>
      <c r="G2155" s="6">
        <v>1293.6500000000001</v>
      </c>
      <c r="H2155" s="7">
        <v>0.2</v>
      </c>
      <c r="I2155" s="6">
        <v>258.73</v>
      </c>
      <c r="J2155" s="6">
        <v>1552.38</v>
      </c>
      <c r="K2155" t="s">
        <v>4365</v>
      </c>
      <c r="L2155" t="s">
        <v>4366</v>
      </c>
    </row>
    <row r="2156" spans="1:12" ht="15" customHeight="1" x14ac:dyDescent="0.25">
      <c r="A2156">
        <v>2155</v>
      </c>
      <c r="B2156" s="5">
        <v>45945</v>
      </c>
      <c r="C2156" t="s">
        <v>27</v>
      </c>
      <c r="D2156" t="s">
        <v>55</v>
      </c>
      <c r="E2156" t="s">
        <v>56</v>
      </c>
      <c r="F2156" t="s">
        <v>120</v>
      </c>
      <c r="G2156" s="6">
        <v>2471.3000000000002</v>
      </c>
      <c r="H2156" s="7">
        <v>5.5E-2</v>
      </c>
      <c r="I2156" s="6">
        <v>135.91999999999999</v>
      </c>
      <c r="J2156" s="6">
        <v>2607.2199999999998</v>
      </c>
      <c r="K2156" t="s">
        <v>4367</v>
      </c>
      <c r="L2156" t="s">
        <v>4368</v>
      </c>
    </row>
    <row r="2157" spans="1:12" ht="15" customHeight="1" x14ac:dyDescent="0.25">
      <c r="A2157">
        <v>2156</v>
      </c>
      <c r="B2157" s="5">
        <v>45768</v>
      </c>
      <c r="C2157" t="s">
        <v>33</v>
      </c>
      <c r="D2157" t="s">
        <v>172</v>
      </c>
      <c r="E2157" t="s">
        <v>173</v>
      </c>
      <c r="F2157" t="s">
        <v>174</v>
      </c>
      <c r="G2157" s="6">
        <v>1317.54</v>
      </c>
      <c r="H2157" s="7">
        <v>0.2</v>
      </c>
      <c r="I2157" s="6">
        <v>263.51</v>
      </c>
      <c r="J2157" s="6">
        <v>1581.05</v>
      </c>
      <c r="K2157" t="s">
        <v>4369</v>
      </c>
      <c r="L2157" t="s">
        <v>4370</v>
      </c>
    </row>
    <row r="2158" spans="1:12" ht="15" customHeight="1" x14ac:dyDescent="0.25">
      <c r="A2158">
        <v>2157</v>
      </c>
      <c r="B2158" s="5">
        <v>45925</v>
      </c>
      <c r="C2158" t="s">
        <v>33</v>
      </c>
      <c r="D2158" t="s">
        <v>28</v>
      </c>
      <c r="E2158" t="s">
        <v>29</v>
      </c>
      <c r="F2158" t="s">
        <v>36</v>
      </c>
      <c r="G2158" s="6">
        <v>2675.94</v>
      </c>
      <c r="H2158" s="7">
        <v>2.1000000000000001E-2</v>
      </c>
      <c r="I2158" s="6">
        <v>56.19</v>
      </c>
      <c r="J2158" s="6">
        <v>2732.13</v>
      </c>
      <c r="K2158" t="s">
        <v>4371</v>
      </c>
      <c r="L2158" t="s">
        <v>4372</v>
      </c>
    </row>
    <row r="2159" spans="1:12" ht="15" customHeight="1" x14ac:dyDescent="0.25">
      <c r="A2159">
        <v>2158</v>
      </c>
      <c r="B2159" s="5">
        <v>45961</v>
      </c>
      <c r="C2159" t="s">
        <v>27</v>
      </c>
      <c r="D2159" t="s">
        <v>42</v>
      </c>
      <c r="E2159" t="s">
        <v>43</v>
      </c>
      <c r="F2159" t="s">
        <v>44</v>
      </c>
      <c r="G2159" s="6">
        <v>4119.9799999999996</v>
      </c>
      <c r="H2159" s="7">
        <v>0</v>
      </c>
      <c r="I2159" s="6">
        <v>0</v>
      </c>
      <c r="J2159" s="6">
        <v>4119.9799999999996</v>
      </c>
      <c r="K2159" t="s">
        <v>4373</v>
      </c>
      <c r="L2159" t="s">
        <v>4374</v>
      </c>
    </row>
    <row r="2160" spans="1:12" ht="15" customHeight="1" x14ac:dyDescent="0.25">
      <c r="A2160">
        <v>2159</v>
      </c>
      <c r="B2160" s="5">
        <v>45765</v>
      </c>
      <c r="C2160" t="s">
        <v>27</v>
      </c>
      <c r="D2160" t="s">
        <v>34</v>
      </c>
      <c r="E2160" t="s">
        <v>35</v>
      </c>
      <c r="F2160" t="s">
        <v>71</v>
      </c>
      <c r="G2160" s="6">
        <v>823</v>
      </c>
      <c r="H2160" s="7">
        <v>0.2</v>
      </c>
      <c r="I2160" s="6">
        <v>164.6</v>
      </c>
      <c r="J2160" s="6">
        <v>987.6</v>
      </c>
      <c r="K2160" t="s">
        <v>4375</v>
      </c>
      <c r="L2160" t="s">
        <v>4376</v>
      </c>
    </row>
    <row r="2161" spans="1:13" ht="15" customHeight="1" x14ac:dyDescent="0.25">
      <c r="A2161">
        <v>2160</v>
      </c>
      <c r="B2161" s="5">
        <v>45972</v>
      </c>
      <c r="C2161" t="s">
        <v>33</v>
      </c>
      <c r="D2161" t="s">
        <v>100</v>
      </c>
      <c r="E2161" t="s">
        <v>101</v>
      </c>
      <c r="F2161" t="s">
        <v>44</v>
      </c>
      <c r="G2161" s="6">
        <v>2195.56</v>
      </c>
      <c r="H2161" s="7">
        <v>0</v>
      </c>
      <c r="I2161" s="6">
        <v>0</v>
      </c>
      <c r="J2161" s="6">
        <v>2195.56</v>
      </c>
      <c r="K2161" t="s">
        <v>4377</v>
      </c>
      <c r="L2161" t="s">
        <v>4378</v>
      </c>
    </row>
    <row r="2162" spans="1:13" ht="15" customHeight="1" x14ac:dyDescent="0.25">
      <c r="A2162">
        <v>2161</v>
      </c>
      <c r="B2162" s="5">
        <v>45684</v>
      </c>
      <c r="C2162" t="s">
        <v>47</v>
      </c>
      <c r="D2162" t="s">
        <v>28</v>
      </c>
      <c r="E2162" t="s">
        <v>29</v>
      </c>
      <c r="F2162" t="s">
        <v>76</v>
      </c>
      <c r="G2162" s="6">
        <v>685.43</v>
      </c>
      <c r="H2162" s="7">
        <v>2.1000000000000001E-2</v>
      </c>
      <c r="I2162" s="6">
        <v>14.39</v>
      </c>
      <c r="J2162" s="6">
        <v>699.82</v>
      </c>
      <c r="K2162" t="s">
        <v>4379</v>
      </c>
      <c r="M2162" t="s">
        <v>186</v>
      </c>
    </row>
    <row r="2163" spans="1:13" ht="15" customHeight="1" x14ac:dyDescent="0.25">
      <c r="A2163">
        <v>2162</v>
      </c>
      <c r="B2163" s="5">
        <v>45812</v>
      </c>
      <c r="C2163" t="s">
        <v>27</v>
      </c>
      <c r="D2163" t="s">
        <v>79</v>
      </c>
      <c r="E2163" t="s">
        <v>80</v>
      </c>
      <c r="F2163" t="s">
        <v>87</v>
      </c>
      <c r="G2163" s="6">
        <v>2291.66</v>
      </c>
      <c r="H2163" s="7">
        <v>0.2</v>
      </c>
      <c r="I2163" s="6">
        <v>458.33</v>
      </c>
      <c r="J2163" s="6">
        <v>2749.99</v>
      </c>
      <c r="K2163" t="s">
        <v>4380</v>
      </c>
      <c r="L2163" t="s">
        <v>4381</v>
      </c>
    </row>
    <row r="2164" spans="1:13" ht="15" customHeight="1" x14ac:dyDescent="0.25">
      <c r="A2164">
        <v>2163</v>
      </c>
      <c r="B2164" s="5">
        <v>45855</v>
      </c>
      <c r="C2164" t="s">
        <v>27</v>
      </c>
      <c r="D2164" t="s">
        <v>63</v>
      </c>
      <c r="E2164" t="s">
        <v>64</v>
      </c>
      <c r="F2164" t="s">
        <v>50</v>
      </c>
      <c r="G2164" s="6">
        <v>3201.6</v>
      </c>
      <c r="H2164" s="7">
        <v>0.2</v>
      </c>
      <c r="I2164" s="6">
        <v>640.32000000000005</v>
      </c>
      <c r="J2164" s="6">
        <v>3841.92</v>
      </c>
      <c r="K2164" t="s">
        <v>4382</v>
      </c>
      <c r="L2164" t="s">
        <v>4383</v>
      </c>
    </row>
    <row r="2165" spans="1:13" ht="15" customHeight="1" x14ac:dyDescent="0.25">
      <c r="A2165">
        <v>2164</v>
      </c>
      <c r="B2165" s="5">
        <v>45698</v>
      </c>
      <c r="C2165" t="s">
        <v>27</v>
      </c>
      <c r="D2165" t="s">
        <v>55</v>
      </c>
      <c r="E2165" t="s">
        <v>56</v>
      </c>
      <c r="F2165" t="s">
        <v>71</v>
      </c>
      <c r="G2165" s="6">
        <v>3984.12</v>
      </c>
      <c r="H2165" s="7">
        <v>5.5E-2</v>
      </c>
      <c r="I2165" s="6">
        <v>219.13</v>
      </c>
      <c r="J2165" s="6">
        <v>4203.25</v>
      </c>
      <c r="K2165" t="s">
        <v>4384</v>
      </c>
      <c r="L2165" t="s">
        <v>4385</v>
      </c>
    </row>
    <row r="2166" spans="1:13" ht="15" customHeight="1" x14ac:dyDescent="0.25">
      <c r="A2166">
        <v>2165</v>
      </c>
      <c r="B2166" s="5">
        <v>46022</v>
      </c>
      <c r="C2166" t="s">
        <v>27</v>
      </c>
      <c r="D2166" t="s">
        <v>42</v>
      </c>
      <c r="E2166" t="s">
        <v>43</v>
      </c>
      <c r="F2166" t="s">
        <v>44</v>
      </c>
      <c r="G2166" s="6">
        <v>2849.38</v>
      </c>
      <c r="H2166" s="7">
        <v>0</v>
      </c>
      <c r="I2166" s="6">
        <v>0</v>
      </c>
      <c r="J2166" s="6">
        <v>2849.38</v>
      </c>
      <c r="K2166" t="s">
        <v>4386</v>
      </c>
      <c r="L2166" t="s">
        <v>4387</v>
      </c>
    </row>
    <row r="2167" spans="1:13" ht="15" customHeight="1" x14ac:dyDescent="0.25">
      <c r="A2167">
        <v>2166</v>
      </c>
      <c r="B2167" s="5">
        <v>45786</v>
      </c>
      <c r="C2167" t="s">
        <v>47</v>
      </c>
      <c r="D2167" t="s">
        <v>42</v>
      </c>
      <c r="E2167" t="s">
        <v>43</v>
      </c>
      <c r="F2167" t="s">
        <v>44</v>
      </c>
      <c r="G2167" s="6">
        <v>3138.97</v>
      </c>
      <c r="H2167" s="7">
        <v>0</v>
      </c>
      <c r="I2167" s="6">
        <v>0</v>
      </c>
      <c r="J2167" s="6">
        <v>3138.97</v>
      </c>
      <c r="K2167" t="s">
        <v>4388</v>
      </c>
      <c r="L2167" t="s">
        <v>4389</v>
      </c>
    </row>
    <row r="2168" spans="1:13" ht="15" customHeight="1" x14ac:dyDescent="0.25">
      <c r="A2168">
        <v>2167</v>
      </c>
      <c r="B2168" s="5">
        <v>45670</v>
      </c>
      <c r="C2168" t="s">
        <v>27</v>
      </c>
      <c r="D2168" t="s">
        <v>55</v>
      </c>
      <c r="E2168" t="s">
        <v>56</v>
      </c>
      <c r="F2168" t="s">
        <v>76</v>
      </c>
      <c r="G2168" s="6">
        <v>3908.33</v>
      </c>
      <c r="H2168" s="7">
        <v>5.5E-2</v>
      </c>
      <c r="I2168" s="6">
        <v>214.96</v>
      </c>
      <c r="J2168" s="6">
        <v>4123.29</v>
      </c>
      <c r="K2168" t="s">
        <v>4390</v>
      </c>
      <c r="L2168" t="s">
        <v>4391</v>
      </c>
    </row>
    <row r="2169" spans="1:13" ht="15" customHeight="1" x14ac:dyDescent="0.25">
      <c r="A2169">
        <v>2168</v>
      </c>
      <c r="B2169" s="5">
        <v>45875</v>
      </c>
      <c r="C2169" t="s">
        <v>27</v>
      </c>
      <c r="D2169" t="s">
        <v>55</v>
      </c>
      <c r="E2169" t="s">
        <v>56</v>
      </c>
      <c r="F2169" t="s">
        <v>106</v>
      </c>
      <c r="G2169" s="6">
        <v>1024.9100000000001</v>
      </c>
      <c r="H2169" s="7">
        <v>5.5E-2</v>
      </c>
      <c r="I2169" s="6">
        <v>56.37</v>
      </c>
      <c r="J2169" s="6">
        <v>1081.28</v>
      </c>
      <c r="K2169" t="s">
        <v>4392</v>
      </c>
      <c r="L2169" t="s">
        <v>4393</v>
      </c>
    </row>
    <row r="2170" spans="1:13" ht="15" customHeight="1" x14ac:dyDescent="0.25">
      <c r="A2170">
        <v>2169</v>
      </c>
      <c r="B2170" s="5">
        <v>45663</v>
      </c>
      <c r="C2170" t="s">
        <v>47</v>
      </c>
      <c r="D2170" t="s">
        <v>63</v>
      </c>
      <c r="E2170" t="s">
        <v>64</v>
      </c>
      <c r="F2170" t="s">
        <v>50</v>
      </c>
      <c r="G2170" s="6">
        <v>945.6</v>
      </c>
      <c r="H2170" s="7">
        <v>0.2</v>
      </c>
      <c r="I2170" s="6">
        <v>189.12</v>
      </c>
      <c r="J2170" s="6">
        <v>1134.72</v>
      </c>
      <c r="K2170" t="s">
        <v>4394</v>
      </c>
      <c r="L2170" t="s">
        <v>4395</v>
      </c>
    </row>
    <row r="2171" spans="1:13" ht="15" customHeight="1" x14ac:dyDescent="0.25">
      <c r="A2171">
        <v>2170</v>
      </c>
      <c r="B2171" s="5">
        <v>45826</v>
      </c>
      <c r="C2171" t="s">
        <v>33</v>
      </c>
      <c r="D2171" t="s">
        <v>28</v>
      </c>
      <c r="E2171" t="s">
        <v>29</v>
      </c>
      <c r="F2171" t="s">
        <v>50</v>
      </c>
      <c r="G2171" s="6">
        <v>495.96</v>
      </c>
      <c r="H2171" s="7">
        <v>2.1000000000000001E-2</v>
      </c>
      <c r="I2171" s="6">
        <v>10.42</v>
      </c>
      <c r="J2171" s="6">
        <v>506.38</v>
      </c>
      <c r="K2171" t="s">
        <v>4396</v>
      </c>
      <c r="L2171" t="s">
        <v>4397</v>
      </c>
    </row>
    <row r="2172" spans="1:13" ht="15" customHeight="1" x14ac:dyDescent="0.25">
      <c r="A2172">
        <v>2171</v>
      </c>
      <c r="B2172" s="5">
        <v>45968</v>
      </c>
      <c r="C2172" t="s">
        <v>27</v>
      </c>
      <c r="D2172" t="s">
        <v>100</v>
      </c>
      <c r="E2172" t="s">
        <v>101</v>
      </c>
      <c r="F2172" t="s">
        <v>44</v>
      </c>
      <c r="G2172" s="6">
        <v>3353.32</v>
      </c>
      <c r="H2172" s="7">
        <v>0</v>
      </c>
      <c r="I2172" s="6">
        <v>0</v>
      </c>
      <c r="J2172" s="6">
        <v>3353.32</v>
      </c>
      <c r="K2172" t="s">
        <v>4398</v>
      </c>
      <c r="L2172" t="s">
        <v>4399</v>
      </c>
    </row>
    <row r="2173" spans="1:13" ht="15" customHeight="1" x14ac:dyDescent="0.25">
      <c r="A2173">
        <v>2172</v>
      </c>
      <c r="B2173" s="5">
        <v>46014</v>
      </c>
      <c r="C2173" t="s">
        <v>47</v>
      </c>
      <c r="D2173" t="s">
        <v>63</v>
      </c>
      <c r="E2173" t="s">
        <v>64</v>
      </c>
      <c r="F2173" t="s">
        <v>174</v>
      </c>
      <c r="G2173" s="6">
        <v>3192.85</v>
      </c>
      <c r="H2173" s="7">
        <v>0.2</v>
      </c>
      <c r="I2173" s="6">
        <v>638.57000000000005</v>
      </c>
      <c r="J2173" s="6">
        <v>3831.42</v>
      </c>
      <c r="K2173" t="s">
        <v>4400</v>
      </c>
      <c r="L2173" t="s">
        <v>4401</v>
      </c>
    </row>
    <row r="2174" spans="1:13" ht="15" customHeight="1" x14ac:dyDescent="0.25">
      <c r="A2174">
        <v>2173</v>
      </c>
      <c r="B2174" s="5">
        <v>45673</v>
      </c>
      <c r="C2174" t="s">
        <v>33</v>
      </c>
      <c r="D2174" t="s">
        <v>94</v>
      </c>
      <c r="E2174" t="s">
        <v>95</v>
      </c>
      <c r="F2174" t="s">
        <v>44</v>
      </c>
      <c r="G2174" s="6">
        <v>2818.94</v>
      </c>
      <c r="H2174" s="7">
        <v>0</v>
      </c>
      <c r="I2174" s="6">
        <v>0</v>
      </c>
      <c r="J2174" s="6">
        <v>2818.94</v>
      </c>
      <c r="K2174" t="s">
        <v>4402</v>
      </c>
      <c r="L2174" t="s">
        <v>4403</v>
      </c>
    </row>
    <row r="2175" spans="1:13" ht="15" customHeight="1" x14ac:dyDescent="0.25">
      <c r="A2175">
        <v>2174</v>
      </c>
      <c r="B2175" s="5">
        <v>45989</v>
      </c>
      <c r="C2175" t="s">
        <v>27</v>
      </c>
      <c r="D2175" t="s">
        <v>79</v>
      </c>
      <c r="E2175" t="s">
        <v>80</v>
      </c>
      <c r="F2175" t="s">
        <v>87</v>
      </c>
      <c r="G2175" s="6">
        <v>3397.59</v>
      </c>
      <c r="H2175" s="7">
        <v>0.2</v>
      </c>
      <c r="I2175" s="6">
        <v>679.52</v>
      </c>
      <c r="J2175" s="6">
        <v>4077.11</v>
      </c>
      <c r="K2175" t="s">
        <v>4404</v>
      </c>
      <c r="L2175" t="s">
        <v>4405</v>
      </c>
    </row>
    <row r="2176" spans="1:13" ht="15" customHeight="1" x14ac:dyDescent="0.25">
      <c r="A2176">
        <v>2175</v>
      </c>
      <c r="B2176" s="5">
        <v>45736</v>
      </c>
      <c r="C2176" t="s">
        <v>47</v>
      </c>
      <c r="D2176" t="s">
        <v>28</v>
      </c>
      <c r="E2176" t="s">
        <v>29</v>
      </c>
      <c r="F2176" t="s">
        <v>30</v>
      </c>
      <c r="G2176" s="6">
        <v>3198.93</v>
      </c>
      <c r="H2176" s="7">
        <v>2.1000000000000001E-2</v>
      </c>
      <c r="I2176" s="6">
        <v>67.180000000000007</v>
      </c>
      <c r="J2176" s="6">
        <v>3266.11</v>
      </c>
      <c r="K2176" t="s">
        <v>4406</v>
      </c>
      <c r="L2176" t="s">
        <v>4407</v>
      </c>
    </row>
    <row r="2177" spans="1:13" ht="15" customHeight="1" x14ac:dyDescent="0.25">
      <c r="A2177">
        <v>2176</v>
      </c>
      <c r="B2177" s="5">
        <v>45719</v>
      </c>
      <c r="C2177" t="s">
        <v>33</v>
      </c>
      <c r="D2177" t="s">
        <v>28</v>
      </c>
      <c r="E2177" t="s">
        <v>29</v>
      </c>
      <c r="F2177" t="s">
        <v>120</v>
      </c>
      <c r="G2177" s="6">
        <v>327.73</v>
      </c>
      <c r="H2177" s="7">
        <v>2.1000000000000001E-2</v>
      </c>
      <c r="I2177" s="6">
        <v>6.88</v>
      </c>
      <c r="J2177" s="6">
        <v>334.61</v>
      </c>
      <c r="K2177" t="s">
        <v>4408</v>
      </c>
      <c r="L2177" t="s">
        <v>4409</v>
      </c>
    </row>
    <row r="2178" spans="1:13" ht="15" customHeight="1" x14ac:dyDescent="0.25">
      <c r="A2178">
        <v>2177</v>
      </c>
      <c r="B2178" s="5">
        <v>45936</v>
      </c>
      <c r="C2178" t="s">
        <v>33</v>
      </c>
      <c r="D2178" t="s">
        <v>55</v>
      </c>
      <c r="E2178" t="s">
        <v>56</v>
      </c>
      <c r="F2178" t="s">
        <v>71</v>
      </c>
      <c r="G2178" s="6">
        <v>1306.45</v>
      </c>
      <c r="H2178" s="7">
        <v>5.5E-2</v>
      </c>
      <c r="I2178" s="6">
        <v>71.849999999999994</v>
      </c>
      <c r="J2178" s="6">
        <v>1378.3</v>
      </c>
      <c r="K2178" t="s">
        <v>4410</v>
      </c>
      <c r="L2178" t="s">
        <v>4411</v>
      </c>
    </row>
    <row r="2179" spans="1:13" ht="15" customHeight="1" x14ac:dyDescent="0.25">
      <c r="A2179">
        <v>2178</v>
      </c>
      <c r="B2179" s="5">
        <v>45828</v>
      </c>
      <c r="C2179" t="s">
        <v>27</v>
      </c>
      <c r="D2179" t="s">
        <v>42</v>
      </c>
      <c r="E2179" t="s">
        <v>43</v>
      </c>
      <c r="F2179" t="s">
        <v>44</v>
      </c>
      <c r="G2179" s="6">
        <v>3835.75</v>
      </c>
      <c r="H2179" s="7">
        <v>0</v>
      </c>
      <c r="I2179" s="6">
        <v>0</v>
      </c>
      <c r="J2179" s="6">
        <v>3835.75</v>
      </c>
      <c r="K2179" t="s">
        <v>4412</v>
      </c>
      <c r="L2179" t="s">
        <v>4413</v>
      </c>
    </row>
    <row r="2180" spans="1:13" ht="15" customHeight="1" x14ac:dyDescent="0.25">
      <c r="A2180">
        <v>2179</v>
      </c>
      <c r="B2180" s="5">
        <v>45648</v>
      </c>
      <c r="C2180" t="s">
        <v>27</v>
      </c>
      <c r="D2180" t="s">
        <v>28</v>
      </c>
      <c r="E2180" t="s">
        <v>29</v>
      </c>
      <c r="F2180" t="s">
        <v>50</v>
      </c>
      <c r="G2180" s="6">
        <v>3271.84</v>
      </c>
      <c r="H2180" s="7">
        <v>2.1000000000000001E-2</v>
      </c>
      <c r="I2180" s="6">
        <v>68.709999999999994</v>
      </c>
      <c r="J2180" s="6">
        <v>3340.55</v>
      </c>
      <c r="K2180" t="s">
        <v>4414</v>
      </c>
      <c r="L2180" t="s">
        <v>4415</v>
      </c>
      <c r="M2180" t="s">
        <v>1282</v>
      </c>
    </row>
    <row r="2181" spans="1:13" ht="15" customHeight="1" x14ac:dyDescent="0.25">
      <c r="A2181">
        <v>2180</v>
      </c>
      <c r="B2181" s="5">
        <v>45999</v>
      </c>
      <c r="C2181" t="s">
        <v>33</v>
      </c>
      <c r="D2181" t="s">
        <v>100</v>
      </c>
      <c r="E2181" t="s">
        <v>101</v>
      </c>
      <c r="F2181" t="s">
        <v>44</v>
      </c>
      <c r="G2181" s="6">
        <v>1955.89</v>
      </c>
      <c r="H2181" s="7">
        <v>0</v>
      </c>
      <c r="I2181" s="6">
        <v>0</v>
      </c>
      <c r="J2181" s="6">
        <v>1955.89</v>
      </c>
      <c r="K2181" t="s">
        <v>4416</v>
      </c>
      <c r="L2181" t="s">
        <v>4417</v>
      </c>
    </row>
    <row r="2182" spans="1:13" ht="15" customHeight="1" x14ac:dyDescent="0.25">
      <c r="A2182">
        <v>2181</v>
      </c>
      <c r="B2182" s="5">
        <v>45649</v>
      </c>
      <c r="C2182" t="s">
        <v>27</v>
      </c>
      <c r="D2182" t="s">
        <v>28</v>
      </c>
      <c r="E2182" t="s">
        <v>29</v>
      </c>
      <c r="F2182" t="s">
        <v>39</v>
      </c>
      <c r="G2182" s="6">
        <v>842.83</v>
      </c>
      <c r="H2182" s="7">
        <v>2.1000000000000001E-2</v>
      </c>
      <c r="I2182" s="6">
        <v>17.7</v>
      </c>
      <c r="J2182" s="6">
        <v>860.53</v>
      </c>
      <c r="K2182" t="s">
        <v>4418</v>
      </c>
      <c r="L2182" t="s">
        <v>4419</v>
      </c>
      <c r="M2182" t="s">
        <v>1282</v>
      </c>
    </row>
    <row r="2183" spans="1:13" ht="15" customHeight="1" x14ac:dyDescent="0.25">
      <c r="A2183">
        <v>2182</v>
      </c>
      <c r="B2183" s="5">
        <v>45916</v>
      </c>
      <c r="C2183" t="s">
        <v>27</v>
      </c>
      <c r="D2183" t="s">
        <v>28</v>
      </c>
      <c r="E2183" t="s">
        <v>29</v>
      </c>
      <c r="F2183" t="s">
        <v>120</v>
      </c>
      <c r="G2183" s="6">
        <v>1888.89</v>
      </c>
      <c r="H2183" s="7">
        <v>2.1000000000000001E-2</v>
      </c>
      <c r="I2183" s="6">
        <v>39.67</v>
      </c>
      <c r="J2183" s="6">
        <v>1928.56</v>
      </c>
      <c r="K2183" t="s">
        <v>4420</v>
      </c>
      <c r="L2183" t="s">
        <v>4421</v>
      </c>
    </row>
    <row r="2184" spans="1:13" ht="15" customHeight="1" x14ac:dyDescent="0.25">
      <c r="A2184">
        <v>2183</v>
      </c>
      <c r="B2184" s="5">
        <v>45945</v>
      </c>
      <c r="C2184" t="s">
        <v>33</v>
      </c>
      <c r="D2184" t="s">
        <v>55</v>
      </c>
      <c r="E2184" t="s">
        <v>56</v>
      </c>
      <c r="F2184" t="s">
        <v>50</v>
      </c>
      <c r="G2184" s="6">
        <v>1630.03</v>
      </c>
      <c r="H2184" s="7">
        <v>5.5E-2</v>
      </c>
      <c r="I2184" s="6">
        <v>89.65</v>
      </c>
      <c r="J2184" s="6">
        <v>1719.68</v>
      </c>
      <c r="K2184" t="s">
        <v>4422</v>
      </c>
      <c r="L2184" t="s">
        <v>4423</v>
      </c>
    </row>
    <row r="2185" spans="1:13" ht="15" customHeight="1" x14ac:dyDescent="0.25">
      <c r="A2185">
        <v>2184</v>
      </c>
      <c r="B2185" s="5">
        <v>45702</v>
      </c>
      <c r="C2185" t="s">
        <v>27</v>
      </c>
      <c r="D2185" t="s">
        <v>42</v>
      </c>
      <c r="E2185" t="s">
        <v>43</v>
      </c>
      <c r="F2185" t="s">
        <v>44</v>
      </c>
      <c r="G2185" s="6">
        <v>2911.21</v>
      </c>
      <c r="H2185" s="7">
        <v>0</v>
      </c>
      <c r="I2185" s="6">
        <v>0</v>
      </c>
      <c r="J2185" s="6">
        <v>2911.21</v>
      </c>
      <c r="K2185" t="s">
        <v>4424</v>
      </c>
      <c r="L2185" t="s">
        <v>4425</v>
      </c>
    </row>
    <row r="2186" spans="1:13" ht="15" customHeight="1" x14ac:dyDescent="0.25">
      <c r="A2186">
        <v>2185</v>
      </c>
      <c r="B2186" s="5">
        <v>45702</v>
      </c>
      <c r="C2186" t="s">
        <v>33</v>
      </c>
      <c r="D2186" t="s">
        <v>28</v>
      </c>
      <c r="E2186" t="s">
        <v>29</v>
      </c>
      <c r="F2186" t="s">
        <v>84</v>
      </c>
      <c r="G2186" s="6">
        <v>900.61</v>
      </c>
      <c r="H2186" s="7">
        <v>2.1000000000000001E-2</v>
      </c>
      <c r="I2186" s="6">
        <v>18.91</v>
      </c>
      <c r="J2186" s="6">
        <v>919.52</v>
      </c>
      <c r="K2186" t="s">
        <v>4426</v>
      </c>
      <c r="L2186" t="s">
        <v>4427</v>
      </c>
    </row>
    <row r="2187" spans="1:13" ht="15" customHeight="1" x14ac:dyDescent="0.25">
      <c r="A2187">
        <v>2186</v>
      </c>
      <c r="B2187" s="5">
        <v>45663</v>
      </c>
      <c r="C2187" t="s">
        <v>33</v>
      </c>
      <c r="D2187" t="s">
        <v>42</v>
      </c>
      <c r="E2187" t="s">
        <v>43</v>
      </c>
      <c r="F2187" t="s">
        <v>44</v>
      </c>
      <c r="G2187" s="6">
        <v>2698.87</v>
      </c>
      <c r="H2187" s="7">
        <v>0</v>
      </c>
      <c r="I2187" s="6">
        <v>0</v>
      </c>
      <c r="J2187" s="6">
        <v>2698.87</v>
      </c>
      <c r="K2187" t="s">
        <v>4428</v>
      </c>
      <c r="L2187" t="s">
        <v>4429</v>
      </c>
    </row>
    <row r="2188" spans="1:13" ht="15" customHeight="1" x14ac:dyDescent="0.25">
      <c r="A2188">
        <v>2187</v>
      </c>
      <c r="B2188" s="5">
        <v>46006</v>
      </c>
      <c r="C2188" t="s">
        <v>27</v>
      </c>
      <c r="D2188" t="s">
        <v>100</v>
      </c>
      <c r="E2188" t="s">
        <v>101</v>
      </c>
      <c r="F2188" t="s">
        <v>44</v>
      </c>
      <c r="G2188" s="6">
        <v>3963.55</v>
      </c>
      <c r="H2188" s="7">
        <v>0</v>
      </c>
      <c r="I2188" s="6">
        <v>0</v>
      </c>
      <c r="J2188" s="6">
        <v>3963.55</v>
      </c>
      <c r="K2188" t="s">
        <v>4430</v>
      </c>
      <c r="L2188" t="s">
        <v>4431</v>
      </c>
    </row>
    <row r="2189" spans="1:13" ht="15" customHeight="1" x14ac:dyDescent="0.25">
      <c r="A2189">
        <v>2188</v>
      </c>
      <c r="B2189" s="5">
        <v>45685</v>
      </c>
      <c r="C2189" t="s">
        <v>27</v>
      </c>
      <c r="D2189" t="s">
        <v>42</v>
      </c>
      <c r="E2189" t="s">
        <v>43</v>
      </c>
      <c r="F2189" t="s">
        <v>44</v>
      </c>
      <c r="G2189" s="6">
        <v>2488.98</v>
      </c>
      <c r="H2189" s="7">
        <v>0</v>
      </c>
      <c r="I2189" s="6">
        <v>0</v>
      </c>
      <c r="J2189" s="6">
        <v>2488.98</v>
      </c>
      <c r="K2189" t="s">
        <v>4432</v>
      </c>
      <c r="L2189" t="s">
        <v>4433</v>
      </c>
    </row>
    <row r="2190" spans="1:13" ht="15" customHeight="1" x14ac:dyDescent="0.25">
      <c r="A2190">
        <v>2189</v>
      </c>
      <c r="B2190" s="5">
        <v>45869</v>
      </c>
      <c r="C2190" t="s">
        <v>33</v>
      </c>
      <c r="D2190" t="s">
        <v>172</v>
      </c>
      <c r="E2190" t="s">
        <v>173</v>
      </c>
      <c r="F2190" t="s">
        <v>71</v>
      </c>
      <c r="G2190" s="6">
        <v>1078.74</v>
      </c>
      <c r="H2190" s="7">
        <v>0.2</v>
      </c>
      <c r="I2190" s="6">
        <v>215.75</v>
      </c>
      <c r="J2190" s="6">
        <v>1294.49</v>
      </c>
      <c r="K2190" t="s">
        <v>4434</v>
      </c>
      <c r="L2190" t="s">
        <v>4435</v>
      </c>
    </row>
    <row r="2191" spans="1:13" ht="15" customHeight="1" x14ac:dyDescent="0.25">
      <c r="A2191">
        <v>2190</v>
      </c>
      <c r="B2191" s="5">
        <v>45790</v>
      </c>
      <c r="C2191" t="s">
        <v>33</v>
      </c>
      <c r="D2191" t="s">
        <v>28</v>
      </c>
      <c r="E2191" t="s">
        <v>29</v>
      </c>
      <c r="F2191" t="s">
        <v>174</v>
      </c>
      <c r="G2191" s="6">
        <v>3163.21</v>
      </c>
      <c r="H2191" s="7">
        <v>2.1000000000000001E-2</v>
      </c>
      <c r="I2191" s="6">
        <v>66.430000000000007</v>
      </c>
      <c r="J2191" s="6">
        <v>3229.64</v>
      </c>
      <c r="K2191" t="s">
        <v>4436</v>
      </c>
      <c r="L2191" t="s">
        <v>4437</v>
      </c>
    </row>
    <row r="2192" spans="1:13" ht="15" customHeight="1" x14ac:dyDescent="0.25">
      <c r="A2192">
        <v>2191</v>
      </c>
      <c r="B2192" s="5">
        <v>45986</v>
      </c>
      <c r="C2192" t="s">
        <v>47</v>
      </c>
      <c r="D2192" t="s">
        <v>55</v>
      </c>
      <c r="E2192" t="s">
        <v>56</v>
      </c>
      <c r="F2192" t="s">
        <v>120</v>
      </c>
      <c r="G2192" s="6">
        <v>2391.85</v>
      </c>
      <c r="H2192" s="7">
        <v>5.5E-2</v>
      </c>
      <c r="I2192" s="6">
        <v>131.55000000000001</v>
      </c>
      <c r="J2192" s="6">
        <v>2523.4</v>
      </c>
      <c r="K2192" t="s">
        <v>4438</v>
      </c>
      <c r="L2192" t="s">
        <v>4439</v>
      </c>
    </row>
    <row r="2193" spans="1:13" ht="15" customHeight="1" x14ac:dyDescent="0.25">
      <c r="A2193">
        <v>2192</v>
      </c>
      <c r="B2193" s="5">
        <v>45646</v>
      </c>
      <c r="C2193" t="s">
        <v>33</v>
      </c>
      <c r="D2193" t="s">
        <v>28</v>
      </c>
      <c r="E2193" t="s">
        <v>29</v>
      </c>
      <c r="F2193" t="s">
        <v>106</v>
      </c>
      <c r="G2193" s="6">
        <v>1784.71</v>
      </c>
      <c r="H2193" s="7">
        <v>2.1000000000000001E-2</v>
      </c>
      <c r="I2193" s="6">
        <v>37.479999999999997</v>
      </c>
      <c r="J2193" s="6">
        <v>1822.19</v>
      </c>
      <c r="K2193" t="s">
        <v>4440</v>
      </c>
      <c r="L2193" t="s">
        <v>4441</v>
      </c>
      <c r="M2193" t="s">
        <v>1282</v>
      </c>
    </row>
    <row r="2194" spans="1:13" ht="15" customHeight="1" x14ac:dyDescent="0.25">
      <c r="A2194">
        <v>2193</v>
      </c>
      <c r="B2194" s="5">
        <v>45880</v>
      </c>
      <c r="C2194" t="s">
        <v>33</v>
      </c>
      <c r="D2194" t="s">
        <v>94</v>
      </c>
      <c r="E2194" t="s">
        <v>95</v>
      </c>
      <c r="F2194" t="s">
        <v>44</v>
      </c>
      <c r="G2194" s="6">
        <v>2527.27</v>
      </c>
      <c r="H2194" s="7">
        <v>0</v>
      </c>
      <c r="I2194" s="6">
        <v>0</v>
      </c>
      <c r="J2194" s="6">
        <v>2527.27</v>
      </c>
      <c r="K2194" t="s">
        <v>4442</v>
      </c>
      <c r="L2194" t="s">
        <v>4443</v>
      </c>
    </row>
    <row r="2195" spans="1:13" ht="15" customHeight="1" x14ac:dyDescent="0.25">
      <c r="A2195">
        <v>2194</v>
      </c>
      <c r="B2195" s="5">
        <v>46016</v>
      </c>
      <c r="C2195" t="s">
        <v>47</v>
      </c>
      <c r="D2195" t="s">
        <v>28</v>
      </c>
      <c r="E2195" t="s">
        <v>29</v>
      </c>
      <c r="F2195" t="s">
        <v>106</v>
      </c>
      <c r="G2195" s="6">
        <v>4360.7299999999996</v>
      </c>
      <c r="H2195" s="7">
        <v>2.1000000000000001E-2</v>
      </c>
      <c r="I2195" s="6">
        <v>91.58</v>
      </c>
      <c r="J2195" s="6">
        <v>4452.3100000000004</v>
      </c>
      <c r="K2195" t="s">
        <v>4444</v>
      </c>
      <c r="L2195" t="s">
        <v>4445</v>
      </c>
    </row>
    <row r="2196" spans="1:13" ht="15" customHeight="1" x14ac:dyDescent="0.25">
      <c r="A2196">
        <v>2195</v>
      </c>
      <c r="B2196" s="5">
        <v>45765</v>
      </c>
      <c r="C2196" t="s">
        <v>27</v>
      </c>
      <c r="D2196" t="s">
        <v>42</v>
      </c>
      <c r="E2196" t="s">
        <v>43</v>
      </c>
      <c r="F2196" t="s">
        <v>44</v>
      </c>
      <c r="G2196" s="6">
        <v>2922.45</v>
      </c>
      <c r="H2196" s="7">
        <v>0</v>
      </c>
      <c r="I2196" s="6">
        <v>0</v>
      </c>
      <c r="J2196" s="6">
        <v>2922.45</v>
      </c>
      <c r="K2196" t="s">
        <v>4446</v>
      </c>
      <c r="L2196" t="s">
        <v>4447</v>
      </c>
    </row>
    <row r="2197" spans="1:13" ht="15" customHeight="1" x14ac:dyDescent="0.25">
      <c r="A2197">
        <v>2196</v>
      </c>
      <c r="B2197" s="5">
        <v>45981</v>
      </c>
      <c r="C2197" t="s">
        <v>33</v>
      </c>
      <c r="D2197" t="s">
        <v>172</v>
      </c>
      <c r="E2197" t="s">
        <v>173</v>
      </c>
      <c r="F2197" t="s">
        <v>30</v>
      </c>
      <c r="G2197" s="6">
        <v>904</v>
      </c>
      <c r="H2197" s="7">
        <v>0.2</v>
      </c>
      <c r="I2197" s="6">
        <v>180.8</v>
      </c>
      <c r="J2197" s="6">
        <v>1084.8</v>
      </c>
      <c r="K2197" t="s">
        <v>4448</v>
      </c>
      <c r="L2197" t="s">
        <v>4449</v>
      </c>
    </row>
    <row r="2198" spans="1:13" ht="15" customHeight="1" x14ac:dyDescent="0.25">
      <c r="A2198">
        <v>2197</v>
      </c>
      <c r="B2198" s="5">
        <v>45946</v>
      </c>
      <c r="C2198" t="s">
        <v>27</v>
      </c>
      <c r="D2198" t="s">
        <v>55</v>
      </c>
      <c r="E2198" t="s">
        <v>56</v>
      </c>
      <c r="F2198" t="s">
        <v>84</v>
      </c>
      <c r="G2198" s="6">
        <v>1750.36</v>
      </c>
      <c r="H2198" s="7">
        <v>5.5E-2</v>
      </c>
      <c r="I2198" s="6">
        <v>96.27</v>
      </c>
      <c r="J2198" s="6">
        <v>1846.63</v>
      </c>
      <c r="K2198" t="s">
        <v>4450</v>
      </c>
      <c r="L2198" t="s">
        <v>4451</v>
      </c>
    </row>
    <row r="2199" spans="1:13" ht="15" customHeight="1" x14ac:dyDescent="0.25">
      <c r="A2199">
        <v>2198</v>
      </c>
      <c r="B2199" s="5">
        <v>45980</v>
      </c>
      <c r="C2199" t="s">
        <v>47</v>
      </c>
      <c r="D2199" t="s">
        <v>42</v>
      </c>
      <c r="E2199" t="s">
        <v>43</v>
      </c>
      <c r="F2199" t="s">
        <v>44</v>
      </c>
      <c r="G2199" s="6">
        <v>3962.46</v>
      </c>
      <c r="H2199" s="7">
        <v>0</v>
      </c>
      <c r="I2199" s="6">
        <v>0</v>
      </c>
      <c r="J2199" s="6">
        <v>3962.46</v>
      </c>
      <c r="K2199" t="s">
        <v>4452</v>
      </c>
      <c r="L2199" t="s">
        <v>4453</v>
      </c>
    </row>
    <row r="2200" spans="1:13" ht="15" customHeight="1" x14ac:dyDescent="0.25">
      <c r="A2200">
        <v>2199</v>
      </c>
      <c r="B2200" s="5">
        <v>45989</v>
      </c>
      <c r="C2200" t="s">
        <v>47</v>
      </c>
      <c r="D2200" t="s">
        <v>79</v>
      </c>
      <c r="E2200" t="s">
        <v>80</v>
      </c>
      <c r="F2200" t="s">
        <v>30</v>
      </c>
      <c r="G2200" s="6">
        <v>4071.17</v>
      </c>
      <c r="H2200" s="7">
        <v>0.2</v>
      </c>
      <c r="I2200" s="6">
        <v>814.23</v>
      </c>
      <c r="J2200" s="6">
        <v>4885.3999999999996</v>
      </c>
      <c r="K2200" t="s">
        <v>4454</v>
      </c>
      <c r="L2200" t="s">
        <v>4455</v>
      </c>
    </row>
    <row r="2201" spans="1:13" ht="15" customHeight="1" x14ac:dyDescent="0.25">
      <c r="A2201">
        <v>2200</v>
      </c>
      <c r="B2201" s="5">
        <v>45937</v>
      </c>
      <c r="C2201" t="s">
        <v>47</v>
      </c>
      <c r="D2201" t="s">
        <v>28</v>
      </c>
      <c r="E2201" t="s">
        <v>29</v>
      </c>
      <c r="F2201" t="s">
        <v>39</v>
      </c>
      <c r="G2201" s="6">
        <v>902.83</v>
      </c>
      <c r="H2201" s="7">
        <v>2.1000000000000001E-2</v>
      </c>
      <c r="I2201" s="6">
        <v>18.96</v>
      </c>
      <c r="J2201" s="6">
        <v>921.79</v>
      </c>
      <c r="K2201" t="s">
        <v>4456</v>
      </c>
      <c r="L2201" t="s">
        <v>4457</v>
      </c>
    </row>
    <row r="2202" spans="1:13" ht="15" customHeight="1" x14ac:dyDescent="0.25">
      <c r="A2202">
        <v>2201</v>
      </c>
      <c r="B2202" s="5">
        <v>45952</v>
      </c>
      <c r="C2202" t="s">
        <v>27</v>
      </c>
      <c r="D2202" t="s">
        <v>79</v>
      </c>
      <c r="E2202" t="s">
        <v>80</v>
      </c>
      <c r="F2202" t="s">
        <v>81</v>
      </c>
      <c r="G2202" s="6">
        <v>3149.68</v>
      </c>
      <c r="H2202" s="7">
        <v>0.2</v>
      </c>
      <c r="I2202" s="6">
        <v>629.94000000000005</v>
      </c>
      <c r="J2202" s="6">
        <v>3779.62</v>
      </c>
      <c r="K2202" t="s">
        <v>4458</v>
      </c>
      <c r="L2202" t="s">
        <v>4459</v>
      </c>
    </row>
    <row r="2203" spans="1:13" ht="15" customHeight="1" x14ac:dyDescent="0.25">
      <c r="A2203">
        <v>2202</v>
      </c>
      <c r="B2203" s="5">
        <v>45849</v>
      </c>
      <c r="C2203" t="s">
        <v>47</v>
      </c>
      <c r="D2203" t="s">
        <v>42</v>
      </c>
      <c r="E2203" t="s">
        <v>43</v>
      </c>
      <c r="F2203" t="s">
        <v>44</v>
      </c>
      <c r="G2203" s="6">
        <v>2958.14</v>
      </c>
      <c r="H2203" s="7">
        <v>0</v>
      </c>
      <c r="I2203" s="6">
        <v>0</v>
      </c>
      <c r="J2203" s="6">
        <v>2958.14</v>
      </c>
      <c r="K2203" t="s">
        <v>4460</v>
      </c>
      <c r="L2203" t="s">
        <v>4461</v>
      </c>
    </row>
    <row r="2204" spans="1:13" ht="15" customHeight="1" x14ac:dyDescent="0.25">
      <c r="A2204">
        <v>2203</v>
      </c>
      <c r="B2204" s="5">
        <v>45777</v>
      </c>
      <c r="C2204" t="s">
        <v>47</v>
      </c>
      <c r="D2204" t="s">
        <v>28</v>
      </c>
      <c r="E2204" t="s">
        <v>29</v>
      </c>
      <c r="F2204" t="s">
        <v>106</v>
      </c>
      <c r="G2204" s="6">
        <v>3453.22</v>
      </c>
      <c r="H2204" s="7">
        <v>2.1000000000000001E-2</v>
      </c>
      <c r="I2204" s="6">
        <v>72.52</v>
      </c>
      <c r="J2204" s="6">
        <v>3525.74</v>
      </c>
      <c r="K2204" t="s">
        <v>4462</v>
      </c>
      <c r="L2204" t="s">
        <v>4463</v>
      </c>
    </row>
    <row r="2205" spans="1:13" ht="15" customHeight="1" x14ac:dyDescent="0.25">
      <c r="A2205">
        <v>2204</v>
      </c>
      <c r="B2205" s="5">
        <v>45953</v>
      </c>
      <c r="C2205" t="s">
        <v>47</v>
      </c>
      <c r="D2205" t="s">
        <v>63</v>
      </c>
      <c r="E2205" t="s">
        <v>64</v>
      </c>
      <c r="F2205" t="s">
        <v>39</v>
      </c>
      <c r="G2205" s="6">
        <v>1851.32</v>
      </c>
      <c r="H2205" s="7">
        <v>0.2</v>
      </c>
      <c r="I2205" s="6">
        <v>370.26</v>
      </c>
      <c r="J2205" s="6">
        <v>2221.58</v>
      </c>
      <c r="K2205" t="s">
        <v>4464</v>
      </c>
      <c r="L2205" t="s">
        <v>4465</v>
      </c>
    </row>
    <row r="2206" spans="1:13" ht="15" customHeight="1" x14ac:dyDescent="0.25">
      <c r="A2206">
        <v>2205</v>
      </c>
      <c r="B2206" s="5">
        <v>45811</v>
      </c>
      <c r="C2206" t="s">
        <v>27</v>
      </c>
      <c r="D2206" t="s">
        <v>28</v>
      </c>
      <c r="E2206" t="s">
        <v>29</v>
      </c>
      <c r="F2206" t="s">
        <v>81</v>
      </c>
      <c r="G2206" s="6">
        <v>3998.75</v>
      </c>
      <c r="H2206" s="7">
        <v>2.1000000000000001E-2</v>
      </c>
      <c r="I2206" s="6">
        <v>83.97</v>
      </c>
      <c r="J2206" s="6">
        <v>4082.72</v>
      </c>
      <c r="K2206" t="s">
        <v>4466</v>
      </c>
      <c r="L2206" t="s">
        <v>4467</v>
      </c>
    </row>
    <row r="2207" spans="1:13" ht="15" customHeight="1" x14ac:dyDescent="0.25">
      <c r="A2207">
        <v>2206</v>
      </c>
      <c r="B2207" s="5">
        <v>45729</v>
      </c>
      <c r="C2207" t="s">
        <v>33</v>
      </c>
      <c r="D2207" t="s">
        <v>100</v>
      </c>
      <c r="E2207" t="s">
        <v>101</v>
      </c>
      <c r="F2207" t="s">
        <v>44</v>
      </c>
      <c r="G2207" s="6">
        <v>2599.5500000000002</v>
      </c>
      <c r="H2207" s="7">
        <v>0</v>
      </c>
      <c r="I2207" s="6">
        <v>0</v>
      </c>
      <c r="J2207" s="6">
        <v>2599.5500000000002</v>
      </c>
      <c r="K2207" t="s">
        <v>4468</v>
      </c>
      <c r="L2207" t="s">
        <v>4469</v>
      </c>
    </row>
    <row r="2208" spans="1:13" ht="15" customHeight="1" x14ac:dyDescent="0.25">
      <c r="A2208">
        <v>2207</v>
      </c>
      <c r="B2208" s="5">
        <v>45730</v>
      </c>
      <c r="C2208" t="s">
        <v>33</v>
      </c>
      <c r="D2208" t="s">
        <v>55</v>
      </c>
      <c r="E2208" t="s">
        <v>56</v>
      </c>
      <c r="F2208" t="s">
        <v>76</v>
      </c>
      <c r="G2208" s="6">
        <v>3622.58</v>
      </c>
      <c r="H2208" s="7">
        <v>5.5E-2</v>
      </c>
      <c r="I2208" s="6">
        <v>199.24</v>
      </c>
      <c r="J2208" s="6">
        <v>3821.82</v>
      </c>
      <c r="K2208" t="s">
        <v>4470</v>
      </c>
      <c r="L2208" t="s">
        <v>4471</v>
      </c>
    </row>
    <row r="2209" spans="1:13" ht="15" customHeight="1" x14ac:dyDescent="0.25">
      <c r="A2209">
        <v>2208</v>
      </c>
      <c r="B2209" s="5">
        <v>45995</v>
      </c>
      <c r="C2209" t="s">
        <v>33</v>
      </c>
      <c r="D2209" t="s">
        <v>79</v>
      </c>
      <c r="E2209" t="s">
        <v>80</v>
      </c>
      <c r="F2209" t="s">
        <v>30</v>
      </c>
      <c r="G2209" s="6">
        <v>731.91</v>
      </c>
      <c r="H2209" s="7">
        <v>0.2</v>
      </c>
      <c r="I2209" s="6">
        <v>146.38</v>
      </c>
      <c r="J2209" s="6">
        <v>878.29</v>
      </c>
      <c r="K2209" t="s">
        <v>4472</v>
      </c>
      <c r="L2209" t="s">
        <v>4473</v>
      </c>
    </row>
    <row r="2210" spans="1:13" ht="15" customHeight="1" x14ac:dyDescent="0.25">
      <c r="A2210">
        <v>2209</v>
      </c>
      <c r="B2210" s="5">
        <v>45778</v>
      </c>
      <c r="C2210" t="s">
        <v>47</v>
      </c>
      <c r="D2210" t="s">
        <v>28</v>
      </c>
      <c r="E2210" t="s">
        <v>29</v>
      </c>
      <c r="F2210" t="s">
        <v>36</v>
      </c>
      <c r="G2210" s="6">
        <v>3871.31</v>
      </c>
      <c r="H2210" s="7">
        <v>2.1000000000000001E-2</v>
      </c>
      <c r="I2210" s="6">
        <v>81.3</v>
      </c>
      <c r="J2210" s="6">
        <v>3952.61</v>
      </c>
      <c r="K2210" t="s">
        <v>4474</v>
      </c>
      <c r="L2210" t="s">
        <v>4475</v>
      </c>
    </row>
    <row r="2211" spans="1:13" ht="15" customHeight="1" x14ac:dyDescent="0.25">
      <c r="A2211">
        <v>2210</v>
      </c>
      <c r="B2211" s="5">
        <v>46008</v>
      </c>
      <c r="C2211" t="s">
        <v>27</v>
      </c>
      <c r="D2211" t="s">
        <v>55</v>
      </c>
      <c r="E2211" t="s">
        <v>56</v>
      </c>
      <c r="F2211" t="s">
        <v>50</v>
      </c>
      <c r="G2211" s="6">
        <v>2534.64</v>
      </c>
      <c r="H2211" s="7">
        <v>5.5E-2</v>
      </c>
      <c r="I2211" s="6">
        <v>139.41</v>
      </c>
      <c r="J2211" s="6">
        <v>2674.05</v>
      </c>
      <c r="K2211" t="s">
        <v>4476</v>
      </c>
      <c r="L2211" t="s">
        <v>4477</v>
      </c>
    </row>
    <row r="2212" spans="1:13" ht="15" customHeight="1" x14ac:dyDescent="0.25">
      <c r="A2212">
        <v>2211</v>
      </c>
      <c r="B2212" s="5">
        <v>45709</v>
      </c>
      <c r="C2212" t="s">
        <v>47</v>
      </c>
      <c r="D2212" t="s">
        <v>28</v>
      </c>
      <c r="E2212" t="s">
        <v>29</v>
      </c>
      <c r="F2212" t="s">
        <v>120</v>
      </c>
      <c r="G2212" s="6">
        <v>2160.94</v>
      </c>
      <c r="H2212" s="7">
        <v>2.1000000000000001E-2</v>
      </c>
      <c r="I2212" s="6">
        <v>45.38</v>
      </c>
      <c r="J2212" s="6">
        <v>2206.3200000000002</v>
      </c>
      <c r="K2212" t="s">
        <v>4478</v>
      </c>
      <c r="L2212" t="s">
        <v>4479</v>
      </c>
    </row>
    <row r="2213" spans="1:13" ht="15" customHeight="1" x14ac:dyDescent="0.25">
      <c r="A2213">
        <v>2212</v>
      </c>
      <c r="B2213" s="5">
        <v>46000</v>
      </c>
      <c r="C2213" t="s">
        <v>27</v>
      </c>
      <c r="D2213" t="s">
        <v>28</v>
      </c>
      <c r="E2213" t="s">
        <v>29</v>
      </c>
      <c r="F2213" t="s">
        <v>76</v>
      </c>
      <c r="G2213" s="6">
        <v>1743.21</v>
      </c>
      <c r="H2213" s="7">
        <v>2.1000000000000001E-2</v>
      </c>
      <c r="I2213" s="6">
        <v>36.61</v>
      </c>
      <c r="J2213" s="6">
        <v>1779.82</v>
      </c>
      <c r="K2213" t="s">
        <v>4480</v>
      </c>
      <c r="L2213" t="s">
        <v>4481</v>
      </c>
    </row>
    <row r="2214" spans="1:13" ht="15" customHeight="1" x14ac:dyDescent="0.25">
      <c r="A2214">
        <v>2213</v>
      </c>
      <c r="B2214" s="5">
        <v>45707</v>
      </c>
      <c r="C2214" t="s">
        <v>33</v>
      </c>
      <c r="D2214" t="s">
        <v>42</v>
      </c>
      <c r="E2214" t="s">
        <v>43</v>
      </c>
      <c r="F2214" t="s">
        <v>44</v>
      </c>
      <c r="G2214" s="6">
        <v>2564.06</v>
      </c>
      <c r="H2214" s="7">
        <v>0</v>
      </c>
      <c r="I2214" s="6">
        <v>0</v>
      </c>
      <c r="J2214" s="6">
        <v>2564.06</v>
      </c>
      <c r="K2214" t="s">
        <v>4482</v>
      </c>
      <c r="L2214" t="s">
        <v>4483</v>
      </c>
    </row>
    <row r="2215" spans="1:13" ht="15" customHeight="1" x14ac:dyDescent="0.25">
      <c r="A2215">
        <v>2214</v>
      </c>
      <c r="B2215" s="5">
        <v>46003</v>
      </c>
      <c r="C2215" t="s">
        <v>47</v>
      </c>
      <c r="D2215" t="s">
        <v>42</v>
      </c>
      <c r="E2215" t="s">
        <v>43</v>
      </c>
      <c r="F2215" t="s">
        <v>44</v>
      </c>
      <c r="G2215" s="6">
        <v>2819.02</v>
      </c>
      <c r="H2215" s="7">
        <v>0</v>
      </c>
      <c r="I2215" s="6">
        <v>0</v>
      </c>
      <c r="J2215" s="6">
        <v>2819.02</v>
      </c>
      <c r="K2215" t="s">
        <v>4484</v>
      </c>
      <c r="L2215" t="s">
        <v>4485</v>
      </c>
    </row>
    <row r="2216" spans="1:13" ht="15" customHeight="1" x14ac:dyDescent="0.25">
      <c r="A2216">
        <v>2215</v>
      </c>
      <c r="B2216" s="5">
        <v>45908</v>
      </c>
      <c r="C2216" t="s">
        <v>27</v>
      </c>
      <c r="D2216" t="s">
        <v>28</v>
      </c>
      <c r="E2216" t="s">
        <v>29</v>
      </c>
      <c r="F2216" t="s">
        <v>84</v>
      </c>
      <c r="G2216" s="6">
        <v>3040.85</v>
      </c>
      <c r="H2216" s="7">
        <v>2.1000000000000001E-2</v>
      </c>
      <c r="I2216" s="6">
        <v>63.86</v>
      </c>
      <c r="J2216" s="6">
        <v>3104.71</v>
      </c>
      <c r="K2216" t="s">
        <v>4486</v>
      </c>
      <c r="L2216" t="s">
        <v>4487</v>
      </c>
    </row>
    <row r="2217" spans="1:13" ht="15" customHeight="1" x14ac:dyDescent="0.25">
      <c r="A2217">
        <v>2216</v>
      </c>
      <c r="B2217" s="5">
        <v>45749</v>
      </c>
      <c r="C2217" t="s">
        <v>33</v>
      </c>
      <c r="D2217" t="s">
        <v>100</v>
      </c>
      <c r="E2217" t="s">
        <v>101</v>
      </c>
      <c r="F2217" t="s">
        <v>44</v>
      </c>
      <c r="G2217" s="6">
        <v>2685.92</v>
      </c>
      <c r="H2217" s="7">
        <v>0</v>
      </c>
      <c r="I2217" s="6">
        <v>0</v>
      </c>
      <c r="J2217" s="6">
        <v>2685.92</v>
      </c>
      <c r="K2217" t="s">
        <v>4488</v>
      </c>
      <c r="L2217" t="s">
        <v>4489</v>
      </c>
    </row>
    <row r="2218" spans="1:13" ht="15" customHeight="1" x14ac:dyDescent="0.25">
      <c r="A2218">
        <v>2217</v>
      </c>
      <c r="B2218" s="5">
        <v>45964</v>
      </c>
      <c r="C2218" t="s">
        <v>27</v>
      </c>
      <c r="D2218" t="s">
        <v>42</v>
      </c>
      <c r="E2218" t="s">
        <v>43</v>
      </c>
      <c r="F2218" t="s">
        <v>44</v>
      </c>
      <c r="G2218" s="6">
        <v>3995.01</v>
      </c>
      <c r="H2218" s="7">
        <v>0</v>
      </c>
      <c r="I2218" s="6">
        <v>0</v>
      </c>
      <c r="J2218" s="6">
        <v>3995.01</v>
      </c>
      <c r="K2218" t="s">
        <v>4490</v>
      </c>
      <c r="L2218" t="s">
        <v>4491</v>
      </c>
    </row>
    <row r="2219" spans="1:13" ht="15" customHeight="1" x14ac:dyDescent="0.25">
      <c r="A2219">
        <v>2218</v>
      </c>
      <c r="B2219" s="5">
        <v>45754</v>
      </c>
      <c r="C2219" t="s">
        <v>33</v>
      </c>
      <c r="D2219" t="s">
        <v>28</v>
      </c>
      <c r="E2219" t="s">
        <v>29</v>
      </c>
      <c r="F2219" t="s">
        <v>174</v>
      </c>
      <c r="G2219" s="6">
        <v>275.58</v>
      </c>
      <c r="H2219" s="7">
        <v>2.1000000000000001E-2</v>
      </c>
      <c r="I2219" s="6">
        <v>5.79</v>
      </c>
      <c r="J2219" s="6">
        <v>281.37</v>
      </c>
      <c r="K2219" t="s">
        <v>4492</v>
      </c>
      <c r="L2219" t="s">
        <v>4493</v>
      </c>
    </row>
    <row r="2220" spans="1:13" ht="15" customHeight="1" x14ac:dyDescent="0.25">
      <c r="A2220">
        <v>2219</v>
      </c>
      <c r="B2220" s="5">
        <v>45992</v>
      </c>
      <c r="C2220" t="s">
        <v>33</v>
      </c>
      <c r="D2220" t="s">
        <v>55</v>
      </c>
      <c r="E2220" t="s">
        <v>56</v>
      </c>
      <c r="F2220" t="s">
        <v>30</v>
      </c>
      <c r="G2220" s="6">
        <v>875.05</v>
      </c>
      <c r="H2220" s="7">
        <v>5.5E-2</v>
      </c>
      <c r="I2220" s="6">
        <v>48.13</v>
      </c>
      <c r="J2220" s="6">
        <v>923.18</v>
      </c>
      <c r="K2220" t="s">
        <v>4494</v>
      </c>
      <c r="L2220" t="s">
        <v>4495</v>
      </c>
    </row>
    <row r="2221" spans="1:13" ht="15" customHeight="1" x14ac:dyDescent="0.25">
      <c r="A2221">
        <v>2220</v>
      </c>
      <c r="B2221" s="5">
        <v>45904</v>
      </c>
      <c r="C2221" t="s">
        <v>47</v>
      </c>
      <c r="D2221" t="s">
        <v>63</v>
      </c>
      <c r="E2221" t="s">
        <v>64</v>
      </c>
      <c r="F2221" t="s">
        <v>36</v>
      </c>
      <c r="G2221" s="6">
        <v>233.93</v>
      </c>
      <c r="H2221" s="7">
        <v>0.2</v>
      </c>
      <c r="I2221" s="6">
        <v>46.79</v>
      </c>
      <c r="J2221" s="6">
        <v>280.72000000000003</v>
      </c>
      <c r="K2221" t="s">
        <v>4496</v>
      </c>
      <c r="L2221" t="s">
        <v>4497</v>
      </c>
    </row>
    <row r="2222" spans="1:13" ht="15" customHeight="1" x14ac:dyDescent="0.25">
      <c r="A2222">
        <v>2221</v>
      </c>
      <c r="B2222" s="5">
        <v>45922</v>
      </c>
      <c r="C2222" t="s">
        <v>33</v>
      </c>
      <c r="D2222" t="s">
        <v>63</v>
      </c>
      <c r="E2222" t="s">
        <v>64</v>
      </c>
      <c r="F2222" t="s">
        <v>76</v>
      </c>
      <c r="G2222" s="6">
        <v>3767.31</v>
      </c>
      <c r="H2222" s="7">
        <v>0.2</v>
      </c>
      <c r="I2222" s="6">
        <v>753.46</v>
      </c>
      <c r="J2222" s="6">
        <v>4520.7700000000004</v>
      </c>
      <c r="K2222" t="s">
        <v>4498</v>
      </c>
      <c r="L2222" t="s">
        <v>4499</v>
      </c>
      <c r="M2222" t="s">
        <v>286</v>
      </c>
    </row>
    <row r="2223" spans="1:13" ht="15" customHeight="1" x14ac:dyDescent="0.25">
      <c r="A2223">
        <v>2222</v>
      </c>
      <c r="B2223" s="5">
        <v>45709</v>
      </c>
      <c r="C2223" t="s">
        <v>33</v>
      </c>
      <c r="D2223" t="s">
        <v>55</v>
      </c>
      <c r="E2223" t="s">
        <v>56</v>
      </c>
      <c r="F2223" t="s">
        <v>36</v>
      </c>
      <c r="G2223" s="6">
        <v>2978.94</v>
      </c>
      <c r="H2223" s="7">
        <v>5.5E-2</v>
      </c>
      <c r="I2223" s="6">
        <v>163.84</v>
      </c>
      <c r="J2223" s="6">
        <v>3142.78</v>
      </c>
      <c r="K2223" t="s">
        <v>4500</v>
      </c>
      <c r="L2223" t="s">
        <v>4501</v>
      </c>
    </row>
    <row r="2224" spans="1:13" ht="15" customHeight="1" x14ac:dyDescent="0.25">
      <c r="A2224">
        <v>2223</v>
      </c>
      <c r="B2224" s="5">
        <v>45723</v>
      </c>
      <c r="C2224" t="s">
        <v>33</v>
      </c>
      <c r="D2224" t="s">
        <v>28</v>
      </c>
      <c r="E2224" t="s">
        <v>29</v>
      </c>
      <c r="F2224" t="s">
        <v>36</v>
      </c>
      <c r="G2224" s="6">
        <v>2620.1</v>
      </c>
      <c r="H2224" s="7">
        <v>2.1000000000000001E-2</v>
      </c>
      <c r="I2224" s="6">
        <v>55.02</v>
      </c>
      <c r="J2224" s="6">
        <v>2675.12</v>
      </c>
      <c r="K2224" t="s">
        <v>4502</v>
      </c>
      <c r="L2224" t="s">
        <v>4503</v>
      </c>
    </row>
    <row r="2225" spans="1:12" ht="15" customHeight="1" x14ac:dyDescent="0.25">
      <c r="A2225">
        <v>2224</v>
      </c>
      <c r="B2225" s="5">
        <v>45992</v>
      </c>
      <c r="C2225" t="s">
        <v>47</v>
      </c>
      <c r="D2225" t="s">
        <v>28</v>
      </c>
      <c r="E2225" t="s">
        <v>29</v>
      </c>
      <c r="F2225" t="s">
        <v>36</v>
      </c>
      <c r="G2225" s="6">
        <v>4322.8500000000004</v>
      </c>
      <c r="H2225" s="7">
        <v>2.1000000000000001E-2</v>
      </c>
      <c r="I2225" s="6">
        <v>90.78</v>
      </c>
      <c r="J2225" s="6">
        <v>4413.63</v>
      </c>
      <c r="K2225" t="s">
        <v>4504</v>
      </c>
      <c r="L2225" t="s">
        <v>4505</v>
      </c>
    </row>
    <row r="2226" spans="1:12" ht="15" customHeight="1" x14ac:dyDescent="0.25">
      <c r="A2226">
        <v>2225</v>
      </c>
      <c r="B2226" s="5">
        <v>45790</v>
      </c>
      <c r="C2226" t="s">
        <v>33</v>
      </c>
      <c r="D2226" t="s">
        <v>55</v>
      </c>
      <c r="E2226" t="s">
        <v>56</v>
      </c>
      <c r="F2226" t="s">
        <v>87</v>
      </c>
      <c r="G2226" s="6">
        <v>3359.93</v>
      </c>
      <c r="H2226" s="7">
        <v>5.5E-2</v>
      </c>
      <c r="I2226" s="6">
        <v>184.8</v>
      </c>
      <c r="J2226" s="6">
        <v>3544.73</v>
      </c>
      <c r="K2226" t="s">
        <v>4506</v>
      </c>
      <c r="L2226" t="s">
        <v>2363</v>
      </c>
    </row>
    <row r="2227" spans="1:12" ht="15" customHeight="1" x14ac:dyDescent="0.25">
      <c r="A2227">
        <v>2226</v>
      </c>
      <c r="B2227" s="5">
        <v>46022</v>
      </c>
      <c r="C2227" t="s">
        <v>47</v>
      </c>
      <c r="D2227" t="s">
        <v>79</v>
      </c>
      <c r="E2227" t="s">
        <v>80</v>
      </c>
      <c r="F2227" t="s">
        <v>106</v>
      </c>
      <c r="G2227" s="6">
        <v>1560.98</v>
      </c>
      <c r="H2227" s="7">
        <v>0.2</v>
      </c>
      <c r="I2227" s="6">
        <v>312.2</v>
      </c>
      <c r="J2227" s="6">
        <v>1873.18</v>
      </c>
      <c r="K2227" t="s">
        <v>4507</v>
      </c>
      <c r="L2227" t="s">
        <v>4508</v>
      </c>
    </row>
    <row r="2228" spans="1:12" ht="15" customHeight="1" x14ac:dyDescent="0.25">
      <c r="A2228">
        <v>2227</v>
      </c>
      <c r="B2228" s="5">
        <v>45875</v>
      </c>
      <c r="C2228" t="s">
        <v>33</v>
      </c>
      <c r="D2228" t="s">
        <v>42</v>
      </c>
      <c r="E2228" t="s">
        <v>43</v>
      </c>
      <c r="F2228" t="s">
        <v>44</v>
      </c>
      <c r="G2228" s="6">
        <v>2720.33</v>
      </c>
      <c r="H2228" s="7">
        <v>0</v>
      </c>
      <c r="I2228" s="6">
        <v>0</v>
      </c>
      <c r="J2228" s="6">
        <v>2720.33</v>
      </c>
      <c r="K2228" t="s">
        <v>4509</v>
      </c>
      <c r="L2228" t="s">
        <v>4510</v>
      </c>
    </row>
    <row r="2229" spans="1:12" ht="15" customHeight="1" x14ac:dyDescent="0.25">
      <c r="A2229">
        <v>2228</v>
      </c>
      <c r="B2229" s="5">
        <v>46020</v>
      </c>
      <c r="C2229" t="s">
        <v>33</v>
      </c>
      <c r="D2229" t="s">
        <v>28</v>
      </c>
      <c r="E2229" t="s">
        <v>29</v>
      </c>
      <c r="F2229" t="s">
        <v>71</v>
      </c>
      <c r="G2229" s="6">
        <v>2688.48</v>
      </c>
      <c r="H2229" s="7">
        <v>2.1000000000000001E-2</v>
      </c>
      <c r="I2229" s="6">
        <v>56.46</v>
      </c>
      <c r="J2229" s="6">
        <v>2744.94</v>
      </c>
      <c r="K2229" t="s">
        <v>4511</v>
      </c>
      <c r="L2229" t="s">
        <v>4512</v>
      </c>
    </row>
    <row r="2230" spans="1:12" ht="15" customHeight="1" x14ac:dyDescent="0.25">
      <c r="A2230">
        <v>2229</v>
      </c>
      <c r="B2230" s="5">
        <v>45890</v>
      </c>
      <c r="C2230" t="s">
        <v>27</v>
      </c>
      <c r="D2230" t="s">
        <v>42</v>
      </c>
      <c r="E2230" t="s">
        <v>43</v>
      </c>
      <c r="F2230" t="s">
        <v>44</v>
      </c>
      <c r="G2230" s="6">
        <v>2915.43</v>
      </c>
      <c r="H2230" s="7">
        <v>0</v>
      </c>
      <c r="I2230" s="6">
        <v>0</v>
      </c>
      <c r="J2230" s="6">
        <v>2915.43</v>
      </c>
      <c r="K2230" t="s">
        <v>4513</v>
      </c>
      <c r="L2230" t="s">
        <v>4514</v>
      </c>
    </row>
    <row r="2231" spans="1:12" ht="15" customHeight="1" x14ac:dyDescent="0.25">
      <c r="A2231">
        <v>2230</v>
      </c>
      <c r="B2231" s="5">
        <v>45845</v>
      </c>
      <c r="C2231" t="s">
        <v>33</v>
      </c>
      <c r="D2231" t="s">
        <v>42</v>
      </c>
      <c r="E2231" t="s">
        <v>43</v>
      </c>
      <c r="F2231" t="s">
        <v>44</v>
      </c>
      <c r="G2231" s="6">
        <v>3238.39</v>
      </c>
      <c r="H2231" s="7">
        <v>0</v>
      </c>
      <c r="I2231" s="6">
        <v>0</v>
      </c>
      <c r="J2231" s="6">
        <v>3238.39</v>
      </c>
      <c r="K2231" t="s">
        <v>4515</v>
      </c>
      <c r="L2231" t="s">
        <v>4516</v>
      </c>
    </row>
    <row r="2232" spans="1:12" ht="15" customHeight="1" x14ac:dyDescent="0.25">
      <c r="A2232">
        <v>2231</v>
      </c>
      <c r="B2232" s="5">
        <v>46003</v>
      </c>
      <c r="C2232" t="s">
        <v>47</v>
      </c>
      <c r="D2232" t="s">
        <v>63</v>
      </c>
      <c r="E2232" t="s">
        <v>64</v>
      </c>
      <c r="F2232" t="s">
        <v>39</v>
      </c>
      <c r="G2232" s="6">
        <v>1388.96</v>
      </c>
      <c r="H2232" s="7">
        <v>0.2</v>
      </c>
      <c r="I2232" s="6">
        <v>277.79000000000002</v>
      </c>
      <c r="J2232" s="6">
        <v>1666.75</v>
      </c>
      <c r="K2232" t="s">
        <v>4517</v>
      </c>
      <c r="L2232" t="s">
        <v>4518</v>
      </c>
    </row>
    <row r="2233" spans="1:12" ht="15" customHeight="1" x14ac:dyDescent="0.25">
      <c r="A2233">
        <v>2232</v>
      </c>
      <c r="B2233" s="5">
        <v>45840</v>
      </c>
      <c r="C2233" t="s">
        <v>47</v>
      </c>
      <c r="D2233" t="s">
        <v>28</v>
      </c>
      <c r="E2233" t="s">
        <v>29</v>
      </c>
      <c r="F2233" t="s">
        <v>76</v>
      </c>
      <c r="G2233" s="6">
        <v>1923.41</v>
      </c>
      <c r="H2233" s="7">
        <v>2.1000000000000001E-2</v>
      </c>
      <c r="I2233" s="6">
        <v>40.39</v>
      </c>
      <c r="J2233" s="6">
        <v>1963.8</v>
      </c>
      <c r="K2233" t="s">
        <v>4519</v>
      </c>
      <c r="L2233" t="s">
        <v>4520</v>
      </c>
    </row>
    <row r="2234" spans="1:12" ht="15" customHeight="1" x14ac:dyDescent="0.25">
      <c r="A2234">
        <v>2233</v>
      </c>
      <c r="B2234" s="5">
        <v>45715</v>
      </c>
      <c r="C2234" t="s">
        <v>47</v>
      </c>
      <c r="D2234" t="s">
        <v>181</v>
      </c>
      <c r="E2234" t="s">
        <v>182</v>
      </c>
      <c r="F2234" t="s">
        <v>39</v>
      </c>
      <c r="G2234" s="6">
        <v>1659.02</v>
      </c>
      <c r="H2234" s="7">
        <v>0.2</v>
      </c>
      <c r="I2234" s="6">
        <v>331.8</v>
      </c>
      <c r="J2234" s="6">
        <v>1990.82</v>
      </c>
      <c r="K2234" t="s">
        <v>4521</v>
      </c>
      <c r="L2234" t="s">
        <v>4522</v>
      </c>
    </row>
    <row r="2235" spans="1:12" ht="15" customHeight="1" x14ac:dyDescent="0.25">
      <c r="A2235">
        <v>2234</v>
      </c>
      <c r="B2235" s="5">
        <v>45747</v>
      </c>
      <c r="C2235" t="s">
        <v>27</v>
      </c>
      <c r="D2235" t="s">
        <v>63</v>
      </c>
      <c r="E2235" t="s">
        <v>64</v>
      </c>
      <c r="F2235" t="s">
        <v>87</v>
      </c>
      <c r="G2235" s="6">
        <v>451.49</v>
      </c>
      <c r="H2235" s="7">
        <v>0.2</v>
      </c>
      <c r="I2235" s="6">
        <v>90.3</v>
      </c>
      <c r="J2235" s="6">
        <v>541.79</v>
      </c>
      <c r="K2235" t="s">
        <v>4523</v>
      </c>
      <c r="L2235" t="s">
        <v>4524</v>
      </c>
    </row>
    <row r="2236" spans="1:12" ht="15" customHeight="1" x14ac:dyDescent="0.25">
      <c r="A2236">
        <v>2235</v>
      </c>
      <c r="B2236" s="5">
        <v>45910</v>
      </c>
      <c r="C2236" t="s">
        <v>27</v>
      </c>
      <c r="D2236" t="s">
        <v>28</v>
      </c>
      <c r="E2236" t="s">
        <v>29</v>
      </c>
      <c r="F2236" t="s">
        <v>174</v>
      </c>
      <c r="G2236" s="6">
        <v>1985.46</v>
      </c>
      <c r="H2236" s="7">
        <v>2.1000000000000001E-2</v>
      </c>
      <c r="I2236" s="6">
        <v>41.69</v>
      </c>
      <c r="J2236" s="6">
        <v>2027.15</v>
      </c>
      <c r="K2236" t="s">
        <v>4525</v>
      </c>
      <c r="L2236" t="s">
        <v>4526</v>
      </c>
    </row>
    <row r="2237" spans="1:12" ht="15" customHeight="1" x14ac:dyDescent="0.25">
      <c r="A2237">
        <v>2236</v>
      </c>
      <c r="B2237" s="5">
        <v>45782</v>
      </c>
      <c r="C2237" t="s">
        <v>47</v>
      </c>
      <c r="D2237" t="s">
        <v>34</v>
      </c>
      <c r="E2237" t="s">
        <v>35</v>
      </c>
      <c r="F2237" t="s">
        <v>81</v>
      </c>
      <c r="G2237" s="6">
        <v>4140.99</v>
      </c>
      <c r="H2237" s="7">
        <v>0.2</v>
      </c>
      <c r="I2237" s="6">
        <v>828.2</v>
      </c>
      <c r="J2237" s="6">
        <v>4969.1899999999996</v>
      </c>
      <c r="K2237" t="s">
        <v>4527</v>
      </c>
      <c r="L2237" t="s">
        <v>4528</v>
      </c>
    </row>
    <row r="2238" spans="1:12" ht="15" customHeight="1" x14ac:dyDescent="0.25">
      <c r="A2238">
        <v>2237</v>
      </c>
      <c r="B2238" s="5">
        <v>45678</v>
      </c>
      <c r="C2238" t="s">
        <v>27</v>
      </c>
      <c r="D2238" t="s">
        <v>172</v>
      </c>
      <c r="E2238" t="s">
        <v>173</v>
      </c>
      <c r="F2238" t="s">
        <v>50</v>
      </c>
      <c r="G2238" s="6">
        <v>418.29</v>
      </c>
      <c r="H2238" s="7">
        <v>0.2</v>
      </c>
      <c r="I2238" s="6">
        <v>83.66</v>
      </c>
      <c r="J2238" s="6">
        <v>501.95</v>
      </c>
      <c r="K2238" t="s">
        <v>4529</v>
      </c>
      <c r="L2238" t="s">
        <v>4530</v>
      </c>
    </row>
    <row r="2239" spans="1:12" ht="15" customHeight="1" x14ac:dyDescent="0.25">
      <c r="A2239">
        <v>2238</v>
      </c>
      <c r="B2239" s="5">
        <v>45709</v>
      </c>
      <c r="C2239" t="s">
        <v>33</v>
      </c>
      <c r="D2239" t="s">
        <v>172</v>
      </c>
      <c r="E2239" t="s">
        <v>173</v>
      </c>
      <c r="F2239" t="s">
        <v>81</v>
      </c>
      <c r="G2239" s="6">
        <v>1768.06</v>
      </c>
      <c r="H2239" s="7">
        <v>0.2</v>
      </c>
      <c r="I2239" s="6">
        <v>353.61</v>
      </c>
      <c r="J2239" s="6">
        <v>2121.67</v>
      </c>
      <c r="K2239" t="s">
        <v>4531</v>
      </c>
      <c r="L2239" t="s">
        <v>4532</v>
      </c>
    </row>
    <row r="2240" spans="1:12" ht="15" customHeight="1" x14ac:dyDescent="0.25">
      <c r="A2240">
        <v>2239</v>
      </c>
      <c r="B2240" s="5">
        <v>45812</v>
      </c>
      <c r="C2240" t="s">
        <v>47</v>
      </c>
      <c r="D2240" t="s">
        <v>100</v>
      </c>
      <c r="E2240" t="s">
        <v>101</v>
      </c>
      <c r="F2240" t="s">
        <v>44</v>
      </c>
      <c r="G2240" s="6">
        <v>1853.72</v>
      </c>
      <c r="H2240" s="7">
        <v>0</v>
      </c>
      <c r="I2240" s="6">
        <v>0</v>
      </c>
      <c r="J2240" s="6">
        <v>1853.72</v>
      </c>
      <c r="K2240" t="s">
        <v>4533</v>
      </c>
      <c r="L2240" t="s">
        <v>4534</v>
      </c>
    </row>
    <row r="2241" spans="1:12" ht="15" customHeight="1" x14ac:dyDescent="0.25">
      <c r="A2241">
        <v>2240</v>
      </c>
      <c r="B2241" s="5">
        <v>45698</v>
      </c>
      <c r="C2241" t="s">
        <v>47</v>
      </c>
      <c r="D2241" t="s">
        <v>42</v>
      </c>
      <c r="E2241" t="s">
        <v>43</v>
      </c>
      <c r="F2241" t="s">
        <v>44</v>
      </c>
      <c r="G2241" s="6">
        <v>2840.24</v>
      </c>
      <c r="H2241" s="7">
        <v>0</v>
      </c>
      <c r="I2241" s="6">
        <v>0</v>
      </c>
      <c r="J2241" s="6">
        <v>2840.24</v>
      </c>
      <c r="K2241" t="s">
        <v>4535</v>
      </c>
      <c r="L2241" t="s">
        <v>4536</v>
      </c>
    </row>
    <row r="2242" spans="1:12" ht="15" customHeight="1" x14ac:dyDescent="0.25">
      <c r="A2242">
        <v>2241</v>
      </c>
      <c r="B2242" s="5">
        <v>45813</v>
      </c>
      <c r="C2242" t="s">
        <v>33</v>
      </c>
      <c r="D2242" t="s">
        <v>172</v>
      </c>
      <c r="E2242" t="s">
        <v>173</v>
      </c>
      <c r="F2242" t="s">
        <v>106</v>
      </c>
      <c r="G2242" s="6">
        <v>2800.87</v>
      </c>
      <c r="H2242" s="7">
        <v>0.2</v>
      </c>
      <c r="I2242" s="6">
        <v>560.16999999999996</v>
      </c>
      <c r="J2242" s="6">
        <v>3361.04</v>
      </c>
      <c r="K2242" t="s">
        <v>4537</v>
      </c>
      <c r="L2242" t="s">
        <v>4538</v>
      </c>
    </row>
    <row r="2243" spans="1:12" ht="15" customHeight="1" x14ac:dyDescent="0.25">
      <c r="A2243">
        <v>2242</v>
      </c>
      <c r="B2243" s="5">
        <v>45849</v>
      </c>
      <c r="C2243" t="s">
        <v>33</v>
      </c>
      <c r="D2243" t="s">
        <v>42</v>
      </c>
      <c r="E2243" t="s">
        <v>43</v>
      </c>
      <c r="F2243" t="s">
        <v>44</v>
      </c>
      <c r="G2243" s="6">
        <v>2316.5</v>
      </c>
      <c r="H2243" s="7">
        <v>0</v>
      </c>
      <c r="I2243" s="6">
        <v>0</v>
      </c>
      <c r="J2243" s="6">
        <v>2316.5</v>
      </c>
      <c r="K2243" t="s">
        <v>4539</v>
      </c>
      <c r="L2243" t="s">
        <v>4540</v>
      </c>
    </row>
    <row r="2244" spans="1:12" ht="15" customHeight="1" x14ac:dyDescent="0.25">
      <c r="A2244">
        <v>2243</v>
      </c>
      <c r="B2244" s="5">
        <v>45799</v>
      </c>
      <c r="C2244" t="s">
        <v>47</v>
      </c>
      <c r="D2244" t="s">
        <v>42</v>
      </c>
      <c r="E2244" t="s">
        <v>43</v>
      </c>
      <c r="F2244" t="s">
        <v>44</v>
      </c>
      <c r="G2244" s="6">
        <v>1909.78</v>
      </c>
      <c r="H2244" s="7">
        <v>0</v>
      </c>
      <c r="I2244" s="6">
        <v>0</v>
      </c>
      <c r="J2244" s="6">
        <v>1909.78</v>
      </c>
      <c r="K2244" t="s">
        <v>4541</v>
      </c>
      <c r="L2244" t="s">
        <v>4542</v>
      </c>
    </row>
    <row r="2245" spans="1:12" ht="15" customHeight="1" x14ac:dyDescent="0.25">
      <c r="A2245">
        <v>2244</v>
      </c>
      <c r="B2245" s="5">
        <v>45797</v>
      </c>
      <c r="C2245" t="s">
        <v>33</v>
      </c>
      <c r="D2245" t="s">
        <v>34</v>
      </c>
      <c r="E2245" t="s">
        <v>35</v>
      </c>
      <c r="F2245" t="s">
        <v>71</v>
      </c>
      <c r="G2245" s="6">
        <v>102.33</v>
      </c>
      <c r="H2245" s="7">
        <v>0.2</v>
      </c>
      <c r="I2245" s="6">
        <v>20.47</v>
      </c>
      <c r="J2245" s="6">
        <v>122.8</v>
      </c>
      <c r="K2245" t="s">
        <v>4543</v>
      </c>
      <c r="L2245" t="s">
        <v>4544</v>
      </c>
    </row>
    <row r="2246" spans="1:12" ht="15" customHeight="1" x14ac:dyDescent="0.25">
      <c r="A2246">
        <v>2245</v>
      </c>
      <c r="B2246" s="5">
        <v>45798</v>
      </c>
      <c r="C2246" t="s">
        <v>47</v>
      </c>
      <c r="D2246" t="s">
        <v>34</v>
      </c>
      <c r="E2246" t="s">
        <v>35</v>
      </c>
      <c r="F2246" t="s">
        <v>84</v>
      </c>
      <c r="G2246" s="6">
        <v>1260.3800000000001</v>
      </c>
      <c r="H2246" s="7">
        <v>0.2</v>
      </c>
      <c r="I2246" s="6">
        <v>252.08</v>
      </c>
      <c r="J2246" s="6">
        <v>1512.46</v>
      </c>
      <c r="K2246" t="s">
        <v>4545</v>
      </c>
      <c r="L2246" t="s">
        <v>4546</v>
      </c>
    </row>
    <row r="2247" spans="1:12" ht="15" customHeight="1" x14ac:dyDescent="0.25">
      <c r="A2247">
        <v>2246</v>
      </c>
      <c r="B2247" s="5">
        <v>45771</v>
      </c>
      <c r="C2247" t="s">
        <v>27</v>
      </c>
      <c r="D2247" t="s">
        <v>55</v>
      </c>
      <c r="E2247" t="s">
        <v>56</v>
      </c>
      <c r="F2247" t="s">
        <v>81</v>
      </c>
      <c r="G2247" s="6">
        <v>1073.73</v>
      </c>
      <c r="H2247" s="7">
        <v>5.5E-2</v>
      </c>
      <c r="I2247" s="6">
        <v>59.06</v>
      </c>
      <c r="J2247" s="6">
        <v>1132.79</v>
      </c>
      <c r="K2247" t="s">
        <v>4547</v>
      </c>
      <c r="L2247" t="s">
        <v>4548</v>
      </c>
    </row>
    <row r="2248" spans="1:12" ht="15" customHeight="1" x14ac:dyDescent="0.25">
      <c r="A2248">
        <v>2247</v>
      </c>
      <c r="B2248" s="5">
        <v>45805</v>
      </c>
      <c r="C2248" t="s">
        <v>33</v>
      </c>
      <c r="D2248" t="s">
        <v>28</v>
      </c>
      <c r="E2248" t="s">
        <v>29</v>
      </c>
      <c r="F2248" t="s">
        <v>84</v>
      </c>
      <c r="G2248" s="6">
        <v>3298.48</v>
      </c>
      <c r="H2248" s="7">
        <v>2.1000000000000001E-2</v>
      </c>
      <c r="I2248" s="6">
        <v>69.27</v>
      </c>
      <c r="J2248" s="6">
        <v>3367.75</v>
      </c>
      <c r="K2248" t="s">
        <v>4549</v>
      </c>
      <c r="L2248" t="s">
        <v>4550</v>
      </c>
    </row>
    <row r="2249" spans="1:12" ht="15" customHeight="1" x14ac:dyDescent="0.25">
      <c r="A2249">
        <v>2248</v>
      </c>
      <c r="B2249" s="5">
        <v>45826</v>
      </c>
      <c r="C2249" t="s">
        <v>47</v>
      </c>
      <c r="D2249" t="s">
        <v>172</v>
      </c>
      <c r="E2249" t="s">
        <v>173</v>
      </c>
      <c r="F2249" t="s">
        <v>76</v>
      </c>
      <c r="G2249" s="6">
        <v>2473.2399999999998</v>
      </c>
      <c r="H2249" s="7">
        <v>0.2</v>
      </c>
      <c r="I2249" s="6">
        <v>494.65</v>
      </c>
      <c r="J2249" s="6">
        <v>2967.89</v>
      </c>
      <c r="K2249" t="s">
        <v>4551</v>
      </c>
      <c r="L2249" t="s">
        <v>4552</v>
      </c>
    </row>
    <row r="2250" spans="1:12" ht="15" customHeight="1" x14ac:dyDescent="0.25">
      <c r="A2250">
        <v>2249</v>
      </c>
      <c r="B2250" s="5">
        <v>45821</v>
      </c>
      <c r="C2250" t="s">
        <v>33</v>
      </c>
      <c r="D2250" t="s">
        <v>55</v>
      </c>
      <c r="E2250" t="s">
        <v>56</v>
      </c>
      <c r="F2250" t="s">
        <v>76</v>
      </c>
      <c r="G2250" s="6">
        <v>1610.94</v>
      </c>
      <c r="H2250" s="7">
        <v>5.5E-2</v>
      </c>
      <c r="I2250" s="6">
        <v>88.6</v>
      </c>
      <c r="J2250" s="6">
        <v>1699.54</v>
      </c>
      <c r="K2250" t="s">
        <v>4553</v>
      </c>
      <c r="L2250" t="s">
        <v>4554</v>
      </c>
    </row>
    <row r="2251" spans="1:12" ht="15" customHeight="1" x14ac:dyDescent="0.25">
      <c r="A2251">
        <v>2250</v>
      </c>
      <c r="B2251" s="5">
        <v>45765</v>
      </c>
      <c r="C2251" t="s">
        <v>47</v>
      </c>
      <c r="D2251" t="s">
        <v>42</v>
      </c>
      <c r="E2251" t="s">
        <v>43</v>
      </c>
      <c r="F2251" t="s">
        <v>44</v>
      </c>
      <c r="G2251" s="6">
        <v>2208.0300000000002</v>
      </c>
      <c r="H2251" s="7">
        <v>0</v>
      </c>
      <c r="I2251" s="6">
        <v>0</v>
      </c>
      <c r="J2251" s="6">
        <v>2208.0300000000002</v>
      </c>
      <c r="K2251" t="s">
        <v>4555</v>
      </c>
      <c r="L2251" t="s">
        <v>4556</v>
      </c>
    </row>
    <row r="2252" spans="1:12" ht="15" customHeight="1" x14ac:dyDescent="0.25">
      <c r="A2252">
        <v>2251</v>
      </c>
      <c r="B2252" s="5">
        <v>45996</v>
      </c>
      <c r="C2252" t="s">
        <v>47</v>
      </c>
      <c r="D2252" t="s">
        <v>63</v>
      </c>
      <c r="E2252" t="s">
        <v>64</v>
      </c>
      <c r="F2252" t="s">
        <v>87</v>
      </c>
      <c r="G2252" s="6">
        <v>3847.13</v>
      </c>
      <c r="H2252" s="7">
        <v>0.2</v>
      </c>
      <c r="I2252" s="6">
        <v>769.43</v>
      </c>
      <c r="J2252" s="6">
        <v>4616.5600000000004</v>
      </c>
      <c r="K2252" t="s">
        <v>4557</v>
      </c>
      <c r="L2252" t="s">
        <v>4558</v>
      </c>
    </row>
    <row r="2253" spans="1:12" ht="15" customHeight="1" x14ac:dyDescent="0.25">
      <c r="A2253">
        <v>2252</v>
      </c>
      <c r="B2253" s="5">
        <v>45834</v>
      </c>
      <c r="C2253" t="s">
        <v>47</v>
      </c>
      <c r="D2253" t="s">
        <v>172</v>
      </c>
      <c r="E2253" t="s">
        <v>173</v>
      </c>
      <c r="F2253" t="s">
        <v>81</v>
      </c>
      <c r="G2253" s="6">
        <v>447.27</v>
      </c>
      <c r="H2253" s="7">
        <v>0.2</v>
      </c>
      <c r="I2253" s="6">
        <v>89.45</v>
      </c>
      <c r="J2253" s="6">
        <v>536.72</v>
      </c>
      <c r="K2253" t="s">
        <v>4559</v>
      </c>
      <c r="L2253" t="s">
        <v>4560</v>
      </c>
    </row>
    <row r="2254" spans="1:12" ht="15" customHeight="1" x14ac:dyDescent="0.25">
      <c r="A2254">
        <v>2253</v>
      </c>
      <c r="B2254" s="5">
        <v>45819</v>
      </c>
      <c r="C2254" t="s">
        <v>47</v>
      </c>
      <c r="D2254" t="s">
        <v>55</v>
      </c>
      <c r="E2254" t="s">
        <v>56</v>
      </c>
      <c r="F2254" t="s">
        <v>76</v>
      </c>
      <c r="G2254" s="6">
        <v>2075.63</v>
      </c>
      <c r="H2254" s="7">
        <v>5.5E-2</v>
      </c>
      <c r="I2254" s="6">
        <v>114.16</v>
      </c>
      <c r="J2254" s="6">
        <v>2189.79</v>
      </c>
      <c r="K2254" t="s">
        <v>4561</v>
      </c>
      <c r="L2254" t="s">
        <v>4562</v>
      </c>
    </row>
    <row r="2255" spans="1:12" ht="15" customHeight="1" x14ac:dyDescent="0.25">
      <c r="A2255">
        <v>2254</v>
      </c>
      <c r="B2255" s="5">
        <v>45743</v>
      </c>
      <c r="C2255" t="s">
        <v>33</v>
      </c>
      <c r="D2255" t="s">
        <v>181</v>
      </c>
      <c r="E2255" t="s">
        <v>182</v>
      </c>
      <c r="F2255" t="s">
        <v>84</v>
      </c>
      <c r="G2255" s="6">
        <v>2839.25</v>
      </c>
      <c r="H2255" s="7">
        <v>0.2</v>
      </c>
      <c r="I2255" s="6">
        <v>567.85</v>
      </c>
      <c r="J2255" s="6">
        <v>3407.1</v>
      </c>
      <c r="K2255" t="s">
        <v>4563</v>
      </c>
      <c r="L2255" t="s">
        <v>4564</v>
      </c>
    </row>
    <row r="2256" spans="1:12" ht="15" customHeight="1" x14ac:dyDescent="0.25">
      <c r="A2256">
        <v>2255</v>
      </c>
      <c r="B2256" s="5">
        <v>45803</v>
      </c>
      <c r="C2256" t="s">
        <v>47</v>
      </c>
      <c r="D2256" t="s">
        <v>94</v>
      </c>
      <c r="E2256" t="s">
        <v>95</v>
      </c>
      <c r="F2256" t="s">
        <v>44</v>
      </c>
      <c r="G2256" s="6">
        <v>1726.89</v>
      </c>
      <c r="H2256" s="7">
        <v>0</v>
      </c>
      <c r="I2256" s="6">
        <v>0</v>
      </c>
      <c r="J2256" s="6">
        <v>1726.89</v>
      </c>
      <c r="K2256" t="s">
        <v>4565</v>
      </c>
      <c r="L2256" t="s">
        <v>4566</v>
      </c>
    </row>
    <row r="2257" spans="1:13" ht="15" customHeight="1" x14ac:dyDescent="0.25">
      <c r="A2257">
        <v>2256</v>
      </c>
      <c r="B2257" s="5">
        <v>45968</v>
      </c>
      <c r="C2257" t="s">
        <v>47</v>
      </c>
      <c r="D2257" t="s">
        <v>100</v>
      </c>
      <c r="E2257" t="s">
        <v>101</v>
      </c>
      <c r="F2257" t="s">
        <v>44</v>
      </c>
      <c r="G2257" s="6">
        <v>2096.39</v>
      </c>
      <c r="H2257" s="7">
        <v>0</v>
      </c>
      <c r="I2257" s="6">
        <v>0</v>
      </c>
      <c r="J2257" s="6">
        <v>2096.39</v>
      </c>
      <c r="K2257" t="s">
        <v>4567</v>
      </c>
      <c r="L2257" t="s">
        <v>4568</v>
      </c>
    </row>
    <row r="2258" spans="1:13" ht="15" customHeight="1" x14ac:dyDescent="0.25">
      <c r="A2258">
        <v>2257</v>
      </c>
      <c r="B2258" s="5">
        <v>45714</v>
      </c>
      <c r="C2258" t="s">
        <v>33</v>
      </c>
      <c r="D2258" t="s">
        <v>28</v>
      </c>
      <c r="E2258" t="s">
        <v>29</v>
      </c>
      <c r="F2258" t="s">
        <v>30</v>
      </c>
      <c r="G2258" s="6">
        <v>2602.69</v>
      </c>
      <c r="H2258" s="7">
        <v>2.1000000000000001E-2</v>
      </c>
      <c r="I2258" s="6">
        <v>54.66</v>
      </c>
      <c r="J2258" s="6">
        <v>2657.35</v>
      </c>
      <c r="K2258" t="s">
        <v>4569</v>
      </c>
      <c r="L2258" t="s">
        <v>4570</v>
      </c>
    </row>
    <row r="2259" spans="1:13" ht="15" customHeight="1" x14ac:dyDescent="0.25">
      <c r="A2259">
        <v>2258</v>
      </c>
      <c r="B2259" s="5">
        <v>45939</v>
      </c>
      <c r="C2259" t="s">
        <v>27</v>
      </c>
      <c r="D2259" t="s">
        <v>94</v>
      </c>
      <c r="E2259" t="s">
        <v>95</v>
      </c>
      <c r="F2259" t="s">
        <v>44</v>
      </c>
      <c r="G2259" s="6">
        <v>2378.1999999999998</v>
      </c>
      <c r="H2259" s="7">
        <v>0</v>
      </c>
      <c r="I2259" s="6">
        <v>0</v>
      </c>
      <c r="J2259" s="6">
        <v>2378.1999999999998</v>
      </c>
      <c r="K2259" t="s">
        <v>4571</v>
      </c>
      <c r="L2259" t="s">
        <v>4572</v>
      </c>
    </row>
    <row r="2260" spans="1:13" ht="15" customHeight="1" x14ac:dyDescent="0.25">
      <c r="A2260">
        <v>2259</v>
      </c>
      <c r="B2260" s="5">
        <v>45980</v>
      </c>
      <c r="C2260" t="s">
        <v>27</v>
      </c>
      <c r="D2260" t="s">
        <v>55</v>
      </c>
      <c r="E2260" t="s">
        <v>56</v>
      </c>
      <c r="F2260" t="s">
        <v>120</v>
      </c>
      <c r="G2260" s="6">
        <v>546.91999999999996</v>
      </c>
      <c r="H2260" s="7">
        <v>5.5E-2</v>
      </c>
      <c r="I2260" s="6">
        <v>30.08</v>
      </c>
      <c r="J2260" s="6">
        <v>577</v>
      </c>
      <c r="K2260" t="s">
        <v>4573</v>
      </c>
      <c r="L2260" t="s">
        <v>4574</v>
      </c>
    </row>
    <row r="2261" spans="1:13" ht="15" customHeight="1" x14ac:dyDescent="0.25">
      <c r="A2261">
        <v>2260</v>
      </c>
      <c r="B2261" s="5">
        <v>45932</v>
      </c>
      <c r="C2261" t="s">
        <v>27</v>
      </c>
      <c r="D2261" t="s">
        <v>55</v>
      </c>
      <c r="E2261" t="s">
        <v>56</v>
      </c>
      <c r="F2261" t="s">
        <v>71</v>
      </c>
      <c r="G2261" s="6">
        <v>2433.69</v>
      </c>
      <c r="H2261" s="7">
        <v>5.5E-2</v>
      </c>
      <c r="I2261" s="6">
        <v>133.85</v>
      </c>
      <c r="J2261" s="6">
        <v>2567.54</v>
      </c>
      <c r="K2261" t="s">
        <v>4575</v>
      </c>
      <c r="L2261" t="s">
        <v>4576</v>
      </c>
    </row>
    <row r="2262" spans="1:13" ht="15" customHeight="1" x14ac:dyDescent="0.25">
      <c r="A2262">
        <v>2261</v>
      </c>
      <c r="B2262" s="5">
        <v>45804</v>
      </c>
      <c r="C2262" t="s">
        <v>47</v>
      </c>
      <c r="D2262" t="s">
        <v>42</v>
      </c>
      <c r="E2262" t="s">
        <v>43</v>
      </c>
      <c r="F2262" t="s">
        <v>44</v>
      </c>
      <c r="G2262" s="6">
        <v>2878.69</v>
      </c>
      <c r="H2262" s="7">
        <v>0</v>
      </c>
      <c r="I2262" s="6">
        <v>0</v>
      </c>
      <c r="J2262" s="6">
        <v>2878.69</v>
      </c>
      <c r="K2262" t="s">
        <v>4577</v>
      </c>
      <c r="L2262" t="s">
        <v>4578</v>
      </c>
    </row>
    <row r="2263" spans="1:13" ht="15" customHeight="1" x14ac:dyDescent="0.25">
      <c r="A2263">
        <v>2262</v>
      </c>
      <c r="B2263" s="5">
        <v>45930</v>
      </c>
      <c r="C2263" t="s">
        <v>47</v>
      </c>
      <c r="D2263" t="s">
        <v>55</v>
      </c>
      <c r="E2263" t="s">
        <v>56</v>
      </c>
      <c r="F2263" t="s">
        <v>76</v>
      </c>
      <c r="G2263" s="6">
        <v>3748.01</v>
      </c>
      <c r="H2263" s="7">
        <v>5.5E-2</v>
      </c>
      <c r="I2263" s="6">
        <v>206.14</v>
      </c>
      <c r="J2263" s="6">
        <v>3954.15</v>
      </c>
      <c r="K2263" t="s">
        <v>4579</v>
      </c>
      <c r="L2263" t="s">
        <v>4580</v>
      </c>
    </row>
    <row r="2264" spans="1:13" ht="15" customHeight="1" x14ac:dyDescent="0.25">
      <c r="A2264">
        <v>2263</v>
      </c>
      <c r="B2264" s="5">
        <v>45708</v>
      </c>
      <c r="C2264" t="s">
        <v>33</v>
      </c>
      <c r="D2264" t="s">
        <v>34</v>
      </c>
      <c r="E2264" t="s">
        <v>35</v>
      </c>
      <c r="F2264" t="s">
        <v>120</v>
      </c>
      <c r="G2264" s="6">
        <v>1774.42</v>
      </c>
      <c r="H2264" s="7">
        <v>0.2</v>
      </c>
      <c r="I2264" s="6">
        <v>354.88</v>
      </c>
      <c r="J2264" s="6">
        <v>2129.3000000000002</v>
      </c>
      <c r="K2264" t="s">
        <v>4581</v>
      </c>
      <c r="L2264" t="s">
        <v>4582</v>
      </c>
    </row>
    <row r="2265" spans="1:13" ht="15" customHeight="1" x14ac:dyDescent="0.25">
      <c r="A2265">
        <v>2264</v>
      </c>
      <c r="B2265" s="5">
        <v>45672</v>
      </c>
      <c r="C2265" t="s">
        <v>47</v>
      </c>
      <c r="D2265" t="s">
        <v>63</v>
      </c>
      <c r="E2265" t="s">
        <v>64</v>
      </c>
      <c r="F2265" t="s">
        <v>30</v>
      </c>
      <c r="G2265" s="6">
        <v>2815.43</v>
      </c>
      <c r="H2265" s="7">
        <v>0.2</v>
      </c>
      <c r="I2265" s="6">
        <v>563.09</v>
      </c>
      <c r="J2265" s="6">
        <v>3378.52</v>
      </c>
      <c r="K2265" t="s">
        <v>4583</v>
      </c>
      <c r="L2265" t="s">
        <v>4584</v>
      </c>
    </row>
    <row r="2266" spans="1:13" ht="15" customHeight="1" x14ac:dyDescent="0.25">
      <c r="A2266">
        <v>2265</v>
      </c>
      <c r="B2266" s="5">
        <v>45699</v>
      </c>
      <c r="C2266" t="s">
        <v>27</v>
      </c>
      <c r="D2266" t="s">
        <v>79</v>
      </c>
      <c r="E2266" t="s">
        <v>80</v>
      </c>
      <c r="F2266" t="s">
        <v>81</v>
      </c>
      <c r="G2266" s="6">
        <v>2730.09</v>
      </c>
      <c r="H2266" s="7">
        <v>0.2</v>
      </c>
      <c r="I2266" s="6">
        <v>546.02</v>
      </c>
      <c r="J2266" s="6">
        <v>3276.11</v>
      </c>
      <c r="K2266" t="s">
        <v>4585</v>
      </c>
      <c r="L2266" t="s">
        <v>4586</v>
      </c>
    </row>
    <row r="2267" spans="1:13" ht="15" customHeight="1" x14ac:dyDescent="0.25">
      <c r="A2267">
        <v>2266</v>
      </c>
      <c r="B2267" s="5">
        <v>45785</v>
      </c>
      <c r="C2267" t="s">
        <v>33</v>
      </c>
      <c r="D2267" t="s">
        <v>55</v>
      </c>
      <c r="E2267" t="s">
        <v>56</v>
      </c>
      <c r="F2267" t="s">
        <v>120</v>
      </c>
      <c r="G2267" s="6">
        <v>815.75</v>
      </c>
      <c r="H2267" s="7">
        <v>5.5E-2</v>
      </c>
      <c r="I2267" s="6">
        <v>44.87</v>
      </c>
      <c r="J2267" s="6">
        <v>860.62</v>
      </c>
      <c r="K2267" t="s">
        <v>4587</v>
      </c>
      <c r="L2267" t="s">
        <v>4588</v>
      </c>
    </row>
    <row r="2268" spans="1:13" ht="15" customHeight="1" x14ac:dyDescent="0.25">
      <c r="A2268">
        <v>2267</v>
      </c>
      <c r="B2268" s="5">
        <v>45850</v>
      </c>
      <c r="C2268" t="s">
        <v>27</v>
      </c>
      <c r="D2268" t="s">
        <v>28</v>
      </c>
      <c r="E2268" t="s">
        <v>29</v>
      </c>
      <c r="F2268" t="s">
        <v>84</v>
      </c>
      <c r="G2268" s="6">
        <v>180.42</v>
      </c>
      <c r="H2268" s="7">
        <v>2.1000000000000001E-2</v>
      </c>
      <c r="I2268" s="6">
        <v>3.79</v>
      </c>
      <c r="J2268" s="6">
        <v>184.21</v>
      </c>
      <c r="K2268" t="s">
        <v>4589</v>
      </c>
      <c r="L2268" t="s">
        <v>4590</v>
      </c>
      <c r="M2268" t="s">
        <v>472</v>
      </c>
    </row>
    <row r="2269" spans="1:13" ht="15" customHeight="1" x14ac:dyDescent="0.25">
      <c r="A2269">
        <v>2268</v>
      </c>
      <c r="B2269" s="5">
        <v>45919</v>
      </c>
      <c r="C2269" t="s">
        <v>27</v>
      </c>
      <c r="D2269" t="s">
        <v>63</v>
      </c>
      <c r="E2269" t="s">
        <v>64</v>
      </c>
      <c r="F2269" t="s">
        <v>30</v>
      </c>
      <c r="G2269" s="6">
        <v>3896.4</v>
      </c>
      <c r="H2269" s="7">
        <v>0.2</v>
      </c>
      <c r="I2269" s="6">
        <v>779.28</v>
      </c>
      <c r="J2269" s="6">
        <v>4675.68</v>
      </c>
      <c r="K2269" t="s">
        <v>4591</v>
      </c>
      <c r="L2269" t="s">
        <v>4592</v>
      </c>
    </row>
    <row r="2270" spans="1:13" ht="15" customHeight="1" x14ac:dyDescent="0.25">
      <c r="A2270">
        <v>2269</v>
      </c>
      <c r="B2270" s="5">
        <v>45747</v>
      </c>
      <c r="C2270" t="s">
        <v>47</v>
      </c>
      <c r="D2270" t="s">
        <v>42</v>
      </c>
      <c r="E2270" t="s">
        <v>43</v>
      </c>
      <c r="F2270" t="s">
        <v>44</v>
      </c>
      <c r="G2270" s="6">
        <v>3510.7</v>
      </c>
      <c r="H2270" s="7">
        <v>0</v>
      </c>
      <c r="I2270" s="6">
        <v>0</v>
      </c>
      <c r="J2270" s="6">
        <v>3510.7</v>
      </c>
      <c r="K2270" t="s">
        <v>4593</v>
      </c>
      <c r="L2270" t="s">
        <v>4594</v>
      </c>
    </row>
    <row r="2271" spans="1:13" ht="15" customHeight="1" x14ac:dyDescent="0.25">
      <c r="A2271">
        <v>2270</v>
      </c>
      <c r="B2271" s="5">
        <v>45691</v>
      </c>
      <c r="C2271" t="s">
        <v>47</v>
      </c>
      <c r="D2271" t="s">
        <v>28</v>
      </c>
      <c r="E2271" t="s">
        <v>29</v>
      </c>
      <c r="F2271" t="s">
        <v>71</v>
      </c>
      <c r="G2271" s="6">
        <v>4033.45</v>
      </c>
      <c r="H2271" s="7">
        <v>2.1000000000000001E-2</v>
      </c>
      <c r="I2271" s="6">
        <v>84.7</v>
      </c>
      <c r="J2271" s="6">
        <v>4118.1499999999996</v>
      </c>
      <c r="K2271" t="s">
        <v>4595</v>
      </c>
      <c r="L2271" t="s">
        <v>4596</v>
      </c>
    </row>
    <row r="2272" spans="1:13" ht="15" customHeight="1" x14ac:dyDescent="0.25">
      <c r="A2272">
        <v>2271</v>
      </c>
      <c r="B2272" s="5">
        <v>46008</v>
      </c>
      <c r="C2272" t="s">
        <v>47</v>
      </c>
      <c r="D2272" t="s">
        <v>79</v>
      </c>
      <c r="E2272" t="s">
        <v>80</v>
      </c>
      <c r="F2272" t="s">
        <v>71</v>
      </c>
      <c r="G2272" s="6">
        <v>2746.36</v>
      </c>
      <c r="H2272" s="7">
        <v>0.2</v>
      </c>
      <c r="I2272" s="6">
        <v>549.27</v>
      </c>
      <c r="J2272" s="6">
        <v>3295.63</v>
      </c>
      <c r="K2272" t="s">
        <v>4597</v>
      </c>
      <c r="L2272" t="s">
        <v>4598</v>
      </c>
    </row>
    <row r="2273" spans="1:13" ht="15" customHeight="1" x14ac:dyDescent="0.25">
      <c r="A2273">
        <v>2272</v>
      </c>
      <c r="B2273" s="5">
        <v>45986</v>
      </c>
      <c r="C2273" t="s">
        <v>33</v>
      </c>
      <c r="D2273" t="s">
        <v>94</v>
      </c>
      <c r="E2273" t="s">
        <v>95</v>
      </c>
      <c r="F2273" t="s">
        <v>44</v>
      </c>
      <c r="G2273" s="6">
        <v>2010.02</v>
      </c>
      <c r="H2273" s="7">
        <v>0</v>
      </c>
      <c r="I2273" s="6">
        <v>0</v>
      </c>
      <c r="J2273" s="6">
        <v>2010.02</v>
      </c>
      <c r="K2273" t="s">
        <v>4599</v>
      </c>
      <c r="L2273" t="s">
        <v>4600</v>
      </c>
    </row>
    <row r="2274" spans="1:13" ht="15" customHeight="1" x14ac:dyDescent="0.25">
      <c r="A2274">
        <v>2273</v>
      </c>
      <c r="B2274" s="5">
        <v>45693</v>
      </c>
      <c r="C2274" t="s">
        <v>33</v>
      </c>
      <c r="D2274" t="s">
        <v>55</v>
      </c>
      <c r="E2274" t="s">
        <v>56</v>
      </c>
      <c r="F2274" t="s">
        <v>39</v>
      </c>
      <c r="G2274" s="6">
        <v>110.42</v>
      </c>
      <c r="H2274" s="7">
        <v>5.5E-2</v>
      </c>
      <c r="I2274" s="6">
        <v>6.07</v>
      </c>
      <c r="J2274" s="6">
        <v>116.49</v>
      </c>
      <c r="K2274" t="s">
        <v>4601</v>
      </c>
      <c r="L2274" t="s">
        <v>4602</v>
      </c>
    </row>
    <row r="2275" spans="1:13" ht="15" customHeight="1" x14ac:dyDescent="0.25">
      <c r="A2275">
        <v>2274</v>
      </c>
      <c r="B2275" s="5">
        <v>45924</v>
      </c>
      <c r="C2275" t="s">
        <v>27</v>
      </c>
      <c r="D2275" t="s">
        <v>63</v>
      </c>
      <c r="E2275" t="s">
        <v>64</v>
      </c>
      <c r="F2275" t="s">
        <v>36</v>
      </c>
      <c r="G2275" s="6">
        <v>4480.26</v>
      </c>
      <c r="H2275" s="7">
        <v>0.2</v>
      </c>
      <c r="I2275" s="6">
        <v>896.05</v>
      </c>
      <c r="J2275" s="6">
        <v>5376.31</v>
      </c>
      <c r="K2275" t="s">
        <v>4603</v>
      </c>
      <c r="L2275" t="s">
        <v>4604</v>
      </c>
    </row>
    <row r="2276" spans="1:13" ht="15" customHeight="1" x14ac:dyDescent="0.25">
      <c r="A2276">
        <v>2275</v>
      </c>
      <c r="B2276" s="5">
        <v>45933</v>
      </c>
      <c r="C2276" t="s">
        <v>47</v>
      </c>
      <c r="D2276" t="s">
        <v>100</v>
      </c>
      <c r="E2276" t="s">
        <v>101</v>
      </c>
      <c r="F2276" t="s">
        <v>44</v>
      </c>
      <c r="G2276" s="6">
        <v>3663.83</v>
      </c>
      <c r="H2276" s="7">
        <v>0</v>
      </c>
      <c r="I2276" s="6">
        <v>0</v>
      </c>
      <c r="J2276" s="6">
        <v>3663.83</v>
      </c>
      <c r="K2276" t="s">
        <v>4605</v>
      </c>
      <c r="L2276" t="s">
        <v>4606</v>
      </c>
    </row>
    <row r="2277" spans="1:13" ht="15" customHeight="1" x14ac:dyDescent="0.25">
      <c r="A2277">
        <v>2276</v>
      </c>
      <c r="B2277" s="5">
        <v>45882</v>
      </c>
      <c r="C2277" t="s">
        <v>27</v>
      </c>
      <c r="D2277" t="s">
        <v>42</v>
      </c>
      <c r="E2277" t="s">
        <v>43</v>
      </c>
      <c r="F2277" t="s">
        <v>44</v>
      </c>
      <c r="G2277" s="6">
        <v>3542.48</v>
      </c>
      <c r="H2277" s="7">
        <v>0</v>
      </c>
      <c r="I2277" s="6">
        <v>0</v>
      </c>
      <c r="J2277" s="6">
        <v>3542.48</v>
      </c>
      <c r="K2277" t="s">
        <v>4607</v>
      </c>
      <c r="L2277" t="s">
        <v>4608</v>
      </c>
    </row>
    <row r="2278" spans="1:13" ht="15" customHeight="1" x14ac:dyDescent="0.25">
      <c r="A2278">
        <v>2277</v>
      </c>
      <c r="B2278" s="5">
        <v>45678</v>
      </c>
      <c r="C2278" t="s">
        <v>47</v>
      </c>
      <c r="D2278" t="s">
        <v>42</v>
      </c>
      <c r="E2278" t="s">
        <v>43</v>
      </c>
      <c r="F2278" t="s">
        <v>44</v>
      </c>
      <c r="G2278" s="6">
        <v>3519.9</v>
      </c>
      <c r="H2278" s="7">
        <v>0</v>
      </c>
      <c r="I2278" s="6">
        <v>0</v>
      </c>
      <c r="J2278" s="6">
        <v>3519.9</v>
      </c>
      <c r="K2278" t="s">
        <v>4609</v>
      </c>
      <c r="L2278" t="s">
        <v>4610</v>
      </c>
    </row>
    <row r="2279" spans="1:13" ht="15" customHeight="1" x14ac:dyDescent="0.25">
      <c r="A2279">
        <v>2278</v>
      </c>
      <c r="B2279" s="5">
        <v>45877</v>
      </c>
      <c r="C2279" t="s">
        <v>27</v>
      </c>
      <c r="D2279" t="s">
        <v>181</v>
      </c>
      <c r="E2279" t="s">
        <v>182</v>
      </c>
      <c r="F2279" t="s">
        <v>87</v>
      </c>
      <c r="G2279" s="6">
        <v>3560.41</v>
      </c>
      <c r="H2279" s="7">
        <v>0.2</v>
      </c>
      <c r="I2279" s="6">
        <v>712.08</v>
      </c>
      <c r="J2279" s="6">
        <v>4272.49</v>
      </c>
      <c r="K2279" t="s">
        <v>4611</v>
      </c>
      <c r="L2279" t="s">
        <v>4612</v>
      </c>
    </row>
    <row r="2280" spans="1:13" ht="15" customHeight="1" x14ac:dyDescent="0.25">
      <c r="A2280">
        <v>2279</v>
      </c>
      <c r="B2280" s="5">
        <v>45954</v>
      </c>
      <c r="C2280" t="s">
        <v>47</v>
      </c>
      <c r="D2280" t="s">
        <v>42</v>
      </c>
      <c r="E2280" t="s">
        <v>43</v>
      </c>
      <c r="F2280" t="s">
        <v>44</v>
      </c>
      <c r="G2280" s="6">
        <v>2068.2800000000002</v>
      </c>
      <c r="H2280" s="7">
        <v>0</v>
      </c>
      <c r="I2280" s="6">
        <v>0</v>
      </c>
      <c r="J2280" s="6">
        <v>2068.2800000000002</v>
      </c>
      <c r="K2280" t="s">
        <v>4613</v>
      </c>
      <c r="L2280" t="s">
        <v>4614</v>
      </c>
    </row>
    <row r="2281" spans="1:13" ht="15" customHeight="1" x14ac:dyDescent="0.25">
      <c r="A2281">
        <v>2280</v>
      </c>
      <c r="B2281" s="5">
        <v>45831</v>
      </c>
      <c r="C2281" t="s">
        <v>47</v>
      </c>
      <c r="D2281" t="s">
        <v>63</v>
      </c>
      <c r="E2281" t="s">
        <v>64</v>
      </c>
      <c r="F2281" t="s">
        <v>71</v>
      </c>
      <c r="G2281" s="6">
        <v>707.42</v>
      </c>
      <c r="H2281" s="7">
        <v>0.33</v>
      </c>
      <c r="I2281" s="6">
        <v>233.45</v>
      </c>
      <c r="J2281" s="6">
        <v>940.87</v>
      </c>
      <c r="K2281" t="s">
        <v>4615</v>
      </c>
      <c r="L2281" t="s">
        <v>4616</v>
      </c>
      <c r="M2281" t="s">
        <v>447</v>
      </c>
    </row>
    <row r="2282" spans="1:13" ht="15" customHeight="1" x14ac:dyDescent="0.25">
      <c r="A2282">
        <v>2281</v>
      </c>
      <c r="B2282" s="5">
        <v>45707</v>
      </c>
      <c r="C2282" t="s">
        <v>47</v>
      </c>
      <c r="D2282" t="s">
        <v>28</v>
      </c>
      <c r="E2282" t="s">
        <v>29</v>
      </c>
      <c r="F2282" t="s">
        <v>81</v>
      </c>
      <c r="G2282" s="6">
        <v>1538.71</v>
      </c>
      <c r="H2282" s="7">
        <v>2.1000000000000001E-2</v>
      </c>
      <c r="I2282" s="6">
        <v>32.31</v>
      </c>
      <c r="J2282" s="6">
        <v>1571.02</v>
      </c>
      <c r="K2282" t="s">
        <v>4617</v>
      </c>
      <c r="L2282" t="s">
        <v>4618</v>
      </c>
    </row>
    <row r="2283" spans="1:13" ht="15" customHeight="1" x14ac:dyDescent="0.25">
      <c r="A2283">
        <v>2282</v>
      </c>
      <c r="B2283" s="5">
        <v>45909</v>
      </c>
      <c r="C2283" t="s">
        <v>47</v>
      </c>
      <c r="D2283" t="s">
        <v>100</v>
      </c>
      <c r="E2283" t="s">
        <v>101</v>
      </c>
      <c r="F2283" t="s">
        <v>44</v>
      </c>
      <c r="G2283" s="6">
        <v>3616.75</v>
      </c>
      <c r="H2283" s="7">
        <v>0</v>
      </c>
      <c r="I2283" s="6">
        <v>0</v>
      </c>
      <c r="J2283" s="6">
        <v>3616.75</v>
      </c>
      <c r="K2283" t="s">
        <v>4619</v>
      </c>
      <c r="L2283" t="s">
        <v>4620</v>
      </c>
    </row>
    <row r="2284" spans="1:13" ht="15" customHeight="1" x14ac:dyDescent="0.25">
      <c r="A2284">
        <v>2283</v>
      </c>
      <c r="B2284" s="5">
        <v>45827</v>
      </c>
      <c r="C2284" t="s">
        <v>47</v>
      </c>
      <c r="D2284" t="s">
        <v>34</v>
      </c>
      <c r="E2284" t="s">
        <v>35</v>
      </c>
      <c r="F2284" t="s">
        <v>81</v>
      </c>
      <c r="G2284" s="6">
        <v>3560.19</v>
      </c>
      <c r="H2284" s="7">
        <v>0.2</v>
      </c>
      <c r="I2284" s="6">
        <v>712.04</v>
      </c>
      <c r="J2284" s="6">
        <v>4272.2299999999996</v>
      </c>
      <c r="K2284" t="s">
        <v>4621</v>
      </c>
      <c r="L2284" t="s">
        <v>4622</v>
      </c>
    </row>
    <row r="2285" spans="1:13" ht="15" customHeight="1" x14ac:dyDescent="0.25">
      <c r="A2285">
        <v>2284</v>
      </c>
      <c r="B2285" s="5">
        <v>45729</v>
      </c>
      <c r="C2285" t="s">
        <v>27</v>
      </c>
      <c r="D2285" t="s">
        <v>55</v>
      </c>
      <c r="E2285" t="s">
        <v>56</v>
      </c>
      <c r="F2285" t="s">
        <v>174</v>
      </c>
      <c r="G2285" s="6">
        <v>734.27</v>
      </c>
      <c r="H2285" s="7">
        <v>5.5E-2</v>
      </c>
      <c r="I2285" s="6">
        <v>40.380000000000003</v>
      </c>
      <c r="J2285" s="6">
        <v>774.65</v>
      </c>
      <c r="K2285" t="s">
        <v>4623</v>
      </c>
      <c r="L2285" t="s">
        <v>4624</v>
      </c>
    </row>
    <row r="2286" spans="1:13" ht="15" customHeight="1" x14ac:dyDescent="0.25">
      <c r="A2286">
        <v>2285</v>
      </c>
      <c r="B2286" s="5">
        <v>45946</v>
      </c>
      <c r="C2286" t="s">
        <v>33</v>
      </c>
      <c r="D2286" t="s">
        <v>100</v>
      </c>
      <c r="E2286" t="s">
        <v>101</v>
      </c>
      <c r="F2286" t="s">
        <v>44</v>
      </c>
      <c r="G2286" s="6">
        <v>2498.92</v>
      </c>
      <c r="H2286" s="7">
        <v>0</v>
      </c>
      <c r="I2286" s="6">
        <v>0</v>
      </c>
      <c r="J2286" s="6">
        <v>2498.92</v>
      </c>
      <c r="K2286" t="s">
        <v>4625</v>
      </c>
      <c r="L2286" t="s">
        <v>4626</v>
      </c>
    </row>
    <row r="2287" spans="1:13" ht="15" customHeight="1" x14ac:dyDescent="0.25">
      <c r="A2287">
        <v>2286</v>
      </c>
      <c r="B2287" s="5">
        <v>45814</v>
      </c>
      <c r="C2287" t="s">
        <v>33</v>
      </c>
      <c r="D2287" t="s">
        <v>172</v>
      </c>
      <c r="E2287" t="s">
        <v>173</v>
      </c>
      <c r="F2287" t="s">
        <v>76</v>
      </c>
      <c r="G2287" s="6">
        <v>2180.7600000000002</v>
      </c>
      <c r="H2287" s="7">
        <v>0.2</v>
      </c>
      <c r="I2287" s="6">
        <v>436.15</v>
      </c>
      <c r="J2287" s="6">
        <v>2616.91</v>
      </c>
      <c r="K2287" t="s">
        <v>4627</v>
      </c>
      <c r="L2287" t="s">
        <v>4628</v>
      </c>
    </row>
    <row r="2288" spans="1:13" ht="15" customHeight="1" x14ac:dyDescent="0.25">
      <c r="A2288">
        <v>2287</v>
      </c>
      <c r="B2288" s="5">
        <v>46013</v>
      </c>
      <c r="C2288" t="s">
        <v>47</v>
      </c>
      <c r="D2288" t="s">
        <v>28</v>
      </c>
      <c r="E2288" t="s">
        <v>29</v>
      </c>
      <c r="F2288" t="s">
        <v>84</v>
      </c>
      <c r="G2288" s="6">
        <v>648.20000000000005</v>
      </c>
      <c r="H2288" s="7">
        <v>2.1000000000000001E-2</v>
      </c>
      <c r="I2288" s="6">
        <v>13.61</v>
      </c>
      <c r="J2288" s="6">
        <v>661.81</v>
      </c>
      <c r="K2288" t="s">
        <v>4629</v>
      </c>
      <c r="L2288" t="s">
        <v>4630</v>
      </c>
    </row>
    <row r="2289" spans="1:13" ht="15" customHeight="1" x14ac:dyDescent="0.25">
      <c r="A2289">
        <v>2288</v>
      </c>
      <c r="B2289" s="5">
        <v>45672</v>
      </c>
      <c r="C2289" t="s">
        <v>47</v>
      </c>
      <c r="D2289" t="s">
        <v>55</v>
      </c>
      <c r="E2289" t="s">
        <v>56</v>
      </c>
      <c r="F2289" t="s">
        <v>84</v>
      </c>
      <c r="G2289" s="6">
        <v>3841.06</v>
      </c>
      <c r="H2289" s="7">
        <v>5.5E-2</v>
      </c>
      <c r="I2289" s="6">
        <v>211.26</v>
      </c>
      <c r="J2289" s="6">
        <v>4052.32</v>
      </c>
      <c r="K2289" t="s">
        <v>4631</v>
      </c>
      <c r="L2289" t="s">
        <v>4632</v>
      </c>
    </row>
    <row r="2290" spans="1:13" ht="15" customHeight="1" x14ac:dyDescent="0.25">
      <c r="A2290">
        <v>2289</v>
      </c>
      <c r="B2290" s="5">
        <v>45790</v>
      </c>
      <c r="C2290" t="s">
        <v>33</v>
      </c>
      <c r="D2290" t="s">
        <v>172</v>
      </c>
      <c r="E2290" t="s">
        <v>173</v>
      </c>
      <c r="F2290" t="s">
        <v>106</v>
      </c>
      <c r="G2290" s="6">
        <v>1689.6</v>
      </c>
      <c r="H2290" s="7">
        <v>0.2</v>
      </c>
      <c r="I2290" s="6">
        <v>337.92</v>
      </c>
      <c r="J2290" s="6">
        <v>2027.52</v>
      </c>
      <c r="K2290" t="s">
        <v>4633</v>
      </c>
      <c r="L2290" t="s">
        <v>4634</v>
      </c>
    </row>
    <row r="2291" spans="1:13" ht="15" customHeight="1" x14ac:dyDescent="0.25">
      <c r="A2291">
        <v>2290</v>
      </c>
      <c r="B2291" s="5">
        <v>45974</v>
      </c>
      <c r="C2291" t="s">
        <v>27</v>
      </c>
      <c r="D2291" t="s">
        <v>63</v>
      </c>
      <c r="E2291" t="s">
        <v>64</v>
      </c>
      <c r="F2291" t="s">
        <v>50</v>
      </c>
      <c r="G2291" s="6">
        <v>4058.02</v>
      </c>
      <c r="H2291" s="7">
        <v>0.2</v>
      </c>
      <c r="I2291" s="6">
        <v>811.6</v>
      </c>
      <c r="J2291" s="6">
        <v>4869.62</v>
      </c>
      <c r="K2291" t="s">
        <v>4635</v>
      </c>
      <c r="L2291" t="s">
        <v>4636</v>
      </c>
    </row>
    <row r="2292" spans="1:13" ht="15" customHeight="1" x14ac:dyDescent="0.25">
      <c r="A2292">
        <v>2291</v>
      </c>
      <c r="B2292" s="5">
        <v>45818</v>
      </c>
      <c r="C2292" t="s">
        <v>33</v>
      </c>
      <c r="D2292" t="s">
        <v>172</v>
      </c>
      <c r="E2292" t="s">
        <v>173</v>
      </c>
      <c r="F2292" t="s">
        <v>36</v>
      </c>
      <c r="G2292" s="6">
        <v>17394.89</v>
      </c>
      <c r="H2292" s="7">
        <v>0.2</v>
      </c>
      <c r="I2292" s="6">
        <v>3478.98</v>
      </c>
      <c r="J2292" s="6">
        <v>20873.87</v>
      </c>
      <c r="K2292" t="s">
        <v>4637</v>
      </c>
      <c r="L2292" t="s">
        <v>4638</v>
      </c>
      <c r="M2292" t="s">
        <v>580</v>
      </c>
    </row>
    <row r="2293" spans="1:13" ht="15" customHeight="1" x14ac:dyDescent="0.25">
      <c r="A2293">
        <v>2292</v>
      </c>
      <c r="B2293" s="5">
        <v>45926</v>
      </c>
      <c r="C2293" t="s">
        <v>27</v>
      </c>
      <c r="D2293" t="s">
        <v>28</v>
      </c>
      <c r="E2293" t="s">
        <v>29</v>
      </c>
      <c r="F2293" t="s">
        <v>76</v>
      </c>
      <c r="G2293" s="6">
        <v>2210.67</v>
      </c>
      <c r="H2293" s="7">
        <v>2.1000000000000001E-2</v>
      </c>
      <c r="I2293" s="6">
        <v>46.42</v>
      </c>
      <c r="J2293" s="6">
        <v>2257.09</v>
      </c>
      <c r="K2293" t="s">
        <v>4639</v>
      </c>
      <c r="L2293" t="s">
        <v>4640</v>
      </c>
    </row>
    <row r="2294" spans="1:13" ht="15" customHeight="1" x14ac:dyDescent="0.25">
      <c r="A2294">
        <v>2293</v>
      </c>
      <c r="B2294" s="5">
        <v>45691</v>
      </c>
      <c r="C2294" t="s">
        <v>33</v>
      </c>
      <c r="D2294" t="s">
        <v>34</v>
      </c>
      <c r="E2294" t="s">
        <v>35</v>
      </c>
      <c r="F2294" t="s">
        <v>174</v>
      </c>
      <c r="G2294" s="6">
        <v>1593.26</v>
      </c>
      <c r="H2294" s="7">
        <v>0.2</v>
      </c>
      <c r="I2294" s="6">
        <v>318.64999999999998</v>
      </c>
      <c r="J2294" s="6">
        <v>1911.91</v>
      </c>
      <c r="K2294" t="s">
        <v>4641</v>
      </c>
      <c r="L2294" t="s">
        <v>4642</v>
      </c>
    </row>
    <row r="2295" spans="1:13" ht="15" customHeight="1" x14ac:dyDescent="0.25">
      <c r="A2295">
        <v>2294</v>
      </c>
      <c r="B2295" s="5">
        <v>45719</v>
      </c>
      <c r="C2295" t="s">
        <v>33</v>
      </c>
      <c r="D2295" t="s">
        <v>28</v>
      </c>
      <c r="E2295" t="s">
        <v>29</v>
      </c>
      <c r="F2295" t="s">
        <v>50</v>
      </c>
      <c r="G2295" s="6">
        <v>2952.99</v>
      </c>
      <c r="H2295" s="7">
        <v>2.1000000000000001E-2</v>
      </c>
      <c r="I2295" s="6">
        <v>62.01</v>
      </c>
      <c r="J2295" s="6">
        <v>3015</v>
      </c>
      <c r="K2295" t="s">
        <v>4643</v>
      </c>
      <c r="L2295" t="s">
        <v>4644</v>
      </c>
    </row>
    <row r="2296" spans="1:13" ht="15" customHeight="1" x14ac:dyDescent="0.25">
      <c r="A2296">
        <v>2295</v>
      </c>
      <c r="B2296" s="5">
        <v>45664</v>
      </c>
      <c r="C2296" t="s">
        <v>47</v>
      </c>
      <c r="D2296" t="s">
        <v>172</v>
      </c>
      <c r="E2296" t="s">
        <v>173</v>
      </c>
      <c r="F2296" t="s">
        <v>4645</v>
      </c>
      <c r="G2296" s="6">
        <v>3792.7</v>
      </c>
      <c r="H2296" s="7">
        <v>0.2</v>
      </c>
      <c r="I2296" s="6">
        <v>758.54</v>
      </c>
      <c r="J2296" s="6">
        <v>4551.24</v>
      </c>
      <c r="K2296" t="s">
        <v>4646</v>
      </c>
      <c r="L2296" t="s">
        <v>4647</v>
      </c>
      <c r="M2296" t="s">
        <v>68</v>
      </c>
    </row>
    <row r="2297" spans="1:13" ht="15" customHeight="1" x14ac:dyDescent="0.25">
      <c r="A2297">
        <v>2296</v>
      </c>
      <c r="B2297" s="5">
        <v>45674</v>
      </c>
      <c r="C2297" t="s">
        <v>27</v>
      </c>
      <c r="D2297" t="s">
        <v>28</v>
      </c>
      <c r="E2297" t="s">
        <v>29</v>
      </c>
      <c r="F2297" t="s">
        <v>87</v>
      </c>
      <c r="G2297" s="6">
        <v>1841.33</v>
      </c>
      <c r="H2297" s="7">
        <v>2.1000000000000001E-2</v>
      </c>
      <c r="I2297" s="6">
        <v>38.67</v>
      </c>
      <c r="J2297" s="6">
        <v>1880</v>
      </c>
      <c r="K2297" t="s">
        <v>4648</v>
      </c>
      <c r="L2297" t="s">
        <v>4649</v>
      </c>
    </row>
    <row r="2298" spans="1:13" ht="15" customHeight="1" x14ac:dyDescent="0.25">
      <c r="A2298">
        <v>2297</v>
      </c>
      <c r="B2298" s="5">
        <v>45931</v>
      </c>
      <c r="C2298" t="s">
        <v>27</v>
      </c>
      <c r="D2298" t="s">
        <v>28</v>
      </c>
      <c r="E2298" t="s">
        <v>29</v>
      </c>
      <c r="F2298" t="s">
        <v>106</v>
      </c>
      <c r="G2298" s="6">
        <v>3822</v>
      </c>
      <c r="H2298" s="7">
        <v>2.1000000000000001E-2</v>
      </c>
      <c r="I2298" s="6">
        <v>80.260000000000005</v>
      </c>
      <c r="J2298" s="6">
        <v>3902.26</v>
      </c>
      <c r="K2298" t="s">
        <v>4650</v>
      </c>
      <c r="L2298" t="s">
        <v>4651</v>
      </c>
    </row>
    <row r="2299" spans="1:13" ht="15" customHeight="1" x14ac:dyDescent="0.25">
      <c r="A2299">
        <v>2298</v>
      </c>
      <c r="B2299" s="5">
        <v>45925</v>
      </c>
      <c r="C2299" t="s">
        <v>33</v>
      </c>
      <c r="D2299" t="s">
        <v>79</v>
      </c>
      <c r="E2299" t="s">
        <v>80</v>
      </c>
      <c r="F2299" t="s">
        <v>174</v>
      </c>
      <c r="G2299" s="6">
        <v>1176.04</v>
      </c>
      <c r="H2299" s="7">
        <v>0.2</v>
      </c>
      <c r="I2299" s="6">
        <v>235.21</v>
      </c>
      <c r="J2299" s="6">
        <v>1411.25</v>
      </c>
      <c r="K2299" t="s">
        <v>4652</v>
      </c>
      <c r="L2299" t="s">
        <v>4653</v>
      </c>
    </row>
    <row r="2300" spans="1:13" ht="15" customHeight="1" x14ac:dyDescent="0.25">
      <c r="A2300">
        <v>2299</v>
      </c>
      <c r="B2300" s="5">
        <v>45783</v>
      </c>
      <c r="C2300" t="s">
        <v>27</v>
      </c>
      <c r="D2300" t="s">
        <v>28</v>
      </c>
      <c r="E2300" t="s">
        <v>29</v>
      </c>
      <c r="F2300" t="s">
        <v>81</v>
      </c>
      <c r="G2300" s="6">
        <v>1089.26</v>
      </c>
      <c r="H2300" s="7">
        <v>2.1000000000000001E-2</v>
      </c>
      <c r="I2300" s="6">
        <v>22.87</v>
      </c>
      <c r="J2300" s="6">
        <v>1112.1300000000001</v>
      </c>
      <c r="K2300" t="s">
        <v>4654</v>
      </c>
      <c r="L2300" t="s">
        <v>4655</v>
      </c>
    </row>
    <row r="2301" spans="1:13" ht="15" customHeight="1" x14ac:dyDescent="0.25">
      <c r="A2301">
        <v>2300</v>
      </c>
      <c r="B2301" s="5">
        <v>45940</v>
      </c>
      <c r="C2301" t="s">
        <v>33</v>
      </c>
      <c r="D2301" t="s">
        <v>28</v>
      </c>
      <c r="E2301" t="s">
        <v>29</v>
      </c>
      <c r="F2301" t="s">
        <v>81</v>
      </c>
      <c r="G2301" s="6">
        <v>1306.45</v>
      </c>
      <c r="H2301" s="7">
        <v>2.1000000000000001E-2</v>
      </c>
      <c r="I2301" s="6">
        <v>27.44</v>
      </c>
      <c r="J2301" s="6">
        <v>1333.89</v>
      </c>
      <c r="K2301" t="s">
        <v>4656</v>
      </c>
      <c r="L2301" t="s">
        <v>4657</v>
      </c>
    </row>
    <row r="2302" spans="1:13" ht="15" customHeight="1" x14ac:dyDescent="0.25">
      <c r="A2302">
        <v>2301</v>
      </c>
      <c r="B2302" s="5">
        <v>45925</v>
      </c>
      <c r="C2302" t="s">
        <v>27</v>
      </c>
      <c r="D2302" t="s">
        <v>42</v>
      </c>
      <c r="E2302" t="s">
        <v>43</v>
      </c>
      <c r="F2302" t="s">
        <v>44</v>
      </c>
      <c r="G2302" s="6">
        <v>2298.56</v>
      </c>
      <c r="H2302" s="7">
        <v>0</v>
      </c>
      <c r="I2302" s="6">
        <v>0</v>
      </c>
      <c r="J2302" s="6">
        <v>2298.56</v>
      </c>
      <c r="K2302" t="s">
        <v>4658</v>
      </c>
      <c r="L2302" t="s">
        <v>4659</v>
      </c>
    </row>
    <row r="2303" spans="1:13" ht="15" customHeight="1" x14ac:dyDescent="0.25">
      <c r="A2303">
        <v>2302</v>
      </c>
      <c r="B2303" s="5">
        <v>45902</v>
      </c>
      <c r="C2303" t="s">
        <v>27</v>
      </c>
      <c r="D2303" t="s">
        <v>42</v>
      </c>
      <c r="E2303" t="s">
        <v>43</v>
      </c>
      <c r="F2303" t="s">
        <v>44</v>
      </c>
      <c r="G2303" s="6">
        <v>3088.64</v>
      </c>
      <c r="H2303" s="7">
        <v>0</v>
      </c>
      <c r="I2303" s="6">
        <v>0</v>
      </c>
      <c r="J2303" s="6">
        <v>3088.64</v>
      </c>
      <c r="K2303" t="s">
        <v>4660</v>
      </c>
      <c r="L2303" t="s">
        <v>4661</v>
      </c>
    </row>
    <row r="2304" spans="1:13" ht="15" customHeight="1" x14ac:dyDescent="0.25">
      <c r="A2304">
        <v>2303</v>
      </c>
      <c r="B2304" s="5">
        <v>45982</v>
      </c>
      <c r="C2304" t="s">
        <v>33</v>
      </c>
      <c r="D2304" t="s">
        <v>55</v>
      </c>
      <c r="E2304" t="s">
        <v>56</v>
      </c>
      <c r="F2304" t="s">
        <v>76</v>
      </c>
      <c r="G2304" s="6">
        <v>402.9</v>
      </c>
      <c r="H2304" s="7">
        <v>5.5E-2</v>
      </c>
      <c r="I2304" s="6">
        <v>22.16</v>
      </c>
      <c r="J2304" s="6">
        <v>425.06</v>
      </c>
      <c r="K2304" t="s">
        <v>4662</v>
      </c>
      <c r="L2304" t="s">
        <v>4663</v>
      </c>
    </row>
    <row r="2305" spans="1:12" ht="15" customHeight="1" x14ac:dyDescent="0.25">
      <c r="A2305">
        <v>2304</v>
      </c>
      <c r="B2305" s="5">
        <v>45709</v>
      </c>
      <c r="C2305" t="s">
        <v>47</v>
      </c>
      <c r="D2305" t="s">
        <v>28</v>
      </c>
      <c r="E2305" t="s">
        <v>29</v>
      </c>
      <c r="F2305" t="s">
        <v>71</v>
      </c>
      <c r="G2305" s="6">
        <v>2477.27</v>
      </c>
      <c r="H2305" s="7">
        <v>2.1000000000000001E-2</v>
      </c>
      <c r="I2305" s="6">
        <v>52.02</v>
      </c>
      <c r="J2305" s="6">
        <v>2529.29</v>
      </c>
      <c r="K2305" t="s">
        <v>4664</v>
      </c>
      <c r="L2305" t="s">
        <v>4665</v>
      </c>
    </row>
    <row r="2306" spans="1:12" ht="15" customHeight="1" x14ac:dyDescent="0.25">
      <c r="A2306">
        <v>2305</v>
      </c>
      <c r="B2306" s="5">
        <v>45715</v>
      </c>
      <c r="C2306" t="s">
        <v>47</v>
      </c>
      <c r="D2306" t="s">
        <v>55</v>
      </c>
      <c r="E2306" t="s">
        <v>56</v>
      </c>
      <c r="F2306" t="s">
        <v>76</v>
      </c>
      <c r="G2306" s="6">
        <v>3262.32</v>
      </c>
      <c r="H2306" s="7">
        <v>5.5E-2</v>
      </c>
      <c r="I2306" s="6">
        <v>179.43</v>
      </c>
      <c r="J2306" s="6">
        <v>3441.75</v>
      </c>
      <c r="K2306" t="s">
        <v>4666</v>
      </c>
      <c r="L2306" t="s">
        <v>4667</v>
      </c>
    </row>
    <row r="2307" spans="1:12" ht="15" customHeight="1" x14ac:dyDescent="0.25">
      <c r="A2307">
        <v>2306</v>
      </c>
      <c r="B2307" s="5">
        <v>45972</v>
      </c>
      <c r="C2307" t="s">
        <v>27</v>
      </c>
      <c r="D2307" t="s">
        <v>28</v>
      </c>
      <c r="E2307" t="s">
        <v>29</v>
      </c>
      <c r="F2307" t="s">
        <v>39</v>
      </c>
      <c r="G2307" s="6">
        <v>3419.5</v>
      </c>
      <c r="H2307" s="7">
        <v>2.1000000000000001E-2</v>
      </c>
      <c r="I2307" s="6">
        <v>71.81</v>
      </c>
      <c r="J2307" s="6">
        <v>3491.31</v>
      </c>
      <c r="K2307" t="s">
        <v>4668</v>
      </c>
      <c r="L2307" t="s">
        <v>4669</v>
      </c>
    </row>
    <row r="2308" spans="1:12" ht="15" customHeight="1" x14ac:dyDescent="0.25">
      <c r="A2308">
        <v>2307</v>
      </c>
      <c r="B2308" s="5">
        <v>45910</v>
      </c>
      <c r="C2308" t="s">
        <v>47</v>
      </c>
      <c r="D2308" t="s">
        <v>172</v>
      </c>
      <c r="E2308" t="s">
        <v>173</v>
      </c>
      <c r="F2308" t="s">
        <v>50</v>
      </c>
      <c r="G2308" s="6">
        <v>2869.59</v>
      </c>
      <c r="H2308" s="7">
        <v>0.2</v>
      </c>
      <c r="I2308" s="6">
        <v>573.91999999999996</v>
      </c>
      <c r="J2308" s="6">
        <v>3443.51</v>
      </c>
      <c r="K2308" t="s">
        <v>4670</v>
      </c>
      <c r="L2308" t="s">
        <v>4671</v>
      </c>
    </row>
    <row r="2309" spans="1:12" ht="15" customHeight="1" x14ac:dyDescent="0.25">
      <c r="A2309">
        <v>2308</v>
      </c>
      <c r="B2309" s="5">
        <v>45988</v>
      </c>
      <c r="C2309" t="s">
        <v>47</v>
      </c>
      <c r="D2309" t="s">
        <v>172</v>
      </c>
      <c r="E2309" t="s">
        <v>173</v>
      </c>
      <c r="F2309" t="s">
        <v>106</v>
      </c>
      <c r="G2309" s="6">
        <v>1404.4</v>
      </c>
      <c r="H2309" s="7">
        <v>0.2</v>
      </c>
      <c r="I2309" s="6">
        <v>280.88</v>
      </c>
      <c r="J2309" s="6">
        <v>1685.28</v>
      </c>
      <c r="K2309" t="s">
        <v>4672</v>
      </c>
      <c r="L2309" t="s">
        <v>4673</v>
      </c>
    </row>
    <row r="2310" spans="1:12" ht="15" customHeight="1" x14ac:dyDescent="0.25">
      <c r="A2310">
        <v>2309</v>
      </c>
      <c r="B2310" s="5">
        <v>45945</v>
      </c>
      <c r="C2310" t="s">
        <v>47</v>
      </c>
      <c r="D2310" t="s">
        <v>55</v>
      </c>
      <c r="E2310" t="s">
        <v>56</v>
      </c>
      <c r="F2310" t="s">
        <v>120</v>
      </c>
      <c r="G2310" s="6">
        <v>2303.54</v>
      </c>
      <c r="H2310" s="7">
        <v>5.5E-2</v>
      </c>
      <c r="I2310" s="6">
        <v>126.69</v>
      </c>
      <c r="J2310" s="6">
        <v>2430.23</v>
      </c>
      <c r="K2310" t="s">
        <v>4674</v>
      </c>
      <c r="L2310" t="s">
        <v>4675</v>
      </c>
    </row>
    <row r="2311" spans="1:12" ht="15" customHeight="1" x14ac:dyDescent="0.25">
      <c r="A2311">
        <v>2310</v>
      </c>
      <c r="B2311" s="5">
        <v>45751</v>
      </c>
      <c r="C2311" t="s">
        <v>33</v>
      </c>
      <c r="D2311" t="s">
        <v>94</v>
      </c>
      <c r="E2311" t="s">
        <v>95</v>
      </c>
      <c r="F2311" t="s">
        <v>44</v>
      </c>
      <c r="G2311" s="6">
        <v>1298.02</v>
      </c>
      <c r="H2311" s="7">
        <v>0</v>
      </c>
      <c r="I2311" s="6">
        <v>0</v>
      </c>
      <c r="J2311" s="6">
        <v>1298.02</v>
      </c>
      <c r="K2311" t="s">
        <v>4676</v>
      </c>
      <c r="L2311" t="s">
        <v>4677</v>
      </c>
    </row>
    <row r="2312" spans="1:12" ht="15" customHeight="1" x14ac:dyDescent="0.25">
      <c r="A2312">
        <v>2311</v>
      </c>
      <c r="B2312" s="5">
        <v>45749</v>
      </c>
      <c r="C2312" t="s">
        <v>47</v>
      </c>
      <c r="D2312" t="s">
        <v>79</v>
      </c>
      <c r="E2312" t="s">
        <v>80</v>
      </c>
      <c r="F2312" t="s">
        <v>36</v>
      </c>
      <c r="G2312" s="6">
        <v>369.77</v>
      </c>
      <c r="H2312" s="7">
        <v>0.2</v>
      </c>
      <c r="I2312" s="6">
        <v>73.95</v>
      </c>
      <c r="J2312" s="6">
        <v>443.72</v>
      </c>
      <c r="K2312" t="s">
        <v>4678</v>
      </c>
      <c r="L2312" t="s">
        <v>4679</v>
      </c>
    </row>
    <row r="2313" spans="1:12" ht="15" customHeight="1" x14ac:dyDescent="0.25">
      <c r="A2313">
        <v>2312</v>
      </c>
      <c r="B2313" s="5">
        <v>45884</v>
      </c>
      <c r="C2313" t="s">
        <v>47</v>
      </c>
      <c r="D2313" t="s">
        <v>28</v>
      </c>
      <c r="E2313" t="s">
        <v>29</v>
      </c>
      <c r="F2313" t="s">
        <v>120</v>
      </c>
      <c r="G2313" s="6">
        <v>1593.55</v>
      </c>
      <c r="H2313" s="7">
        <v>2.1000000000000001E-2</v>
      </c>
      <c r="I2313" s="6">
        <v>33.46</v>
      </c>
      <c r="J2313" s="6">
        <v>1627.01</v>
      </c>
      <c r="K2313" t="s">
        <v>4680</v>
      </c>
      <c r="L2313" t="s">
        <v>4681</v>
      </c>
    </row>
    <row r="2314" spans="1:12" ht="15" customHeight="1" x14ac:dyDescent="0.25">
      <c r="A2314">
        <v>2313</v>
      </c>
      <c r="B2314" s="5">
        <v>45713</v>
      </c>
      <c r="C2314" t="s">
        <v>33</v>
      </c>
      <c r="D2314" t="s">
        <v>28</v>
      </c>
      <c r="E2314" t="s">
        <v>29</v>
      </c>
      <c r="F2314" t="s">
        <v>71</v>
      </c>
      <c r="G2314" s="6">
        <v>3451.81</v>
      </c>
      <c r="H2314" s="7">
        <v>2.1000000000000001E-2</v>
      </c>
      <c r="I2314" s="6">
        <v>72.489999999999995</v>
      </c>
      <c r="J2314" s="6">
        <v>3524.3</v>
      </c>
      <c r="K2314" t="s">
        <v>4682</v>
      </c>
      <c r="L2314" t="s">
        <v>4683</v>
      </c>
    </row>
    <row r="2315" spans="1:12" ht="15" customHeight="1" x14ac:dyDescent="0.25">
      <c r="A2315">
        <v>2314</v>
      </c>
      <c r="B2315" s="5">
        <v>45929</v>
      </c>
      <c r="C2315" t="s">
        <v>27</v>
      </c>
      <c r="D2315" t="s">
        <v>55</v>
      </c>
      <c r="E2315" t="s">
        <v>56</v>
      </c>
      <c r="F2315" t="s">
        <v>120</v>
      </c>
      <c r="G2315" s="6">
        <v>2165.69</v>
      </c>
      <c r="H2315" s="7">
        <v>5.5E-2</v>
      </c>
      <c r="I2315" s="6">
        <v>119.11</v>
      </c>
      <c r="J2315" s="6">
        <v>2284.8000000000002</v>
      </c>
      <c r="K2315" t="s">
        <v>4684</v>
      </c>
      <c r="L2315" t="s">
        <v>4685</v>
      </c>
    </row>
    <row r="2316" spans="1:12" ht="15" customHeight="1" x14ac:dyDescent="0.25">
      <c r="A2316">
        <v>2315</v>
      </c>
      <c r="B2316" s="5">
        <v>46002</v>
      </c>
      <c r="C2316" t="s">
        <v>27</v>
      </c>
      <c r="D2316" t="s">
        <v>28</v>
      </c>
      <c r="E2316" t="s">
        <v>29</v>
      </c>
      <c r="F2316" t="s">
        <v>30</v>
      </c>
      <c r="G2316" s="6">
        <v>763.32</v>
      </c>
      <c r="H2316" s="7">
        <v>2.1000000000000001E-2</v>
      </c>
      <c r="I2316" s="6">
        <v>16.03</v>
      </c>
      <c r="J2316" s="6">
        <v>779.35</v>
      </c>
      <c r="K2316" t="s">
        <v>4686</v>
      </c>
      <c r="L2316" t="s">
        <v>4687</v>
      </c>
    </row>
    <row r="2317" spans="1:12" ht="15" customHeight="1" x14ac:dyDescent="0.25">
      <c r="A2317">
        <v>2316</v>
      </c>
      <c r="B2317" s="5">
        <v>45824</v>
      </c>
      <c r="C2317" t="s">
        <v>47</v>
      </c>
      <c r="D2317" t="s">
        <v>42</v>
      </c>
      <c r="E2317" t="s">
        <v>43</v>
      </c>
      <c r="F2317" t="s">
        <v>44</v>
      </c>
      <c r="G2317" s="6">
        <v>4154.7700000000004</v>
      </c>
      <c r="H2317" s="7">
        <v>0</v>
      </c>
      <c r="I2317" s="6">
        <v>0</v>
      </c>
      <c r="J2317" s="6">
        <v>4154.7700000000004</v>
      </c>
      <c r="K2317" t="s">
        <v>4688</v>
      </c>
      <c r="L2317" t="s">
        <v>4689</v>
      </c>
    </row>
    <row r="2318" spans="1:12" ht="15" customHeight="1" x14ac:dyDescent="0.25">
      <c r="A2318">
        <v>2317</v>
      </c>
      <c r="B2318" s="5">
        <v>45775</v>
      </c>
      <c r="C2318" t="s">
        <v>27</v>
      </c>
      <c r="D2318" t="s">
        <v>42</v>
      </c>
      <c r="E2318" t="s">
        <v>43</v>
      </c>
      <c r="F2318" t="s">
        <v>44</v>
      </c>
      <c r="G2318" s="6">
        <v>2932.76</v>
      </c>
      <c r="H2318" s="7">
        <v>0</v>
      </c>
      <c r="I2318" s="6">
        <v>0</v>
      </c>
      <c r="J2318" s="6">
        <v>2932.76</v>
      </c>
      <c r="K2318" t="s">
        <v>4690</v>
      </c>
      <c r="L2318" t="s">
        <v>4691</v>
      </c>
    </row>
    <row r="2319" spans="1:12" ht="15" customHeight="1" x14ac:dyDescent="0.25">
      <c r="A2319">
        <v>2318</v>
      </c>
      <c r="B2319" s="5">
        <v>45814</v>
      </c>
      <c r="C2319" t="s">
        <v>47</v>
      </c>
      <c r="D2319" t="s">
        <v>63</v>
      </c>
      <c r="E2319" t="s">
        <v>64</v>
      </c>
      <c r="F2319" t="s">
        <v>50</v>
      </c>
      <c r="G2319" s="6">
        <v>1555.05</v>
      </c>
      <c r="H2319" s="7">
        <v>0.2</v>
      </c>
      <c r="I2319" s="6">
        <v>311.01</v>
      </c>
      <c r="J2319" s="6">
        <v>1866.06</v>
      </c>
      <c r="K2319" t="s">
        <v>4692</v>
      </c>
      <c r="L2319" t="s">
        <v>4693</v>
      </c>
    </row>
    <row r="2320" spans="1:12" ht="15" customHeight="1" x14ac:dyDescent="0.25">
      <c r="A2320">
        <v>2319</v>
      </c>
      <c r="B2320" s="5">
        <v>45875</v>
      </c>
      <c r="C2320" t="s">
        <v>27</v>
      </c>
      <c r="D2320" t="s">
        <v>55</v>
      </c>
      <c r="E2320" t="s">
        <v>56</v>
      </c>
      <c r="F2320" t="s">
        <v>36</v>
      </c>
      <c r="G2320" s="6">
        <v>2569.73</v>
      </c>
      <c r="H2320" s="7">
        <v>5.5E-2</v>
      </c>
      <c r="I2320" s="6">
        <v>141.34</v>
      </c>
      <c r="J2320" s="6">
        <v>2711.07</v>
      </c>
      <c r="K2320" t="s">
        <v>4694</v>
      </c>
      <c r="L2320" t="s">
        <v>4695</v>
      </c>
    </row>
    <row r="2321" spans="1:12" ht="15" customHeight="1" x14ac:dyDescent="0.25">
      <c r="A2321">
        <v>2320</v>
      </c>
      <c r="B2321" s="5">
        <v>45867</v>
      </c>
      <c r="C2321" t="s">
        <v>47</v>
      </c>
      <c r="D2321" t="s">
        <v>28</v>
      </c>
      <c r="E2321" t="s">
        <v>29</v>
      </c>
      <c r="F2321" t="s">
        <v>30</v>
      </c>
      <c r="G2321" s="6">
        <v>1642.96</v>
      </c>
      <c r="H2321" s="7">
        <v>2.1000000000000001E-2</v>
      </c>
      <c r="I2321" s="6">
        <v>34.5</v>
      </c>
      <c r="J2321" s="6">
        <v>1677.46</v>
      </c>
      <c r="K2321" t="s">
        <v>4696</v>
      </c>
      <c r="L2321" t="s">
        <v>4697</v>
      </c>
    </row>
    <row r="2322" spans="1:12" ht="15" customHeight="1" x14ac:dyDescent="0.25">
      <c r="A2322">
        <v>2321</v>
      </c>
      <c r="B2322" s="5">
        <v>45761</v>
      </c>
      <c r="C2322" t="s">
        <v>47</v>
      </c>
      <c r="D2322" t="s">
        <v>28</v>
      </c>
      <c r="E2322" t="s">
        <v>29</v>
      </c>
      <c r="F2322" t="s">
        <v>81</v>
      </c>
      <c r="G2322" s="6">
        <v>1002.05</v>
      </c>
      <c r="H2322" s="7">
        <v>2.1000000000000001E-2</v>
      </c>
      <c r="I2322" s="6">
        <v>21.04</v>
      </c>
      <c r="J2322" s="6">
        <v>1023.09</v>
      </c>
      <c r="K2322" t="s">
        <v>4698</v>
      </c>
      <c r="L2322" t="s">
        <v>4699</v>
      </c>
    </row>
    <row r="2323" spans="1:12" ht="15" customHeight="1" x14ac:dyDescent="0.25">
      <c r="A2323">
        <v>2322</v>
      </c>
      <c r="B2323" s="5">
        <v>45670</v>
      </c>
      <c r="C2323" t="s">
        <v>47</v>
      </c>
      <c r="D2323" t="s">
        <v>42</v>
      </c>
      <c r="E2323" t="s">
        <v>43</v>
      </c>
      <c r="F2323" t="s">
        <v>44</v>
      </c>
      <c r="G2323" s="6">
        <v>3698.21</v>
      </c>
      <c r="H2323" s="7">
        <v>0</v>
      </c>
      <c r="I2323" s="6">
        <v>0</v>
      </c>
      <c r="J2323" s="6">
        <v>3698.21</v>
      </c>
      <c r="K2323" t="s">
        <v>4700</v>
      </c>
      <c r="L2323" t="s">
        <v>4701</v>
      </c>
    </row>
    <row r="2324" spans="1:12" ht="15" customHeight="1" x14ac:dyDescent="0.25">
      <c r="A2324">
        <v>2323</v>
      </c>
      <c r="B2324" s="5">
        <v>45768</v>
      </c>
      <c r="C2324" t="s">
        <v>27</v>
      </c>
      <c r="D2324" t="s">
        <v>172</v>
      </c>
      <c r="E2324" t="s">
        <v>173</v>
      </c>
      <c r="F2324" t="s">
        <v>76</v>
      </c>
      <c r="G2324" s="6">
        <v>2809.6</v>
      </c>
      <c r="H2324" s="7">
        <v>0.2</v>
      </c>
      <c r="I2324" s="6">
        <v>561.91999999999996</v>
      </c>
      <c r="J2324" s="6">
        <v>3371.52</v>
      </c>
      <c r="K2324" t="s">
        <v>4702</v>
      </c>
      <c r="L2324" t="s">
        <v>4703</v>
      </c>
    </row>
    <row r="2325" spans="1:12" ht="15" customHeight="1" x14ac:dyDescent="0.25">
      <c r="A2325">
        <v>2324</v>
      </c>
      <c r="B2325" s="5">
        <v>45782</v>
      </c>
      <c r="C2325" t="s">
        <v>47</v>
      </c>
      <c r="D2325" t="s">
        <v>28</v>
      </c>
      <c r="E2325" t="s">
        <v>29</v>
      </c>
      <c r="F2325" t="s">
        <v>81</v>
      </c>
      <c r="G2325" s="6">
        <v>789.05</v>
      </c>
      <c r="H2325" s="7">
        <v>2.1000000000000001E-2</v>
      </c>
      <c r="I2325" s="6">
        <v>16.57</v>
      </c>
      <c r="J2325" s="6">
        <v>805.62</v>
      </c>
      <c r="K2325" t="s">
        <v>4704</v>
      </c>
      <c r="L2325" t="s">
        <v>4705</v>
      </c>
    </row>
    <row r="2326" spans="1:12" ht="15" customHeight="1" x14ac:dyDescent="0.25">
      <c r="A2326">
        <v>2325</v>
      </c>
      <c r="B2326" s="5">
        <v>45681</v>
      </c>
      <c r="C2326" t="s">
        <v>27</v>
      </c>
      <c r="D2326" t="s">
        <v>172</v>
      </c>
      <c r="E2326" t="s">
        <v>173</v>
      </c>
      <c r="F2326" t="s">
        <v>36</v>
      </c>
      <c r="G2326" s="6">
        <v>3533.03</v>
      </c>
      <c r="H2326" s="7">
        <v>0.2</v>
      </c>
      <c r="I2326" s="6">
        <v>706.61</v>
      </c>
      <c r="J2326" s="6">
        <v>4239.6400000000003</v>
      </c>
      <c r="K2326" t="s">
        <v>4706</v>
      </c>
      <c r="L2326" t="s">
        <v>4707</v>
      </c>
    </row>
    <row r="2327" spans="1:12" ht="15" customHeight="1" x14ac:dyDescent="0.25">
      <c r="A2327">
        <v>2326</v>
      </c>
      <c r="B2327" s="5">
        <v>45968</v>
      </c>
      <c r="C2327" t="s">
        <v>27</v>
      </c>
      <c r="D2327" t="s">
        <v>79</v>
      </c>
      <c r="E2327" t="s">
        <v>80</v>
      </c>
      <c r="F2327" t="s">
        <v>39</v>
      </c>
      <c r="G2327" s="6">
        <v>2670.63</v>
      </c>
      <c r="H2327" s="7">
        <v>0.2</v>
      </c>
      <c r="I2327" s="6">
        <v>534.13</v>
      </c>
      <c r="J2327" s="6">
        <v>3204.76</v>
      </c>
      <c r="K2327" t="s">
        <v>4708</v>
      </c>
      <c r="L2327" t="s">
        <v>4709</v>
      </c>
    </row>
    <row r="2328" spans="1:12" ht="15" customHeight="1" x14ac:dyDescent="0.25">
      <c r="A2328">
        <v>2327</v>
      </c>
      <c r="B2328" s="5">
        <v>45799</v>
      </c>
      <c r="C2328" t="s">
        <v>33</v>
      </c>
      <c r="D2328" t="s">
        <v>181</v>
      </c>
      <c r="E2328" t="s">
        <v>182</v>
      </c>
      <c r="F2328" t="s">
        <v>76</v>
      </c>
      <c r="G2328" s="6">
        <v>2457.5</v>
      </c>
      <c r="H2328" s="7">
        <v>0.2</v>
      </c>
      <c r="I2328" s="6">
        <v>491.5</v>
      </c>
      <c r="J2328" s="6">
        <v>2949</v>
      </c>
      <c r="K2328" t="s">
        <v>4710</v>
      </c>
      <c r="L2328" t="s">
        <v>4711</v>
      </c>
    </row>
    <row r="2329" spans="1:12" ht="15" customHeight="1" x14ac:dyDescent="0.25">
      <c r="A2329">
        <v>2328</v>
      </c>
      <c r="B2329" s="5">
        <v>45695</v>
      </c>
      <c r="C2329" t="s">
        <v>33</v>
      </c>
      <c r="D2329" t="s">
        <v>79</v>
      </c>
      <c r="E2329" t="s">
        <v>80</v>
      </c>
      <c r="F2329" t="s">
        <v>81</v>
      </c>
      <c r="G2329" s="6">
        <v>1514.49</v>
      </c>
      <c r="H2329" s="7">
        <v>0.2</v>
      </c>
      <c r="I2329" s="6">
        <v>302.89999999999998</v>
      </c>
      <c r="J2329" s="6">
        <v>1817.39</v>
      </c>
      <c r="K2329" t="s">
        <v>4712</v>
      </c>
      <c r="L2329" t="s">
        <v>4713</v>
      </c>
    </row>
    <row r="2330" spans="1:12" ht="15" customHeight="1" x14ac:dyDescent="0.25">
      <c r="A2330">
        <v>2329</v>
      </c>
      <c r="B2330" s="5">
        <v>45959</v>
      </c>
      <c r="C2330" t="s">
        <v>33</v>
      </c>
      <c r="D2330" t="s">
        <v>100</v>
      </c>
      <c r="E2330" t="s">
        <v>101</v>
      </c>
      <c r="F2330" t="s">
        <v>44</v>
      </c>
      <c r="G2330" s="6">
        <v>2279.9899999999998</v>
      </c>
      <c r="H2330" s="7">
        <v>0</v>
      </c>
      <c r="I2330" s="6">
        <v>0</v>
      </c>
      <c r="J2330" s="6">
        <v>2279.9899999999998</v>
      </c>
      <c r="K2330" t="s">
        <v>4714</v>
      </c>
      <c r="L2330" t="s">
        <v>4715</v>
      </c>
    </row>
    <row r="2331" spans="1:12" ht="15" customHeight="1" x14ac:dyDescent="0.25">
      <c r="A2331">
        <v>2330</v>
      </c>
      <c r="B2331" s="5">
        <v>45951</v>
      </c>
      <c r="C2331" t="s">
        <v>47</v>
      </c>
      <c r="D2331" t="s">
        <v>55</v>
      </c>
      <c r="E2331" t="s">
        <v>56</v>
      </c>
      <c r="F2331" t="s">
        <v>120</v>
      </c>
      <c r="G2331" s="6">
        <v>2495.91</v>
      </c>
      <c r="H2331" s="7">
        <v>5.5E-2</v>
      </c>
      <c r="I2331" s="6">
        <v>137.28</v>
      </c>
      <c r="J2331" s="6">
        <v>2633.19</v>
      </c>
      <c r="K2331" t="s">
        <v>4716</v>
      </c>
      <c r="L2331" t="s">
        <v>4717</v>
      </c>
    </row>
    <row r="2332" spans="1:12" ht="15" customHeight="1" x14ac:dyDescent="0.25">
      <c r="A2332">
        <v>2331</v>
      </c>
      <c r="B2332" s="5">
        <v>45807</v>
      </c>
      <c r="C2332" t="s">
        <v>27</v>
      </c>
      <c r="D2332" t="s">
        <v>172</v>
      </c>
      <c r="E2332" t="s">
        <v>173</v>
      </c>
      <c r="F2332" t="s">
        <v>30</v>
      </c>
      <c r="G2332" s="6">
        <v>3127.9</v>
      </c>
      <c r="H2332" s="7">
        <v>0.2</v>
      </c>
      <c r="I2332" s="6">
        <v>625.58000000000004</v>
      </c>
      <c r="J2332" s="6">
        <v>3753.48</v>
      </c>
      <c r="K2332" t="s">
        <v>4718</v>
      </c>
      <c r="L2332" t="s">
        <v>4719</v>
      </c>
    </row>
    <row r="2333" spans="1:12" ht="15" customHeight="1" x14ac:dyDescent="0.25">
      <c r="A2333">
        <v>2332</v>
      </c>
      <c r="B2333" s="5">
        <v>46016</v>
      </c>
      <c r="C2333" t="s">
        <v>33</v>
      </c>
      <c r="D2333" t="s">
        <v>100</v>
      </c>
      <c r="E2333" t="s">
        <v>101</v>
      </c>
      <c r="F2333" t="s">
        <v>44</v>
      </c>
      <c r="G2333" s="6">
        <v>2553.5100000000002</v>
      </c>
      <c r="H2333" s="7">
        <v>0</v>
      </c>
      <c r="I2333" s="6">
        <v>0</v>
      </c>
      <c r="J2333" s="6">
        <v>2553.5100000000002</v>
      </c>
      <c r="K2333" t="s">
        <v>4720</v>
      </c>
      <c r="L2333" t="s">
        <v>4721</v>
      </c>
    </row>
    <row r="2334" spans="1:12" ht="15" customHeight="1" x14ac:dyDescent="0.25">
      <c r="A2334">
        <v>2333</v>
      </c>
      <c r="B2334" s="5">
        <v>45897</v>
      </c>
      <c r="C2334" t="s">
        <v>47</v>
      </c>
      <c r="D2334" t="s">
        <v>100</v>
      </c>
      <c r="E2334" t="s">
        <v>101</v>
      </c>
      <c r="F2334" t="s">
        <v>44</v>
      </c>
      <c r="G2334" s="6">
        <v>2669.29</v>
      </c>
      <c r="H2334" s="7">
        <v>0</v>
      </c>
      <c r="I2334" s="6">
        <v>0</v>
      </c>
      <c r="J2334" s="6">
        <v>2669.29</v>
      </c>
      <c r="K2334" t="s">
        <v>4722</v>
      </c>
      <c r="L2334" t="s">
        <v>4723</v>
      </c>
    </row>
    <row r="2335" spans="1:12" ht="15" customHeight="1" x14ac:dyDescent="0.25">
      <c r="A2335">
        <v>2334</v>
      </c>
      <c r="B2335" s="5">
        <v>45790</v>
      </c>
      <c r="C2335" t="s">
        <v>27</v>
      </c>
      <c r="D2335" t="s">
        <v>94</v>
      </c>
      <c r="E2335" t="s">
        <v>95</v>
      </c>
      <c r="F2335" t="s">
        <v>44</v>
      </c>
      <c r="G2335" s="6">
        <v>2369.13</v>
      </c>
      <c r="H2335" s="7">
        <v>0</v>
      </c>
      <c r="I2335" s="6">
        <v>0</v>
      </c>
      <c r="J2335" s="6">
        <v>2369.13</v>
      </c>
      <c r="K2335" t="s">
        <v>4724</v>
      </c>
      <c r="L2335" t="s">
        <v>4725</v>
      </c>
    </row>
    <row r="2336" spans="1:12" ht="15" customHeight="1" x14ac:dyDescent="0.25">
      <c r="A2336">
        <v>2335</v>
      </c>
      <c r="B2336" s="5">
        <v>45868</v>
      </c>
      <c r="C2336" t="s">
        <v>33</v>
      </c>
      <c r="D2336" t="s">
        <v>28</v>
      </c>
      <c r="E2336" t="s">
        <v>29</v>
      </c>
      <c r="F2336" t="s">
        <v>76</v>
      </c>
      <c r="G2336" s="6">
        <v>1968.8</v>
      </c>
      <c r="H2336" s="7">
        <v>2.1000000000000001E-2</v>
      </c>
      <c r="I2336" s="6">
        <v>41.34</v>
      </c>
      <c r="J2336" s="6">
        <v>2010.14</v>
      </c>
      <c r="K2336" t="s">
        <v>4726</v>
      </c>
      <c r="L2336" t="s">
        <v>4727</v>
      </c>
    </row>
    <row r="2337" spans="1:12" ht="15" customHeight="1" x14ac:dyDescent="0.25">
      <c r="A2337">
        <v>2336</v>
      </c>
      <c r="B2337" s="5">
        <v>45688</v>
      </c>
      <c r="C2337" t="s">
        <v>33</v>
      </c>
      <c r="D2337" t="s">
        <v>42</v>
      </c>
      <c r="E2337" t="s">
        <v>43</v>
      </c>
      <c r="F2337" t="s">
        <v>44</v>
      </c>
      <c r="G2337" s="6">
        <v>3029.43</v>
      </c>
      <c r="H2337" s="7">
        <v>0</v>
      </c>
      <c r="I2337" s="6">
        <v>0</v>
      </c>
      <c r="J2337" s="6">
        <v>3029.43</v>
      </c>
      <c r="K2337" t="s">
        <v>4728</v>
      </c>
      <c r="L2337" t="s">
        <v>4729</v>
      </c>
    </row>
    <row r="2338" spans="1:12" ht="15" customHeight="1" x14ac:dyDescent="0.25">
      <c r="A2338">
        <v>2337</v>
      </c>
      <c r="B2338" s="5">
        <v>45674</v>
      </c>
      <c r="C2338" t="s">
        <v>27</v>
      </c>
      <c r="D2338" t="s">
        <v>79</v>
      </c>
      <c r="E2338" t="s">
        <v>80</v>
      </c>
      <c r="F2338" t="s">
        <v>50</v>
      </c>
      <c r="G2338" s="6">
        <v>4322.26</v>
      </c>
      <c r="H2338" s="7">
        <v>0.2</v>
      </c>
      <c r="I2338" s="6">
        <v>864.45</v>
      </c>
      <c r="J2338" s="6">
        <v>5186.71</v>
      </c>
      <c r="K2338" t="s">
        <v>4730</v>
      </c>
      <c r="L2338" t="s">
        <v>4731</v>
      </c>
    </row>
    <row r="2339" spans="1:12" ht="15" customHeight="1" x14ac:dyDescent="0.25">
      <c r="A2339">
        <v>2338</v>
      </c>
      <c r="B2339" s="5">
        <v>45952</v>
      </c>
      <c r="C2339" t="s">
        <v>27</v>
      </c>
      <c r="D2339" t="s">
        <v>79</v>
      </c>
      <c r="E2339" t="s">
        <v>80</v>
      </c>
      <c r="F2339" t="s">
        <v>87</v>
      </c>
      <c r="G2339" s="6">
        <v>1555.19</v>
      </c>
      <c r="H2339" s="7">
        <v>0.2</v>
      </c>
      <c r="I2339" s="6">
        <v>311.04000000000002</v>
      </c>
      <c r="J2339" s="6">
        <v>1866.23</v>
      </c>
      <c r="K2339" t="s">
        <v>4732</v>
      </c>
      <c r="L2339" t="s">
        <v>4733</v>
      </c>
    </row>
    <row r="2340" spans="1:12" ht="15" customHeight="1" x14ac:dyDescent="0.25">
      <c r="A2340">
        <v>2339</v>
      </c>
      <c r="B2340" s="5">
        <v>45943</v>
      </c>
      <c r="C2340" t="s">
        <v>33</v>
      </c>
      <c r="D2340" t="s">
        <v>172</v>
      </c>
      <c r="E2340" t="s">
        <v>173</v>
      </c>
      <c r="F2340" t="s">
        <v>106</v>
      </c>
      <c r="G2340" s="6">
        <v>3530.2</v>
      </c>
      <c r="H2340" s="7">
        <v>0.2</v>
      </c>
      <c r="I2340" s="6">
        <v>706.04</v>
      </c>
      <c r="J2340" s="6">
        <v>4236.24</v>
      </c>
      <c r="K2340" t="s">
        <v>4734</v>
      </c>
      <c r="L2340" t="s">
        <v>4735</v>
      </c>
    </row>
    <row r="2341" spans="1:12" ht="15" customHeight="1" x14ac:dyDescent="0.25">
      <c r="A2341">
        <v>2340</v>
      </c>
      <c r="B2341" s="5">
        <v>45702</v>
      </c>
      <c r="C2341" t="s">
        <v>27</v>
      </c>
      <c r="D2341" t="s">
        <v>42</v>
      </c>
      <c r="E2341" t="s">
        <v>43</v>
      </c>
      <c r="F2341" t="s">
        <v>44</v>
      </c>
      <c r="G2341" s="6">
        <v>2924.27</v>
      </c>
      <c r="H2341" s="7">
        <v>0</v>
      </c>
      <c r="I2341" s="6">
        <v>0</v>
      </c>
      <c r="J2341" s="6">
        <v>2924.27</v>
      </c>
      <c r="K2341" t="s">
        <v>4736</v>
      </c>
      <c r="L2341" t="s">
        <v>4737</v>
      </c>
    </row>
    <row r="2342" spans="1:12" ht="15" customHeight="1" x14ac:dyDescent="0.25">
      <c r="A2342">
        <v>2341</v>
      </c>
      <c r="B2342" s="5">
        <v>46008</v>
      </c>
      <c r="C2342" t="s">
        <v>33</v>
      </c>
      <c r="D2342" t="s">
        <v>42</v>
      </c>
      <c r="E2342" t="s">
        <v>43</v>
      </c>
      <c r="F2342" t="s">
        <v>44</v>
      </c>
      <c r="G2342" s="6">
        <v>2464.48</v>
      </c>
      <c r="H2342" s="7">
        <v>0</v>
      </c>
      <c r="I2342" s="6">
        <v>0</v>
      </c>
      <c r="J2342" s="6">
        <v>2464.48</v>
      </c>
      <c r="K2342" t="s">
        <v>4738</v>
      </c>
      <c r="L2342" t="s">
        <v>4739</v>
      </c>
    </row>
    <row r="2343" spans="1:12" ht="15" customHeight="1" x14ac:dyDescent="0.25">
      <c r="A2343">
        <v>2342</v>
      </c>
      <c r="B2343" s="5">
        <v>45827</v>
      </c>
      <c r="C2343" t="s">
        <v>27</v>
      </c>
      <c r="D2343" t="s">
        <v>28</v>
      </c>
      <c r="E2343" t="s">
        <v>29</v>
      </c>
      <c r="F2343" t="s">
        <v>120</v>
      </c>
      <c r="G2343" s="6">
        <v>402.77</v>
      </c>
      <c r="H2343" s="7">
        <v>2.1000000000000001E-2</v>
      </c>
      <c r="I2343" s="6">
        <v>8.4600000000000009</v>
      </c>
      <c r="J2343" s="6">
        <v>411.23</v>
      </c>
      <c r="K2343" t="s">
        <v>4740</v>
      </c>
      <c r="L2343" t="s">
        <v>4741</v>
      </c>
    </row>
    <row r="2344" spans="1:12" ht="15" customHeight="1" x14ac:dyDescent="0.25">
      <c r="A2344">
        <v>2343</v>
      </c>
      <c r="B2344" s="5">
        <v>45863</v>
      </c>
      <c r="C2344" t="s">
        <v>47</v>
      </c>
      <c r="D2344" t="s">
        <v>79</v>
      </c>
      <c r="E2344" t="s">
        <v>80</v>
      </c>
      <c r="F2344" t="s">
        <v>39</v>
      </c>
      <c r="G2344" s="6">
        <v>2620.34</v>
      </c>
      <c r="H2344" s="7">
        <v>0.2</v>
      </c>
      <c r="I2344" s="6">
        <v>524.07000000000005</v>
      </c>
      <c r="J2344" s="6">
        <v>3144.41</v>
      </c>
      <c r="K2344" t="s">
        <v>4742</v>
      </c>
      <c r="L2344" t="s">
        <v>4743</v>
      </c>
    </row>
    <row r="2345" spans="1:12" ht="15" customHeight="1" x14ac:dyDescent="0.25">
      <c r="A2345">
        <v>2344</v>
      </c>
      <c r="B2345" s="5">
        <v>45876</v>
      </c>
      <c r="C2345" t="s">
        <v>47</v>
      </c>
      <c r="D2345" t="s">
        <v>28</v>
      </c>
      <c r="E2345" t="s">
        <v>29</v>
      </c>
      <c r="F2345" t="s">
        <v>71</v>
      </c>
      <c r="G2345" s="6">
        <v>745.19</v>
      </c>
      <c r="H2345" s="7">
        <v>2.1000000000000001E-2</v>
      </c>
      <c r="I2345" s="6">
        <v>15.65</v>
      </c>
      <c r="J2345" s="6">
        <v>760.84</v>
      </c>
      <c r="K2345" t="s">
        <v>4744</v>
      </c>
      <c r="L2345" t="s">
        <v>4745</v>
      </c>
    </row>
    <row r="2346" spans="1:12" ht="15" customHeight="1" x14ac:dyDescent="0.25">
      <c r="A2346">
        <v>2345</v>
      </c>
      <c r="B2346" s="5">
        <v>45930</v>
      </c>
      <c r="C2346" t="s">
        <v>27</v>
      </c>
      <c r="D2346" t="s">
        <v>42</v>
      </c>
      <c r="E2346" t="s">
        <v>43</v>
      </c>
      <c r="F2346" t="s">
        <v>44</v>
      </c>
      <c r="G2346" s="6">
        <v>3396.96</v>
      </c>
      <c r="H2346" s="7">
        <v>0</v>
      </c>
      <c r="I2346" s="6">
        <v>0</v>
      </c>
      <c r="J2346" s="6">
        <v>3396.96</v>
      </c>
      <c r="K2346" t="s">
        <v>4746</v>
      </c>
      <c r="L2346" t="s">
        <v>4747</v>
      </c>
    </row>
    <row r="2347" spans="1:12" ht="15" customHeight="1" x14ac:dyDescent="0.25">
      <c r="A2347">
        <v>2346</v>
      </c>
      <c r="B2347" s="5">
        <v>45953</v>
      </c>
      <c r="C2347" t="s">
        <v>27</v>
      </c>
      <c r="D2347" t="s">
        <v>100</v>
      </c>
      <c r="E2347" t="s">
        <v>101</v>
      </c>
      <c r="F2347" t="s">
        <v>44</v>
      </c>
      <c r="G2347" s="6">
        <v>3655.18</v>
      </c>
      <c r="H2347" s="7">
        <v>0</v>
      </c>
      <c r="I2347" s="6">
        <v>0</v>
      </c>
      <c r="J2347" s="6">
        <v>3655.18</v>
      </c>
      <c r="K2347" t="s">
        <v>4748</v>
      </c>
      <c r="L2347" t="s">
        <v>4749</v>
      </c>
    </row>
    <row r="2348" spans="1:12" ht="15" customHeight="1" x14ac:dyDescent="0.25">
      <c r="A2348">
        <v>2347</v>
      </c>
      <c r="B2348" s="5">
        <v>45671</v>
      </c>
      <c r="C2348" t="s">
        <v>47</v>
      </c>
      <c r="D2348" t="s">
        <v>28</v>
      </c>
      <c r="E2348" t="s">
        <v>29</v>
      </c>
      <c r="F2348" t="s">
        <v>39</v>
      </c>
      <c r="G2348" s="6">
        <v>2437.73</v>
      </c>
      <c r="H2348" s="7">
        <v>2.1000000000000001E-2</v>
      </c>
      <c r="I2348" s="6">
        <v>51.19</v>
      </c>
      <c r="J2348" s="6">
        <v>2488.92</v>
      </c>
      <c r="K2348" t="s">
        <v>4750</v>
      </c>
      <c r="L2348" t="s">
        <v>4751</v>
      </c>
    </row>
    <row r="2349" spans="1:12" ht="15" customHeight="1" x14ac:dyDescent="0.25">
      <c r="A2349">
        <v>2348</v>
      </c>
      <c r="B2349" s="5">
        <v>45693</v>
      </c>
      <c r="C2349" t="s">
        <v>33</v>
      </c>
      <c r="D2349" t="s">
        <v>172</v>
      </c>
      <c r="E2349" t="s">
        <v>173</v>
      </c>
      <c r="F2349" t="s">
        <v>50</v>
      </c>
      <c r="G2349" s="6">
        <v>1527.38</v>
      </c>
      <c r="H2349" s="7">
        <v>0.2</v>
      </c>
      <c r="I2349" s="6">
        <v>305.48</v>
      </c>
      <c r="J2349" s="6">
        <v>1832.86</v>
      </c>
      <c r="K2349" t="s">
        <v>4752</v>
      </c>
      <c r="L2349" t="s">
        <v>4753</v>
      </c>
    </row>
    <row r="2350" spans="1:12" ht="15" customHeight="1" x14ac:dyDescent="0.25">
      <c r="A2350">
        <v>2349</v>
      </c>
      <c r="B2350" s="5">
        <v>45813</v>
      </c>
      <c r="C2350" t="s">
        <v>27</v>
      </c>
      <c r="D2350" t="s">
        <v>28</v>
      </c>
      <c r="E2350" t="s">
        <v>29</v>
      </c>
      <c r="F2350" t="s">
        <v>174</v>
      </c>
      <c r="G2350" s="6">
        <v>801.74</v>
      </c>
      <c r="H2350" s="7">
        <v>2.1000000000000001E-2</v>
      </c>
      <c r="I2350" s="6">
        <v>16.84</v>
      </c>
      <c r="J2350" s="6">
        <v>818.58</v>
      </c>
      <c r="K2350" t="s">
        <v>4754</v>
      </c>
      <c r="L2350" t="s">
        <v>4755</v>
      </c>
    </row>
    <row r="2351" spans="1:12" ht="15" customHeight="1" x14ac:dyDescent="0.25">
      <c r="A2351">
        <v>2350</v>
      </c>
      <c r="B2351" s="5">
        <v>45671</v>
      </c>
      <c r="C2351" t="s">
        <v>33</v>
      </c>
      <c r="D2351" t="s">
        <v>42</v>
      </c>
      <c r="E2351" t="s">
        <v>43</v>
      </c>
      <c r="F2351" t="s">
        <v>44</v>
      </c>
      <c r="G2351" s="6">
        <v>3957.31</v>
      </c>
      <c r="H2351" s="7">
        <v>0</v>
      </c>
      <c r="I2351" s="6">
        <v>0</v>
      </c>
      <c r="J2351" s="6">
        <v>3957.31</v>
      </c>
      <c r="K2351" t="s">
        <v>4756</v>
      </c>
      <c r="L2351" t="s">
        <v>4757</v>
      </c>
    </row>
    <row r="2352" spans="1:12" ht="15" customHeight="1" x14ac:dyDescent="0.25">
      <c r="A2352">
        <v>2351</v>
      </c>
      <c r="B2352" s="5">
        <v>45671</v>
      </c>
      <c r="C2352" t="s">
        <v>33</v>
      </c>
      <c r="D2352" t="s">
        <v>42</v>
      </c>
      <c r="E2352" t="s">
        <v>43</v>
      </c>
      <c r="F2352" t="s">
        <v>44</v>
      </c>
      <c r="G2352" s="6">
        <v>3585.46</v>
      </c>
      <c r="H2352" s="7">
        <v>0</v>
      </c>
      <c r="I2352" s="6">
        <v>0</v>
      </c>
      <c r="J2352" s="6">
        <v>3585.46</v>
      </c>
      <c r="K2352" t="s">
        <v>4758</v>
      </c>
      <c r="L2352" t="s">
        <v>4759</v>
      </c>
    </row>
    <row r="2353" spans="1:13" ht="15" customHeight="1" x14ac:dyDescent="0.25">
      <c r="A2353">
        <v>2352</v>
      </c>
      <c r="B2353" s="5">
        <v>45882</v>
      </c>
      <c r="C2353" t="s">
        <v>33</v>
      </c>
      <c r="D2353" t="s">
        <v>63</v>
      </c>
      <c r="E2353" t="s">
        <v>64</v>
      </c>
      <c r="F2353" t="s">
        <v>71</v>
      </c>
      <c r="G2353" s="6">
        <v>1844.37</v>
      </c>
      <c r="H2353" s="7">
        <v>0.2</v>
      </c>
      <c r="I2353" s="6">
        <v>368.87</v>
      </c>
      <c r="J2353" s="6">
        <v>2213.2399999999998</v>
      </c>
      <c r="K2353" t="s">
        <v>4760</v>
      </c>
      <c r="L2353" t="s">
        <v>4761</v>
      </c>
    </row>
    <row r="2354" spans="1:13" ht="15" customHeight="1" x14ac:dyDescent="0.25">
      <c r="A2354">
        <v>2353</v>
      </c>
      <c r="B2354" s="5">
        <v>45721</v>
      </c>
      <c r="C2354" t="s">
        <v>47</v>
      </c>
      <c r="D2354" t="s">
        <v>172</v>
      </c>
      <c r="E2354" t="s">
        <v>173</v>
      </c>
      <c r="F2354" t="s">
        <v>30</v>
      </c>
      <c r="G2354" s="6">
        <v>490.41</v>
      </c>
      <c r="H2354" s="7">
        <v>0.2</v>
      </c>
      <c r="I2354" s="6">
        <v>98.08</v>
      </c>
      <c r="J2354" s="6">
        <v>588.49</v>
      </c>
      <c r="K2354" t="s">
        <v>4762</v>
      </c>
      <c r="L2354" t="s">
        <v>4763</v>
      </c>
    </row>
    <row r="2355" spans="1:13" ht="15" customHeight="1" x14ac:dyDescent="0.25">
      <c r="A2355">
        <v>2354</v>
      </c>
      <c r="B2355" s="5">
        <v>45720</v>
      </c>
      <c r="C2355" t="s">
        <v>27</v>
      </c>
      <c r="D2355" t="s">
        <v>42</v>
      </c>
      <c r="E2355" t="s">
        <v>43</v>
      </c>
      <c r="F2355" t="s">
        <v>44</v>
      </c>
      <c r="G2355" s="6">
        <v>2303.13</v>
      </c>
      <c r="H2355" s="7">
        <v>0</v>
      </c>
      <c r="I2355" s="6">
        <v>0</v>
      </c>
      <c r="J2355" s="6">
        <v>2303.13</v>
      </c>
      <c r="K2355" t="s">
        <v>4764</v>
      </c>
      <c r="L2355" t="s">
        <v>4765</v>
      </c>
    </row>
    <row r="2356" spans="1:13" ht="15" customHeight="1" x14ac:dyDescent="0.25">
      <c r="A2356">
        <v>2355</v>
      </c>
      <c r="B2356" s="5">
        <v>45820</v>
      </c>
      <c r="C2356" t="s">
        <v>27</v>
      </c>
      <c r="D2356" t="s">
        <v>172</v>
      </c>
      <c r="E2356" t="s">
        <v>173</v>
      </c>
      <c r="F2356" t="s">
        <v>71</v>
      </c>
      <c r="G2356" s="6">
        <v>1914.87</v>
      </c>
      <c r="H2356" s="7">
        <v>0.2</v>
      </c>
      <c r="I2356" s="6">
        <v>382.97</v>
      </c>
      <c r="J2356" s="6">
        <v>2297.84</v>
      </c>
      <c r="K2356" t="s">
        <v>4766</v>
      </c>
      <c r="L2356" t="s">
        <v>4767</v>
      </c>
    </row>
    <row r="2357" spans="1:13" ht="15" customHeight="1" x14ac:dyDescent="0.25">
      <c r="A2357">
        <v>2356</v>
      </c>
      <c r="B2357" s="5">
        <v>45918</v>
      </c>
      <c r="C2357" t="s">
        <v>27</v>
      </c>
      <c r="D2357" t="s">
        <v>55</v>
      </c>
      <c r="E2357" t="s">
        <v>56</v>
      </c>
      <c r="F2357" t="s">
        <v>76</v>
      </c>
      <c r="G2357" s="6">
        <v>575.01</v>
      </c>
      <c r="H2357" s="7">
        <v>5.5E-2</v>
      </c>
      <c r="I2357" s="6">
        <v>31.63</v>
      </c>
      <c r="J2357" s="6">
        <v>606.64</v>
      </c>
      <c r="K2357" t="s">
        <v>4768</v>
      </c>
      <c r="L2357" t="s">
        <v>4769</v>
      </c>
      <c r="M2357" t="s">
        <v>286</v>
      </c>
    </row>
    <row r="2358" spans="1:13" ht="15" customHeight="1" x14ac:dyDescent="0.25">
      <c r="A2358">
        <v>2357</v>
      </c>
      <c r="B2358" s="5">
        <v>45873</v>
      </c>
      <c r="C2358" t="s">
        <v>33</v>
      </c>
      <c r="D2358" t="s">
        <v>63</v>
      </c>
      <c r="E2358" t="s">
        <v>64</v>
      </c>
      <c r="F2358" t="s">
        <v>87</v>
      </c>
      <c r="G2358" s="6">
        <v>1849.36</v>
      </c>
      <c r="H2358" s="7">
        <v>0.2</v>
      </c>
      <c r="I2358" s="6">
        <v>369.87</v>
      </c>
      <c r="J2358" s="6">
        <v>2219.23</v>
      </c>
      <c r="K2358" t="s">
        <v>4770</v>
      </c>
      <c r="L2358" t="s">
        <v>4771</v>
      </c>
    </row>
    <row r="2359" spans="1:13" ht="15" customHeight="1" x14ac:dyDescent="0.25">
      <c r="A2359">
        <v>2358</v>
      </c>
      <c r="B2359" s="5">
        <v>45691</v>
      </c>
      <c r="C2359" t="s">
        <v>47</v>
      </c>
      <c r="D2359" t="s">
        <v>100</v>
      </c>
      <c r="E2359" t="s">
        <v>101</v>
      </c>
      <c r="F2359" t="s">
        <v>44</v>
      </c>
      <c r="G2359" s="6">
        <v>3834.74</v>
      </c>
      <c r="H2359" s="7">
        <v>0</v>
      </c>
      <c r="I2359" s="6">
        <v>0</v>
      </c>
      <c r="J2359" s="6">
        <v>3834.74</v>
      </c>
      <c r="K2359" t="s">
        <v>4772</v>
      </c>
      <c r="L2359" t="s">
        <v>4773</v>
      </c>
    </row>
    <row r="2360" spans="1:13" ht="15" customHeight="1" x14ac:dyDescent="0.25">
      <c r="A2360">
        <v>2359</v>
      </c>
      <c r="B2360" s="5">
        <v>45701</v>
      </c>
      <c r="C2360" t="s">
        <v>33</v>
      </c>
      <c r="D2360" t="s">
        <v>94</v>
      </c>
      <c r="E2360" t="s">
        <v>95</v>
      </c>
      <c r="F2360" t="s">
        <v>44</v>
      </c>
      <c r="G2360" s="6">
        <v>2525.42</v>
      </c>
      <c r="H2360" s="7">
        <v>0</v>
      </c>
      <c r="I2360" s="6">
        <v>0</v>
      </c>
      <c r="J2360" s="6">
        <v>2525.42</v>
      </c>
      <c r="K2360" t="s">
        <v>4774</v>
      </c>
      <c r="L2360" t="s">
        <v>4775</v>
      </c>
    </row>
    <row r="2361" spans="1:13" ht="15" customHeight="1" x14ac:dyDescent="0.25">
      <c r="A2361">
        <v>2360</v>
      </c>
      <c r="B2361" s="5">
        <v>45798</v>
      </c>
      <c r="C2361" t="s">
        <v>33</v>
      </c>
      <c r="D2361" t="s">
        <v>100</v>
      </c>
      <c r="E2361" t="s">
        <v>101</v>
      </c>
      <c r="F2361" t="s">
        <v>44</v>
      </c>
      <c r="G2361" s="6">
        <v>3953.59</v>
      </c>
      <c r="H2361" s="7">
        <v>0</v>
      </c>
      <c r="I2361" s="6">
        <v>0</v>
      </c>
      <c r="J2361" s="6">
        <v>3953.59</v>
      </c>
      <c r="K2361" t="s">
        <v>4776</v>
      </c>
      <c r="L2361" t="s">
        <v>4777</v>
      </c>
    </row>
    <row r="2362" spans="1:13" ht="15" customHeight="1" x14ac:dyDescent="0.25">
      <c r="A2362">
        <v>2361</v>
      </c>
      <c r="B2362" s="5">
        <v>45748</v>
      </c>
      <c r="C2362" t="s">
        <v>33</v>
      </c>
      <c r="D2362" t="s">
        <v>42</v>
      </c>
      <c r="E2362" t="s">
        <v>43</v>
      </c>
      <c r="F2362" t="s">
        <v>44</v>
      </c>
      <c r="G2362" s="6">
        <v>2107.08</v>
      </c>
      <c r="H2362" s="7">
        <v>0</v>
      </c>
      <c r="I2362" s="6">
        <v>0</v>
      </c>
      <c r="J2362" s="6">
        <v>2107.08</v>
      </c>
      <c r="K2362" t="s">
        <v>4778</v>
      </c>
      <c r="L2362" t="s">
        <v>4779</v>
      </c>
    </row>
    <row r="2363" spans="1:13" ht="15" customHeight="1" x14ac:dyDescent="0.25">
      <c r="A2363">
        <v>2362</v>
      </c>
      <c r="B2363" s="5">
        <v>45677</v>
      </c>
      <c r="C2363" t="s">
        <v>33</v>
      </c>
      <c r="D2363" t="s">
        <v>42</v>
      </c>
      <c r="E2363" t="s">
        <v>43</v>
      </c>
      <c r="F2363" t="s">
        <v>44</v>
      </c>
      <c r="G2363" s="6">
        <v>3725.71</v>
      </c>
      <c r="H2363" s="7">
        <v>0</v>
      </c>
      <c r="I2363" s="6">
        <v>0</v>
      </c>
      <c r="J2363" s="6">
        <v>3725.71</v>
      </c>
      <c r="K2363" t="s">
        <v>4780</v>
      </c>
      <c r="L2363" t="s">
        <v>4781</v>
      </c>
    </row>
    <row r="2364" spans="1:13" ht="15" customHeight="1" x14ac:dyDescent="0.25">
      <c r="A2364">
        <v>2363</v>
      </c>
      <c r="B2364" s="5">
        <v>45974</v>
      </c>
      <c r="C2364" t="s">
        <v>27</v>
      </c>
      <c r="D2364" t="s">
        <v>55</v>
      </c>
      <c r="E2364" t="s">
        <v>56</v>
      </c>
      <c r="F2364" t="s">
        <v>30</v>
      </c>
      <c r="G2364" s="6">
        <v>1913.75</v>
      </c>
      <c r="H2364" s="7">
        <v>5.5E-2</v>
      </c>
      <c r="I2364" s="6">
        <v>105.26</v>
      </c>
      <c r="J2364" s="6">
        <v>2019.01</v>
      </c>
      <c r="K2364" t="s">
        <v>4782</v>
      </c>
      <c r="L2364" t="s">
        <v>4783</v>
      </c>
    </row>
    <row r="2365" spans="1:13" ht="15" customHeight="1" x14ac:dyDescent="0.25">
      <c r="A2365">
        <v>2364</v>
      </c>
      <c r="B2365" s="5">
        <v>45923</v>
      </c>
      <c r="C2365" t="s">
        <v>33</v>
      </c>
      <c r="D2365" t="s">
        <v>28</v>
      </c>
      <c r="E2365" t="s">
        <v>29</v>
      </c>
      <c r="F2365" t="s">
        <v>81</v>
      </c>
      <c r="G2365" s="6">
        <v>4346.63</v>
      </c>
      <c r="H2365" s="7">
        <v>2.1000000000000001E-2</v>
      </c>
      <c r="I2365" s="6">
        <v>91.28</v>
      </c>
      <c r="J2365" s="6">
        <v>4437.91</v>
      </c>
      <c r="K2365" t="s">
        <v>4784</v>
      </c>
      <c r="L2365" t="s">
        <v>4785</v>
      </c>
    </row>
    <row r="2366" spans="1:13" ht="15" customHeight="1" x14ac:dyDescent="0.25">
      <c r="A2366">
        <v>2365</v>
      </c>
      <c r="B2366" s="5">
        <v>45714</v>
      </c>
      <c r="C2366" t="s">
        <v>27</v>
      </c>
      <c r="D2366" t="s">
        <v>28</v>
      </c>
      <c r="E2366" t="s">
        <v>29</v>
      </c>
      <c r="F2366" t="s">
        <v>39</v>
      </c>
      <c r="G2366" s="6">
        <v>3556.58</v>
      </c>
      <c r="H2366" s="7">
        <v>2.1000000000000001E-2</v>
      </c>
      <c r="I2366" s="6">
        <v>74.69</v>
      </c>
      <c r="J2366" s="6">
        <v>3631.27</v>
      </c>
      <c r="K2366" t="s">
        <v>4786</v>
      </c>
      <c r="L2366" t="s">
        <v>4787</v>
      </c>
    </row>
    <row r="2367" spans="1:13" ht="15" customHeight="1" x14ac:dyDescent="0.25">
      <c r="A2367">
        <v>2366</v>
      </c>
      <c r="B2367" s="5">
        <v>45978</v>
      </c>
      <c r="C2367" t="s">
        <v>33</v>
      </c>
      <c r="D2367" t="s">
        <v>55</v>
      </c>
      <c r="E2367" t="s">
        <v>56</v>
      </c>
      <c r="F2367" t="s">
        <v>174</v>
      </c>
      <c r="G2367" s="6">
        <v>1729.47</v>
      </c>
      <c r="H2367" s="7">
        <v>5.5E-2</v>
      </c>
      <c r="I2367" s="6">
        <v>95.12</v>
      </c>
      <c r="J2367" s="6">
        <v>1824.59</v>
      </c>
      <c r="K2367" t="s">
        <v>4788</v>
      </c>
      <c r="L2367" t="s">
        <v>4789</v>
      </c>
    </row>
    <row r="2368" spans="1:13" ht="15" customHeight="1" x14ac:dyDescent="0.25">
      <c r="A2368">
        <v>2367</v>
      </c>
      <c r="B2368" s="5">
        <v>45671</v>
      </c>
      <c r="C2368" t="s">
        <v>47</v>
      </c>
      <c r="D2368" t="s">
        <v>28</v>
      </c>
      <c r="E2368" t="s">
        <v>29</v>
      </c>
      <c r="F2368" t="s">
        <v>76</v>
      </c>
      <c r="G2368" s="6">
        <v>1545.59</v>
      </c>
      <c r="H2368" s="7">
        <v>2.1000000000000001E-2</v>
      </c>
      <c r="I2368" s="6">
        <v>32.46</v>
      </c>
      <c r="J2368" s="6">
        <v>1578.05</v>
      </c>
      <c r="K2368" t="s">
        <v>4790</v>
      </c>
      <c r="L2368" t="s">
        <v>4791</v>
      </c>
    </row>
    <row r="2369" spans="1:13" ht="15" customHeight="1" x14ac:dyDescent="0.25">
      <c r="A2369">
        <v>2368</v>
      </c>
      <c r="B2369" s="5">
        <v>45866</v>
      </c>
      <c r="C2369" t="s">
        <v>27</v>
      </c>
      <c r="D2369" t="s">
        <v>100</v>
      </c>
      <c r="E2369" t="s">
        <v>101</v>
      </c>
      <c r="F2369" t="s">
        <v>44</v>
      </c>
      <c r="G2369" s="6">
        <v>2704.89</v>
      </c>
      <c r="H2369" s="7">
        <v>0</v>
      </c>
      <c r="I2369" s="6">
        <v>0</v>
      </c>
      <c r="J2369" s="6">
        <v>2704.89</v>
      </c>
      <c r="K2369" t="s">
        <v>4792</v>
      </c>
      <c r="L2369" t="s">
        <v>4793</v>
      </c>
    </row>
    <row r="2370" spans="1:13" ht="15" customHeight="1" x14ac:dyDescent="0.25">
      <c r="A2370">
        <v>2369</v>
      </c>
      <c r="B2370" s="5">
        <v>45709</v>
      </c>
      <c r="C2370" t="s">
        <v>27</v>
      </c>
      <c r="D2370" t="s">
        <v>172</v>
      </c>
      <c r="E2370" t="s">
        <v>173</v>
      </c>
      <c r="F2370" t="s">
        <v>71</v>
      </c>
      <c r="G2370" s="6">
        <v>146.03</v>
      </c>
      <c r="H2370" s="7">
        <v>0.2</v>
      </c>
      <c r="I2370" s="6">
        <v>29.21</v>
      </c>
      <c r="J2370" s="6">
        <v>175.24</v>
      </c>
      <c r="K2370" t="s">
        <v>4794</v>
      </c>
      <c r="L2370" t="s">
        <v>4795</v>
      </c>
    </row>
    <row r="2371" spans="1:13" ht="15" customHeight="1" x14ac:dyDescent="0.25">
      <c r="A2371">
        <v>2370</v>
      </c>
      <c r="B2371" s="5">
        <v>45715</v>
      </c>
      <c r="C2371" t="s">
        <v>47</v>
      </c>
      <c r="D2371" t="s">
        <v>94</v>
      </c>
      <c r="E2371" t="s">
        <v>95</v>
      </c>
      <c r="F2371" t="s">
        <v>44</v>
      </c>
      <c r="G2371" s="6">
        <v>1661.08</v>
      </c>
      <c r="H2371" s="7">
        <v>0</v>
      </c>
      <c r="I2371" s="6">
        <v>0</v>
      </c>
      <c r="J2371" s="6">
        <v>1661.08</v>
      </c>
      <c r="K2371" t="s">
        <v>4796</v>
      </c>
      <c r="L2371" t="s">
        <v>4797</v>
      </c>
    </row>
    <row r="2372" spans="1:13" ht="15" customHeight="1" x14ac:dyDescent="0.25">
      <c r="A2372">
        <v>2371</v>
      </c>
      <c r="B2372" s="5">
        <v>45966</v>
      </c>
      <c r="C2372" t="s">
        <v>27</v>
      </c>
      <c r="D2372" t="s">
        <v>79</v>
      </c>
      <c r="E2372" t="s">
        <v>80</v>
      </c>
      <c r="F2372" t="s">
        <v>39</v>
      </c>
      <c r="G2372" s="6">
        <v>3657.66</v>
      </c>
      <c r="H2372" s="7">
        <v>0.2</v>
      </c>
      <c r="I2372" s="6">
        <v>731.53</v>
      </c>
      <c r="J2372" s="6">
        <v>4389.1899999999996</v>
      </c>
      <c r="K2372" t="s">
        <v>4798</v>
      </c>
      <c r="L2372" t="s">
        <v>4799</v>
      </c>
    </row>
    <row r="2373" spans="1:13" ht="15" customHeight="1" x14ac:dyDescent="0.25">
      <c r="A2373">
        <v>2372</v>
      </c>
      <c r="B2373" s="5">
        <v>45789</v>
      </c>
      <c r="C2373" t="s">
        <v>47</v>
      </c>
      <c r="D2373" t="s">
        <v>79</v>
      </c>
      <c r="E2373" t="s">
        <v>80</v>
      </c>
      <c r="F2373" t="s">
        <v>120</v>
      </c>
      <c r="G2373" s="6">
        <v>646.64</v>
      </c>
      <c r="H2373" s="7">
        <v>0.2</v>
      </c>
      <c r="I2373" s="6">
        <v>129.33000000000001</v>
      </c>
      <c r="J2373" s="6">
        <v>775.97</v>
      </c>
      <c r="K2373" t="s">
        <v>4800</v>
      </c>
      <c r="L2373" t="s">
        <v>4801</v>
      </c>
    </row>
    <row r="2374" spans="1:13" ht="15" customHeight="1" x14ac:dyDescent="0.25">
      <c r="A2374">
        <v>2373</v>
      </c>
      <c r="B2374" s="5">
        <v>46000</v>
      </c>
      <c r="C2374" t="s">
        <v>47</v>
      </c>
      <c r="D2374" t="s">
        <v>100</v>
      </c>
      <c r="E2374" t="s">
        <v>101</v>
      </c>
      <c r="F2374" t="s">
        <v>44</v>
      </c>
      <c r="G2374" s="6">
        <v>2946.7</v>
      </c>
      <c r="H2374" s="7">
        <v>0</v>
      </c>
      <c r="I2374" s="6">
        <v>0</v>
      </c>
      <c r="J2374" s="6">
        <v>2946.7</v>
      </c>
      <c r="K2374" t="s">
        <v>4802</v>
      </c>
      <c r="L2374" t="s">
        <v>4803</v>
      </c>
    </row>
    <row r="2375" spans="1:13" ht="15" customHeight="1" x14ac:dyDescent="0.25">
      <c r="A2375">
        <v>2374</v>
      </c>
      <c r="B2375" s="5">
        <v>45770</v>
      </c>
      <c r="C2375" t="s">
        <v>27</v>
      </c>
      <c r="D2375" t="s">
        <v>28</v>
      </c>
      <c r="E2375" t="s">
        <v>29</v>
      </c>
      <c r="F2375" t="s">
        <v>30</v>
      </c>
      <c r="G2375" s="6">
        <v>2355.12</v>
      </c>
      <c r="H2375" s="7">
        <v>2.1000000000000001E-2</v>
      </c>
      <c r="I2375" s="6">
        <v>49.46</v>
      </c>
      <c r="J2375" s="6">
        <v>2404.58</v>
      </c>
      <c r="K2375" t="s">
        <v>4804</v>
      </c>
      <c r="L2375" t="s">
        <v>4805</v>
      </c>
    </row>
    <row r="2376" spans="1:13" ht="15" customHeight="1" x14ac:dyDescent="0.25">
      <c r="A2376">
        <v>2375</v>
      </c>
      <c r="B2376" s="5">
        <v>45706</v>
      </c>
      <c r="C2376" t="s">
        <v>27</v>
      </c>
      <c r="D2376" t="s">
        <v>28</v>
      </c>
      <c r="E2376" t="s">
        <v>29</v>
      </c>
      <c r="F2376" t="s">
        <v>174</v>
      </c>
      <c r="G2376" s="6">
        <v>3250.32</v>
      </c>
      <c r="H2376" s="7">
        <v>2.1000000000000001E-2</v>
      </c>
      <c r="I2376" s="6">
        <v>68.260000000000005</v>
      </c>
      <c r="J2376" s="6">
        <v>3318.58</v>
      </c>
      <c r="K2376" t="s">
        <v>4806</v>
      </c>
      <c r="L2376" t="s">
        <v>4807</v>
      </c>
    </row>
    <row r="2377" spans="1:13" ht="15" customHeight="1" x14ac:dyDescent="0.25">
      <c r="A2377">
        <v>2376</v>
      </c>
      <c r="B2377" s="5">
        <v>45786</v>
      </c>
      <c r="C2377" t="s">
        <v>33</v>
      </c>
      <c r="D2377" t="s">
        <v>55</v>
      </c>
      <c r="E2377" t="s">
        <v>56</v>
      </c>
      <c r="F2377" t="s">
        <v>120</v>
      </c>
      <c r="G2377" s="6">
        <v>896.05</v>
      </c>
      <c r="H2377" s="7">
        <v>5.5E-2</v>
      </c>
      <c r="I2377" s="6">
        <v>49.28</v>
      </c>
      <c r="J2377" s="6">
        <v>945.33</v>
      </c>
      <c r="K2377" t="s">
        <v>4808</v>
      </c>
      <c r="L2377" t="s">
        <v>4809</v>
      </c>
    </row>
    <row r="2378" spans="1:13" ht="15" customHeight="1" x14ac:dyDescent="0.25">
      <c r="A2378">
        <v>2377</v>
      </c>
      <c r="B2378" s="5">
        <v>45894</v>
      </c>
      <c r="C2378" t="s">
        <v>47</v>
      </c>
      <c r="D2378" t="s">
        <v>42</v>
      </c>
      <c r="E2378" t="s">
        <v>43</v>
      </c>
      <c r="F2378" t="s">
        <v>44</v>
      </c>
      <c r="G2378" s="6">
        <v>3047.8</v>
      </c>
      <c r="H2378" s="7">
        <v>0</v>
      </c>
      <c r="I2378" s="6">
        <v>0</v>
      </c>
      <c r="J2378" s="6">
        <v>3047.8</v>
      </c>
      <c r="K2378" t="s">
        <v>4810</v>
      </c>
      <c r="L2378" t="s">
        <v>4811</v>
      </c>
    </row>
    <row r="2379" spans="1:13" ht="15" customHeight="1" x14ac:dyDescent="0.25">
      <c r="A2379">
        <v>2378</v>
      </c>
      <c r="B2379" s="5">
        <v>45825</v>
      </c>
      <c r="C2379" t="s">
        <v>47</v>
      </c>
      <c r="D2379" t="s">
        <v>42</v>
      </c>
      <c r="E2379" t="s">
        <v>43</v>
      </c>
      <c r="F2379" t="s">
        <v>44</v>
      </c>
      <c r="G2379" s="6">
        <v>3386.88</v>
      </c>
      <c r="H2379" s="7">
        <v>0</v>
      </c>
      <c r="I2379" s="6">
        <v>0</v>
      </c>
      <c r="J2379" s="6">
        <v>3386.88</v>
      </c>
      <c r="K2379" t="s">
        <v>4812</v>
      </c>
      <c r="L2379" t="s">
        <v>4813</v>
      </c>
    </row>
    <row r="2380" spans="1:13" ht="15" customHeight="1" x14ac:dyDescent="0.25">
      <c r="A2380">
        <v>2379</v>
      </c>
      <c r="B2380" s="5">
        <v>45855</v>
      </c>
      <c r="C2380" t="s">
        <v>27</v>
      </c>
      <c r="D2380" t="s">
        <v>100</v>
      </c>
      <c r="E2380" t="s">
        <v>101</v>
      </c>
      <c r="F2380" t="s">
        <v>44</v>
      </c>
      <c r="G2380" s="6">
        <v>3706.07</v>
      </c>
      <c r="H2380" s="7">
        <v>0</v>
      </c>
      <c r="I2380" s="6">
        <v>0</v>
      </c>
      <c r="J2380" s="6">
        <v>3706.07</v>
      </c>
      <c r="K2380" t="s">
        <v>4814</v>
      </c>
      <c r="L2380" t="s">
        <v>4815</v>
      </c>
    </row>
    <row r="2381" spans="1:13" ht="15" customHeight="1" x14ac:dyDescent="0.25">
      <c r="A2381">
        <v>2380</v>
      </c>
      <c r="B2381" s="5">
        <v>45779</v>
      </c>
      <c r="C2381" t="s">
        <v>33</v>
      </c>
      <c r="D2381" t="s">
        <v>28</v>
      </c>
      <c r="E2381" t="s">
        <v>29</v>
      </c>
      <c r="F2381" t="s">
        <v>50</v>
      </c>
      <c r="G2381" s="6">
        <v>795.53</v>
      </c>
      <c r="H2381" s="7">
        <v>2.1000000000000001E-2</v>
      </c>
      <c r="I2381" s="6">
        <v>16.71</v>
      </c>
      <c r="J2381" s="6">
        <v>812.24</v>
      </c>
      <c r="K2381" t="s">
        <v>4816</v>
      </c>
      <c r="L2381" t="s">
        <v>4817</v>
      </c>
    </row>
    <row r="2382" spans="1:13" ht="15" customHeight="1" x14ac:dyDescent="0.25">
      <c r="A2382">
        <v>2381</v>
      </c>
      <c r="B2382" s="5">
        <v>45834</v>
      </c>
      <c r="C2382" t="s">
        <v>27</v>
      </c>
      <c r="D2382" t="s">
        <v>79</v>
      </c>
      <c r="E2382" t="s">
        <v>80</v>
      </c>
      <c r="F2382" t="s">
        <v>84</v>
      </c>
      <c r="G2382" s="6">
        <v>909.85</v>
      </c>
      <c r="H2382" s="7">
        <v>0.2</v>
      </c>
      <c r="I2382" s="6">
        <v>181.97</v>
      </c>
      <c r="J2382" s="6">
        <v>1091.82</v>
      </c>
      <c r="K2382" t="s">
        <v>4818</v>
      </c>
      <c r="M2382" t="s">
        <v>186</v>
      </c>
    </row>
    <row r="2383" spans="1:13" ht="15" customHeight="1" x14ac:dyDescent="0.25">
      <c r="A2383">
        <v>2382</v>
      </c>
      <c r="B2383" s="5">
        <v>45890</v>
      </c>
      <c r="C2383" t="s">
        <v>47</v>
      </c>
      <c r="D2383" t="s">
        <v>94</v>
      </c>
      <c r="E2383" t="s">
        <v>95</v>
      </c>
      <c r="F2383" t="s">
        <v>44</v>
      </c>
      <c r="G2383" s="6">
        <v>1864.7</v>
      </c>
      <c r="H2383" s="7">
        <v>0</v>
      </c>
      <c r="I2383" s="6">
        <v>0</v>
      </c>
      <c r="J2383" s="6">
        <v>1864.7</v>
      </c>
      <c r="K2383" t="s">
        <v>4819</v>
      </c>
      <c r="L2383" t="s">
        <v>4820</v>
      </c>
    </row>
    <row r="2384" spans="1:13" ht="15" customHeight="1" x14ac:dyDescent="0.25">
      <c r="A2384">
        <v>2383</v>
      </c>
      <c r="B2384" s="5">
        <v>45832</v>
      </c>
      <c r="C2384" t="s">
        <v>27</v>
      </c>
      <c r="D2384" t="s">
        <v>55</v>
      </c>
      <c r="E2384" t="s">
        <v>56</v>
      </c>
      <c r="F2384" t="s">
        <v>76</v>
      </c>
      <c r="G2384" s="6">
        <v>3646.89</v>
      </c>
      <c r="H2384" s="7">
        <v>5.5E-2</v>
      </c>
      <c r="I2384" s="6">
        <v>200.58</v>
      </c>
      <c r="J2384" s="6">
        <v>3847.47</v>
      </c>
      <c r="K2384" t="s">
        <v>4821</v>
      </c>
      <c r="L2384" t="s">
        <v>4822</v>
      </c>
    </row>
    <row r="2385" spans="1:13" ht="15" customHeight="1" x14ac:dyDescent="0.25">
      <c r="A2385">
        <v>2384</v>
      </c>
      <c r="B2385" s="5">
        <v>45707</v>
      </c>
      <c r="C2385" t="s">
        <v>27</v>
      </c>
      <c r="D2385" t="s">
        <v>79</v>
      </c>
      <c r="E2385" t="s">
        <v>80</v>
      </c>
      <c r="F2385" t="s">
        <v>50</v>
      </c>
      <c r="G2385" s="6">
        <v>3032.62</v>
      </c>
      <c r="H2385" s="7">
        <v>0.2</v>
      </c>
      <c r="I2385" s="6">
        <v>606.52</v>
      </c>
      <c r="J2385" s="6">
        <v>3639.14</v>
      </c>
      <c r="K2385" t="s">
        <v>4823</v>
      </c>
      <c r="L2385" t="s">
        <v>4824</v>
      </c>
    </row>
    <row r="2386" spans="1:13" ht="15" customHeight="1" x14ac:dyDescent="0.25">
      <c r="A2386">
        <v>2385</v>
      </c>
      <c r="B2386" s="5">
        <v>45845</v>
      </c>
      <c r="C2386" t="s">
        <v>27</v>
      </c>
      <c r="D2386" t="s">
        <v>55</v>
      </c>
      <c r="E2386" t="s">
        <v>56</v>
      </c>
      <c r="F2386" t="s">
        <v>39</v>
      </c>
      <c r="G2386" s="6">
        <v>1965.19</v>
      </c>
      <c r="H2386" s="7">
        <v>5.5E-2</v>
      </c>
      <c r="I2386" s="6">
        <v>108.09</v>
      </c>
      <c r="J2386" s="6">
        <v>2073.2800000000002</v>
      </c>
      <c r="K2386" t="s">
        <v>4825</v>
      </c>
      <c r="L2386" t="s">
        <v>4826</v>
      </c>
    </row>
    <row r="2387" spans="1:13" ht="15" customHeight="1" x14ac:dyDescent="0.25">
      <c r="A2387">
        <v>2386</v>
      </c>
      <c r="B2387" s="5">
        <v>45714</v>
      </c>
      <c r="C2387" t="s">
        <v>33</v>
      </c>
      <c r="D2387" t="s">
        <v>28</v>
      </c>
      <c r="E2387" t="s">
        <v>29</v>
      </c>
      <c r="F2387" t="s">
        <v>81</v>
      </c>
      <c r="G2387" s="6">
        <v>611.63</v>
      </c>
      <c r="H2387" s="7">
        <v>2.1000000000000001E-2</v>
      </c>
      <c r="I2387" s="6">
        <v>12.84</v>
      </c>
      <c r="J2387" s="6">
        <v>624.47</v>
      </c>
      <c r="K2387" t="s">
        <v>4827</v>
      </c>
      <c r="L2387" t="s">
        <v>4828</v>
      </c>
    </row>
    <row r="2388" spans="1:13" ht="15" customHeight="1" x14ac:dyDescent="0.25">
      <c r="A2388">
        <v>2387</v>
      </c>
      <c r="B2388" s="5">
        <v>45889</v>
      </c>
      <c r="C2388" t="s">
        <v>33</v>
      </c>
      <c r="D2388" t="s">
        <v>100</v>
      </c>
      <c r="E2388" t="s">
        <v>101</v>
      </c>
      <c r="F2388" t="s">
        <v>44</v>
      </c>
      <c r="G2388" s="6">
        <v>4162.3500000000004</v>
      </c>
      <c r="H2388" s="7">
        <v>0</v>
      </c>
      <c r="I2388" s="6">
        <v>0</v>
      </c>
      <c r="J2388" s="6">
        <v>4162.3500000000004</v>
      </c>
      <c r="K2388" t="s">
        <v>4829</v>
      </c>
      <c r="L2388" t="s">
        <v>4830</v>
      </c>
    </row>
    <row r="2389" spans="1:13" ht="15" customHeight="1" x14ac:dyDescent="0.25">
      <c r="A2389">
        <v>2388</v>
      </c>
      <c r="B2389" s="5">
        <v>45919</v>
      </c>
      <c r="C2389" t="s">
        <v>27</v>
      </c>
      <c r="D2389" t="s">
        <v>28</v>
      </c>
      <c r="E2389" t="s">
        <v>29</v>
      </c>
      <c r="F2389" t="s">
        <v>120</v>
      </c>
      <c r="G2389" s="6">
        <v>941.36</v>
      </c>
      <c r="H2389" s="7">
        <v>2.1000000000000001E-2</v>
      </c>
      <c r="I2389" s="6">
        <v>19.77</v>
      </c>
      <c r="J2389" s="6">
        <v>961.13</v>
      </c>
      <c r="K2389" t="s">
        <v>4831</v>
      </c>
      <c r="L2389" t="s">
        <v>4832</v>
      </c>
    </row>
    <row r="2390" spans="1:13" ht="15" customHeight="1" x14ac:dyDescent="0.25">
      <c r="A2390">
        <v>2389</v>
      </c>
      <c r="B2390" s="5">
        <v>45839</v>
      </c>
      <c r="C2390" t="s">
        <v>33</v>
      </c>
      <c r="D2390" t="s">
        <v>115</v>
      </c>
      <c r="E2390" t="s">
        <v>116</v>
      </c>
      <c r="F2390" t="s">
        <v>30</v>
      </c>
      <c r="G2390" s="6">
        <v>2403.04</v>
      </c>
      <c r="H2390" s="7">
        <v>2.1000000000000001E-2</v>
      </c>
      <c r="I2390" s="6">
        <v>50.46</v>
      </c>
      <c r="J2390" s="6">
        <v>2453.5</v>
      </c>
      <c r="K2390" t="s">
        <v>4833</v>
      </c>
      <c r="L2390" t="s">
        <v>4834</v>
      </c>
      <c r="M2390" t="s">
        <v>119</v>
      </c>
    </row>
    <row r="2391" spans="1:13" ht="15" customHeight="1" x14ac:dyDescent="0.25">
      <c r="A2391">
        <v>2390</v>
      </c>
      <c r="B2391" s="5">
        <v>45930</v>
      </c>
      <c r="C2391" t="s">
        <v>27</v>
      </c>
      <c r="D2391" t="s">
        <v>172</v>
      </c>
      <c r="E2391" t="s">
        <v>173</v>
      </c>
      <c r="F2391" t="s">
        <v>71</v>
      </c>
      <c r="G2391" s="6">
        <v>1682.94</v>
      </c>
      <c r="H2391" s="7">
        <v>0.2</v>
      </c>
      <c r="I2391" s="6">
        <v>336.59</v>
      </c>
      <c r="J2391" s="6">
        <v>2019.53</v>
      </c>
      <c r="K2391" t="s">
        <v>4835</v>
      </c>
      <c r="L2391" t="s">
        <v>4836</v>
      </c>
    </row>
    <row r="2392" spans="1:13" ht="15" customHeight="1" x14ac:dyDescent="0.25">
      <c r="A2392">
        <v>2391</v>
      </c>
      <c r="B2392" s="5">
        <v>45709</v>
      </c>
      <c r="C2392" t="s">
        <v>27</v>
      </c>
      <c r="D2392" t="s">
        <v>28</v>
      </c>
      <c r="E2392" t="s">
        <v>29</v>
      </c>
      <c r="F2392" t="s">
        <v>120</v>
      </c>
      <c r="G2392" s="6">
        <v>3087.35</v>
      </c>
      <c r="H2392" s="7">
        <v>2.1000000000000001E-2</v>
      </c>
      <c r="I2392" s="6">
        <v>64.83</v>
      </c>
      <c r="J2392" s="6">
        <v>3152.18</v>
      </c>
      <c r="K2392" t="s">
        <v>4837</v>
      </c>
      <c r="L2392" t="s">
        <v>4838</v>
      </c>
    </row>
    <row r="2393" spans="1:13" ht="15" customHeight="1" x14ac:dyDescent="0.25">
      <c r="A2393">
        <v>2392</v>
      </c>
      <c r="B2393" s="5">
        <v>45735</v>
      </c>
      <c r="C2393" t="s">
        <v>27</v>
      </c>
      <c r="D2393" t="s">
        <v>55</v>
      </c>
      <c r="E2393" t="s">
        <v>56</v>
      </c>
      <c r="F2393" t="s">
        <v>84</v>
      </c>
      <c r="G2393" s="6">
        <v>2470.4299999999998</v>
      </c>
      <c r="H2393" s="7">
        <v>5.5E-2</v>
      </c>
      <c r="I2393" s="6">
        <v>135.87</v>
      </c>
      <c r="J2393" s="6">
        <v>2606.3000000000002</v>
      </c>
      <c r="K2393" t="s">
        <v>4839</v>
      </c>
      <c r="L2393" t="s">
        <v>4840</v>
      </c>
    </row>
    <row r="2394" spans="1:13" ht="15" customHeight="1" x14ac:dyDescent="0.25">
      <c r="A2394">
        <v>2393</v>
      </c>
      <c r="B2394" s="5">
        <v>45863</v>
      </c>
      <c r="C2394" t="s">
        <v>33</v>
      </c>
      <c r="D2394" t="s">
        <v>55</v>
      </c>
      <c r="E2394" t="s">
        <v>56</v>
      </c>
      <c r="F2394" t="s">
        <v>106</v>
      </c>
      <c r="G2394" s="6">
        <v>1390.51</v>
      </c>
      <c r="H2394" s="7">
        <v>5.5E-2</v>
      </c>
      <c r="I2394" s="6">
        <v>76.48</v>
      </c>
      <c r="J2394" s="6">
        <v>1466.99</v>
      </c>
      <c r="K2394" t="s">
        <v>4841</v>
      </c>
      <c r="M2394" t="s">
        <v>186</v>
      </c>
    </row>
    <row r="2395" spans="1:13" ht="15" customHeight="1" x14ac:dyDescent="0.25">
      <c r="A2395">
        <v>2394</v>
      </c>
      <c r="B2395" s="5">
        <v>45727</v>
      </c>
      <c r="C2395" t="s">
        <v>47</v>
      </c>
      <c r="D2395" t="s">
        <v>79</v>
      </c>
      <c r="E2395" t="s">
        <v>80</v>
      </c>
      <c r="F2395" t="s">
        <v>174</v>
      </c>
      <c r="G2395" s="6">
        <v>3269.24</v>
      </c>
      <c r="H2395" s="7">
        <v>0.2</v>
      </c>
      <c r="I2395" s="6">
        <v>653.85</v>
      </c>
      <c r="J2395" s="6">
        <v>3923.09</v>
      </c>
      <c r="K2395" t="s">
        <v>4842</v>
      </c>
      <c r="L2395" t="s">
        <v>4843</v>
      </c>
    </row>
    <row r="2396" spans="1:13" ht="15" customHeight="1" x14ac:dyDescent="0.25">
      <c r="A2396">
        <v>2395</v>
      </c>
      <c r="B2396" s="5">
        <v>46000</v>
      </c>
      <c r="C2396" t="s">
        <v>33</v>
      </c>
      <c r="D2396" t="s">
        <v>55</v>
      </c>
      <c r="E2396" t="s">
        <v>56</v>
      </c>
      <c r="F2396" t="s">
        <v>81</v>
      </c>
      <c r="G2396" s="6">
        <v>1457.3</v>
      </c>
      <c r="H2396" s="7">
        <v>5.5E-2</v>
      </c>
      <c r="I2396" s="6">
        <v>80.150000000000006</v>
      </c>
      <c r="J2396" s="6">
        <v>1537.45</v>
      </c>
      <c r="K2396" t="s">
        <v>4844</v>
      </c>
      <c r="L2396" t="s">
        <v>4845</v>
      </c>
    </row>
    <row r="2397" spans="1:13" ht="15" customHeight="1" x14ac:dyDescent="0.25">
      <c r="A2397">
        <v>2396</v>
      </c>
      <c r="B2397" s="5">
        <v>45688</v>
      </c>
      <c r="C2397" t="s">
        <v>27</v>
      </c>
      <c r="D2397" t="s">
        <v>100</v>
      </c>
      <c r="E2397" t="s">
        <v>101</v>
      </c>
      <c r="F2397" t="s">
        <v>44</v>
      </c>
      <c r="G2397" s="6">
        <v>2136.73</v>
      </c>
      <c r="H2397" s="7">
        <v>0</v>
      </c>
      <c r="I2397" s="6">
        <v>0</v>
      </c>
      <c r="J2397" s="6">
        <v>2136.73</v>
      </c>
      <c r="K2397" t="s">
        <v>4846</v>
      </c>
      <c r="L2397" t="s">
        <v>4847</v>
      </c>
    </row>
    <row r="2398" spans="1:13" ht="15" customHeight="1" x14ac:dyDescent="0.25">
      <c r="A2398">
        <v>2397</v>
      </c>
      <c r="B2398" s="5">
        <v>45782</v>
      </c>
      <c r="C2398" t="s">
        <v>33</v>
      </c>
      <c r="D2398" t="s">
        <v>42</v>
      </c>
      <c r="E2398" t="s">
        <v>43</v>
      </c>
      <c r="F2398" t="s">
        <v>44</v>
      </c>
      <c r="G2398" s="6">
        <v>2182.66</v>
      </c>
      <c r="H2398" s="7">
        <v>0</v>
      </c>
      <c r="I2398" s="6">
        <v>0</v>
      </c>
      <c r="J2398" s="6">
        <v>2182.66</v>
      </c>
      <c r="K2398" t="s">
        <v>4848</v>
      </c>
      <c r="L2398" t="s">
        <v>4849</v>
      </c>
    </row>
    <row r="2399" spans="1:13" ht="15" customHeight="1" x14ac:dyDescent="0.25">
      <c r="A2399">
        <v>2398</v>
      </c>
      <c r="B2399" s="5">
        <v>45785</v>
      </c>
      <c r="C2399" t="s">
        <v>47</v>
      </c>
      <c r="D2399" t="s">
        <v>172</v>
      </c>
      <c r="E2399" t="s">
        <v>173</v>
      </c>
      <c r="F2399" t="s">
        <v>87</v>
      </c>
      <c r="G2399" s="6">
        <v>3767.73</v>
      </c>
      <c r="H2399" s="7">
        <v>0.2</v>
      </c>
      <c r="I2399" s="6">
        <v>753.55</v>
      </c>
      <c r="J2399" s="6">
        <v>4521.28</v>
      </c>
      <c r="K2399" t="s">
        <v>4850</v>
      </c>
      <c r="L2399" t="s">
        <v>4851</v>
      </c>
    </row>
    <row r="2400" spans="1:13" ht="15" customHeight="1" x14ac:dyDescent="0.25">
      <c r="A2400">
        <v>2399</v>
      </c>
      <c r="B2400" s="5">
        <v>45863</v>
      </c>
      <c r="C2400" t="s">
        <v>47</v>
      </c>
      <c r="D2400" t="s">
        <v>28</v>
      </c>
      <c r="E2400" t="s">
        <v>29</v>
      </c>
      <c r="F2400" t="s">
        <v>81</v>
      </c>
      <c r="G2400" s="6">
        <v>625.74</v>
      </c>
      <c r="H2400" s="7">
        <v>2.1000000000000001E-2</v>
      </c>
      <c r="I2400" s="6">
        <v>13.14</v>
      </c>
      <c r="J2400" s="6">
        <v>638.88</v>
      </c>
      <c r="K2400" t="s">
        <v>4852</v>
      </c>
      <c r="L2400" t="s">
        <v>4853</v>
      </c>
    </row>
    <row r="2401" spans="1:12" ht="15" customHeight="1" x14ac:dyDescent="0.25">
      <c r="A2401">
        <v>2400</v>
      </c>
      <c r="B2401" s="5">
        <v>45730</v>
      </c>
      <c r="C2401" t="s">
        <v>27</v>
      </c>
      <c r="D2401" t="s">
        <v>28</v>
      </c>
      <c r="E2401" t="s">
        <v>29</v>
      </c>
      <c r="F2401" t="s">
        <v>50</v>
      </c>
      <c r="G2401" s="6">
        <v>3051.29</v>
      </c>
      <c r="H2401" s="7">
        <v>2.1000000000000001E-2</v>
      </c>
      <c r="I2401" s="6">
        <v>64.08</v>
      </c>
      <c r="J2401" s="6">
        <v>3115.37</v>
      </c>
      <c r="K2401" t="s">
        <v>4854</v>
      </c>
      <c r="L2401" t="s">
        <v>4855</v>
      </c>
    </row>
    <row r="2402" spans="1:12" ht="15" customHeight="1" x14ac:dyDescent="0.25">
      <c r="A2402">
        <v>2401</v>
      </c>
      <c r="B2402" s="5">
        <v>45817</v>
      </c>
      <c r="C2402" t="s">
        <v>27</v>
      </c>
      <c r="D2402" t="s">
        <v>28</v>
      </c>
      <c r="E2402" t="s">
        <v>29</v>
      </c>
      <c r="F2402" t="s">
        <v>120</v>
      </c>
      <c r="G2402" s="6">
        <v>2397.15</v>
      </c>
      <c r="H2402" s="7">
        <v>2.1000000000000001E-2</v>
      </c>
      <c r="I2402" s="6">
        <v>50.34</v>
      </c>
      <c r="J2402" s="6">
        <v>2447.4899999999998</v>
      </c>
      <c r="K2402" t="s">
        <v>4856</v>
      </c>
      <c r="L2402" t="s">
        <v>4857</v>
      </c>
    </row>
    <row r="2403" spans="1:12" ht="15" customHeight="1" x14ac:dyDescent="0.25">
      <c r="A2403">
        <v>2402</v>
      </c>
      <c r="B2403" s="5">
        <v>45882</v>
      </c>
      <c r="C2403" t="s">
        <v>47</v>
      </c>
      <c r="D2403" t="s">
        <v>55</v>
      </c>
      <c r="E2403" t="s">
        <v>56</v>
      </c>
      <c r="F2403" t="s">
        <v>87</v>
      </c>
      <c r="G2403" s="6">
        <v>1400.79</v>
      </c>
      <c r="H2403" s="7">
        <v>5.5E-2</v>
      </c>
      <c r="I2403" s="6">
        <v>77.040000000000006</v>
      </c>
      <c r="J2403" s="6">
        <v>1477.83</v>
      </c>
      <c r="K2403" t="s">
        <v>4858</v>
      </c>
      <c r="L2403" t="s">
        <v>4859</v>
      </c>
    </row>
    <row r="2404" spans="1:12" ht="15" customHeight="1" x14ac:dyDescent="0.25">
      <c r="A2404">
        <v>2403</v>
      </c>
      <c r="B2404" s="5">
        <v>45736</v>
      </c>
      <c r="C2404" t="s">
        <v>27</v>
      </c>
      <c r="D2404" t="s">
        <v>181</v>
      </c>
      <c r="E2404" t="s">
        <v>182</v>
      </c>
      <c r="F2404" t="s">
        <v>81</v>
      </c>
      <c r="G2404" s="6">
        <v>391.18</v>
      </c>
      <c r="H2404" s="7">
        <v>0.2</v>
      </c>
      <c r="I2404" s="6">
        <v>78.239999999999995</v>
      </c>
      <c r="J2404" s="6">
        <v>469.42</v>
      </c>
      <c r="K2404" t="s">
        <v>4860</v>
      </c>
      <c r="L2404" t="s">
        <v>4861</v>
      </c>
    </row>
    <row r="2405" spans="1:12" ht="15" customHeight="1" x14ac:dyDescent="0.25">
      <c r="A2405">
        <v>2404</v>
      </c>
      <c r="B2405" s="5">
        <v>45678</v>
      </c>
      <c r="C2405" t="s">
        <v>47</v>
      </c>
      <c r="D2405" t="s">
        <v>100</v>
      </c>
      <c r="E2405" t="s">
        <v>101</v>
      </c>
      <c r="F2405" t="s">
        <v>44</v>
      </c>
      <c r="G2405" s="6">
        <v>3938.68</v>
      </c>
      <c r="H2405" s="7">
        <v>0</v>
      </c>
      <c r="I2405" s="6">
        <v>0</v>
      </c>
      <c r="J2405" s="6">
        <v>3938.68</v>
      </c>
      <c r="K2405" t="s">
        <v>4862</v>
      </c>
      <c r="L2405" t="s">
        <v>4863</v>
      </c>
    </row>
    <row r="2406" spans="1:12" ht="15" customHeight="1" x14ac:dyDescent="0.25">
      <c r="A2406">
        <v>2405</v>
      </c>
      <c r="B2406" s="5">
        <v>45957</v>
      </c>
      <c r="C2406" t="s">
        <v>27</v>
      </c>
      <c r="D2406" t="s">
        <v>79</v>
      </c>
      <c r="E2406" t="s">
        <v>80</v>
      </c>
      <c r="F2406" t="s">
        <v>81</v>
      </c>
      <c r="G2406" s="6">
        <v>824.58</v>
      </c>
      <c r="H2406" s="7">
        <v>0.2</v>
      </c>
      <c r="I2406" s="6">
        <v>164.92</v>
      </c>
      <c r="J2406" s="6">
        <v>989.5</v>
      </c>
      <c r="K2406" t="s">
        <v>4864</v>
      </c>
      <c r="L2406" t="s">
        <v>4865</v>
      </c>
    </row>
    <row r="2407" spans="1:12" ht="15" customHeight="1" x14ac:dyDescent="0.25">
      <c r="A2407">
        <v>2406</v>
      </c>
      <c r="B2407" s="5">
        <v>45925</v>
      </c>
      <c r="C2407" t="s">
        <v>47</v>
      </c>
      <c r="D2407" t="s">
        <v>42</v>
      </c>
      <c r="E2407" t="s">
        <v>43</v>
      </c>
      <c r="F2407" t="s">
        <v>44</v>
      </c>
      <c r="G2407" s="6">
        <v>4194.25</v>
      </c>
      <c r="H2407" s="7">
        <v>0</v>
      </c>
      <c r="I2407" s="6">
        <v>0</v>
      </c>
      <c r="J2407" s="6">
        <v>4194.25</v>
      </c>
      <c r="K2407" t="s">
        <v>4866</v>
      </c>
      <c r="L2407" t="s">
        <v>4867</v>
      </c>
    </row>
    <row r="2408" spans="1:12" ht="15" customHeight="1" x14ac:dyDescent="0.25">
      <c r="A2408">
        <v>2407</v>
      </c>
      <c r="B2408" s="5">
        <v>45911</v>
      </c>
      <c r="C2408" t="s">
        <v>27</v>
      </c>
      <c r="D2408" t="s">
        <v>42</v>
      </c>
      <c r="E2408" t="s">
        <v>43</v>
      </c>
      <c r="F2408" t="s">
        <v>44</v>
      </c>
      <c r="G2408" s="6">
        <v>4111.79</v>
      </c>
      <c r="H2408" s="7">
        <v>0</v>
      </c>
      <c r="I2408" s="6">
        <v>0</v>
      </c>
      <c r="J2408" s="6">
        <v>4111.79</v>
      </c>
      <c r="K2408" t="s">
        <v>4868</v>
      </c>
      <c r="L2408" t="s">
        <v>4869</v>
      </c>
    </row>
    <row r="2409" spans="1:12" ht="15" customHeight="1" x14ac:dyDescent="0.25">
      <c r="A2409">
        <v>2408</v>
      </c>
      <c r="B2409" s="5">
        <v>45799</v>
      </c>
      <c r="C2409" t="s">
        <v>33</v>
      </c>
      <c r="D2409" t="s">
        <v>181</v>
      </c>
      <c r="E2409" t="s">
        <v>182</v>
      </c>
      <c r="F2409" t="s">
        <v>120</v>
      </c>
      <c r="G2409" s="6">
        <v>4078.91</v>
      </c>
      <c r="H2409" s="7">
        <v>0.2</v>
      </c>
      <c r="I2409" s="6">
        <v>815.78</v>
      </c>
      <c r="J2409" s="6">
        <v>4894.6899999999996</v>
      </c>
      <c r="K2409" t="s">
        <v>4870</v>
      </c>
      <c r="L2409" t="s">
        <v>4871</v>
      </c>
    </row>
    <row r="2410" spans="1:12" ht="15" customHeight="1" x14ac:dyDescent="0.25">
      <c r="A2410">
        <v>2409</v>
      </c>
      <c r="B2410" s="5">
        <v>45786</v>
      </c>
      <c r="C2410" t="s">
        <v>47</v>
      </c>
      <c r="D2410" t="s">
        <v>63</v>
      </c>
      <c r="E2410" t="s">
        <v>64</v>
      </c>
      <c r="F2410" t="s">
        <v>87</v>
      </c>
      <c r="G2410" s="6">
        <v>4425.24</v>
      </c>
      <c r="H2410" s="7">
        <v>0.2</v>
      </c>
      <c r="I2410" s="6">
        <v>885.05</v>
      </c>
      <c r="J2410" s="6">
        <v>5310.29</v>
      </c>
      <c r="K2410" t="s">
        <v>4872</v>
      </c>
      <c r="L2410" t="s">
        <v>4873</v>
      </c>
    </row>
    <row r="2411" spans="1:12" ht="15" customHeight="1" x14ac:dyDescent="0.25">
      <c r="A2411">
        <v>2410</v>
      </c>
      <c r="B2411" s="5">
        <v>45782</v>
      </c>
      <c r="C2411" t="s">
        <v>33</v>
      </c>
      <c r="D2411" t="s">
        <v>42</v>
      </c>
      <c r="E2411" t="s">
        <v>43</v>
      </c>
      <c r="F2411" t="s">
        <v>44</v>
      </c>
      <c r="G2411" s="6">
        <v>2331.33</v>
      </c>
      <c r="H2411" s="7">
        <v>0</v>
      </c>
      <c r="I2411" s="6">
        <v>0</v>
      </c>
      <c r="J2411" s="6">
        <v>2331.33</v>
      </c>
      <c r="K2411" t="s">
        <v>4874</v>
      </c>
      <c r="L2411" t="s">
        <v>4875</v>
      </c>
    </row>
    <row r="2412" spans="1:12" ht="15" customHeight="1" x14ac:dyDescent="0.25">
      <c r="A2412">
        <v>2411</v>
      </c>
      <c r="B2412" s="5">
        <v>46020</v>
      </c>
      <c r="C2412" t="s">
        <v>27</v>
      </c>
      <c r="D2412" t="s">
        <v>55</v>
      </c>
      <c r="E2412" t="s">
        <v>56</v>
      </c>
      <c r="F2412" t="s">
        <v>84</v>
      </c>
      <c r="G2412" s="6">
        <v>2236.35</v>
      </c>
      <c r="H2412" s="7">
        <v>5.5E-2</v>
      </c>
      <c r="I2412" s="6">
        <v>123</v>
      </c>
      <c r="J2412" s="6">
        <v>2359.35</v>
      </c>
      <c r="K2412" t="s">
        <v>4876</v>
      </c>
      <c r="L2412" t="s">
        <v>4877</v>
      </c>
    </row>
    <row r="2413" spans="1:12" ht="15" customHeight="1" x14ac:dyDescent="0.25">
      <c r="A2413">
        <v>2412</v>
      </c>
      <c r="B2413" s="5">
        <v>45923</v>
      </c>
      <c r="C2413" t="s">
        <v>27</v>
      </c>
      <c r="D2413" t="s">
        <v>63</v>
      </c>
      <c r="E2413" t="s">
        <v>64</v>
      </c>
      <c r="F2413" t="s">
        <v>120</v>
      </c>
      <c r="G2413" s="6">
        <v>3927.14</v>
      </c>
      <c r="H2413" s="7">
        <v>0.2</v>
      </c>
      <c r="I2413" s="6">
        <v>785.43</v>
      </c>
      <c r="J2413" s="6">
        <v>4712.57</v>
      </c>
      <c r="K2413" t="s">
        <v>4878</v>
      </c>
      <c r="L2413" t="s">
        <v>4879</v>
      </c>
    </row>
    <row r="2414" spans="1:12" ht="15" customHeight="1" x14ac:dyDescent="0.25">
      <c r="A2414">
        <v>2413</v>
      </c>
      <c r="B2414" s="5">
        <v>45960</v>
      </c>
      <c r="C2414" t="s">
        <v>33</v>
      </c>
      <c r="D2414" t="s">
        <v>172</v>
      </c>
      <c r="E2414" t="s">
        <v>173</v>
      </c>
      <c r="F2414" t="s">
        <v>120</v>
      </c>
      <c r="G2414" s="6">
        <v>3784.87</v>
      </c>
      <c r="H2414" s="7">
        <v>0.2</v>
      </c>
      <c r="I2414" s="6">
        <v>756.97</v>
      </c>
      <c r="J2414" s="6">
        <v>4541.84</v>
      </c>
      <c r="K2414" t="s">
        <v>4880</v>
      </c>
      <c r="L2414" t="s">
        <v>4881</v>
      </c>
    </row>
    <row r="2415" spans="1:12" ht="15" customHeight="1" x14ac:dyDescent="0.25">
      <c r="A2415">
        <v>2414</v>
      </c>
      <c r="B2415" s="5">
        <v>45842</v>
      </c>
      <c r="C2415" t="s">
        <v>27</v>
      </c>
      <c r="D2415" t="s">
        <v>28</v>
      </c>
      <c r="E2415" t="s">
        <v>29</v>
      </c>
      <c r="F2415" t="s">
        <v>81</v>
      </c>
      <c r="G2415" s="6">
        <v>2644.14</v>
      </c>
      <c r="H2415" s="7">
        <v>2.1000000000000001E-2</v>
      </c>
      <c r="I2415" s="6">
        <v>55.53</v>
      </c>
      <c r="J2415" s="6">
        <v>2699.67</v>
      </c>
      <c r="K2415" t="s">
        <v>4882</v>
      </c>
      <c r="L2415" t="s">
        <v>4883</v>
      </c>
    </row>
    <row r="2416" spans="1:12" ht="15" customHeight="1" x14ac:dyDescent="0.25">
      <c r="A2416">
        <v>2415</v>
      </c>
      <c r="B2416" s="5">
        <v>45678</v>
      </c>
      <c r="C2416" t="s">
        <v>47</v>
      </c>
      <c r="D2416" t="s">
        <v>42</v>
      </c>
      <c r="E2416" t="s">
        <v>43</v>
      </c>
      <c r="F2416" t="s">
        <v>44</v>
      </c>
      <c r="G2416" s="6">
        <v>3691.53</v>
      </c>
      <c r="H2416" s="7">
        <v>0</v>
      </c>
      <c r="I2416" s="6">
        <v>0</v>
      </c>
      <c r="J2416" s="6">
        <v>3691.53</v>
      </c>
      <c r="K2416" t="s">
        <v>4884</v>
      </c>
      <c r="L2416" t="s">
        <v>4885</v>
      </c>
    </row>
    <row r="2417" spans="1:12" ht="15" customHeight="1" x14ac:dyDescent="0.25">
      <c r="A2417">
        <v>2416</v>
      </c>
      <c r="B2417" s="5">
        <v>45925</v>
      </c>
      <c r="C2417" t="s">
        <v>47</v>
      </c>
      <c r="D2417" t="s">
        <v>172</v>
      </c>
      <c r="E2417" t="s">
        <v>173</v>
      </c>
      <c r="F2417" t="s">
        <v>36</v>
      </c>
      <c r="G2417" s="6">
        <v>244.76</v>
      </c>
      <c r="H2417" s="7">
        <v>0.2</v>
      </c>
      <c r="I2417" s="6">
        <v>48.95</v>
      </c>
      <c r="J2417" s="6">
        <v>293.70999999999998</v>
      </c>
      <c r="K2417" t="s">
        <v>4886</v>
      </c>
      <c r="L2417" t="s">
        <v>4887</v>
      </c>
    </row>
    <row r="2418" spans="1:12" ht="15" customHeight="1" x14ac:dyDescent="0.25">
      <c r="A2418">
        <v>2417</v>
      </c>
      <c r="B2418" s="5">
        <v>46000</v>
      </c>
      <c r="C2418" t="s">
        <v>27</v>
      </c>
      <c r="D2418" t="s">
        <v>42</v>
      </c>
      <c r="E2418" t="s">
        <v>43</v>
      </c>
      <c r="F2418" t="s">
        <v>44</v>
      </c>
      <c r="G2418" s="6">
        <v>2318.4899999999998</v>
      </c>
      <c r="H2418" s="7">
        <v>0</v>
      </c>
      <c r="I2418" s="6">
        <v>0</v>
      </c>
      <c r="J2418" s="6">
        <v>2318.4899999999998</v>
      </c>
      <c r="K2418" t="s">
        <v>4888</v>
      </c>
      <c r="L2418" t="s">
        <v>4889</v>
      </c>
    </row>
    <row r="2419" spans="1:12" ht="15" customHeight="1" x14ac:dyDescent="0.25">
      <c r="A2419">
        <v>2418</v>
      </c>
      <c r="B2419" s="5">
        <v>45826</v>
      </c>
      <c r="C2419" t="s">
        <v>33</v>
      </c>
      <c r="D2419" t="s">
        <v>181</v>
      </c>
      <c r="E2419" t="s">
        <v>182</v>
      </c>
      <c r="F2419" t="s">
        <v>36</v>
      </c>
      <c r="G2419" s="6">
        <v>516.71</v>
      </c>
      <c r="H2419" s="7">
        <v>0.2</v>
      </c>
      <c r="I2419" s="6">
        <v>103.34</v>
      </c>
      <c r="J2419" s="6">
        <v>620.04999999999995</v>
      </c>
      <c r="K2419" t="s">
        <v>4890</v>
      </c>
      <c r="L2419" t="s">
        <v>4891</v>
      </c>
    </row>
    <row r="2420" spans="1:12" ht="15" customHeight="1" x14ac:dyDescent="0.25">
      <c r="A2420">
        <v>2419</v>
      </c>
      <c r="B2420" s="5">
        <v>45841</v>
      </c>
      <c r="C2420" t="s">
        <v>33</v>
      </c>
      <c r="D2420" t="s">
        <v>42</v>
      </c>
      <c r="E2420" t="s">
        <v>43</v>
      </c>
      <c r="F2420" t="s">
        <v>44</v>
      </c>
      <c r="G2420" s="6">
        <v>2625.72</v>
      </c>
      <c r="H2420" s="7">
        <v>0</v>
      </c>
      <c r="I2420" s="6">
        <v>0</v>
      </c>
      <c r="J2420" s="6">
        <v>2625.72</v>
      </c>
      <c r="K2420" t="s">
        <v>4892</v>
      </c>
      <c r="L2420" t="s">
        <v>4893</v>
      </c>
    </row>
    <row r="2421" spans="1:12" ht="15" customHeight="1" x14ac:dyDescent="0.25">
      <c r="A2421">
        <v>2420</v>
      </c>
      <c r="B2421" s="5">
        <v>45824</v>
      </c>
      <c r="C2421" t="s">
        <v>47</v>
      </c>
      <c r="D2421" t="s">
        <v>79</v>
      </c>
      <c r="E2421" t="s">
        <v>80</v>
      </c>
      <c r="F2421" t="s">
        <v>120</v>
      </c>
      <c r="G2421" s="6">
        <v>2105.2600000000002</v>
      </c>
      <c r="H2421" s="7">
        <v>0.2</v>
      </c>
      <c r="I2421" s="6">
        <v>421.05</v>
      </c>
      <c r="J2421" s="6">
        <v>2526.31</v>
      </c>
      <c r="K2421" t="s">
        <v>4894</v>
      </c>
      <c r="L2421" t="s">
        <v>4895</v>
      </c>
    </row>
    <row r="2422" spans="1:12" ht="15" customHeight="1" x14ac:dyDescent="0.25">
      <c r="A2422">
        <v>2421</v>
      </c>
      <c r="B2422" s="5">
        <v>45938</v>
      </c>
      <c r="C2422" t="s">
        <v>33</v>
      </c>
      <c r="D2422" t="s">
        <v>28</v>
      </c>
      <c r="E2422" t="s">
        <v>29</v>
      </c>
      <c r="F2422" t="s">
        <v>81</v>
      </c>
      <c r="G2422" s="6">
        <v>2945.43</v>
      </c>
      <c r="H2422" s="7">
        <v>2.1000000000000001E-2</v>
      </c>
      <c r="I2422" s="6">
        <v>61.85</v>
      </c>
      <c r="J2422" s="6">
        <v>3007.28</v>
      </c>
      <c r="K2422" t="s">
        <v>4896</v>
      </c>
      <c r="L2422" t="s">
        <v>4897</v>
      </c>
    </row>
    <row r="2423" spans="1:12" ht="15" customHeight="1" x14ac:dyDescent="0.25">
      <c r="A2423">
        <v>2422</v>
      </c>
      <c r="B2423" s="5">
        <v>45828</v>
      </c>
      <c r="C2423" t="s">
        <v>47</v>
      </c>
      <c r="D2423" t="s">
        <v>42</v>
      </c>
      <c r="E2423" t="s">
        <v>43</v>
      </c>
      <c r="F2423" t="s">
        <v>44</v>
      </c>
      <c r="G2423" s="6">
        <v>3091.76</v>
      </c>
      <c r="H2423" s="7">
        <v>0</v>
      </c>
      <c r="I2423" s="6">
        <v>0</v>
      </c>
      <c r="J2423" s="6">
        <v>3091.76</v>
      </c>
      <c r="K2423" t="s">
        <v>4898</v>
      </c>
      <c r="L2423" t="s">
        <v>4899</v>
      </c>
    </row>
    <row r="2424" spans="1:12" ht="15" customHeight="1" x14ac:dyDescent="0.25">
      <c r="A2424">
        <v>2423</v>
      </c>
      <c r="B2424" s="5">
        <v>45814</v>
      </c>
      <c r="C2424" t="s">
        <v>33</v>
      </c>
      <c r="D2424" t="s">
        <v>55</v>
      </c>
      <c r="E2424" t="s">
        <v>56</v>
      </c>
      <c r="F2424" t="s">
        <v>81</v>
      </c>
      <c r="G2424" s="6">
        <v>527.74</v>
      </c>
      <c r="H2424" s="7">
        <v>5.5E-2</v>
      </c>
      <c r="I2424" s="6">
        <v>29.03</v>
      </c>
      <c r="J2424" s="6">
        <v>556.77</v>
      </c>
      <c r="K2424" t="s">
        <v>4900</v>
      </c>
      <c r="L2424" t="s">
        <v>4901</v>
      </c>
    </row>
    <row r="2425" spans="1:12" ht="15" customHeight="1" x14ac:dyDescent="0.25">
      <c r="A2425">
        <v>2424</v>
      </c>
      <c r="B2425" s="5">
        <v>45912</v>
      </c>
      <c r="C2425" t="s">
        <v>27</v>
      </c>
      <c r="D2425" t="s">
        <v>63</v>
      </c>
      <c r="E2425" t="s">
        <v>64</v>
      </c>
      <c r="F2425" t="s">
        <v>36</v>
      </c>
      <c r="G2425" s="6">
        <v>2906.48</v>
      </c>
      <c r="H2425" s="7">
        <v>0.2</v>
      </c>
      <c r="I2425" s="6">
        <v>581.29999999999995</v>
      </c>
      <c r="J2425" s="6">
        <v>3487.78</v>
      </c>
      <c r="K2425" t="s">
        <v>4902</v>
      </c>
      <c r="L2425" t="s">
        <v>4903</v>
      </c>
    </row>
    <row r="2426" spans="1:12" ht="15" customHeight="1" x14ac:dyDescent="0.25">
      <c r="A2426">
        <v>2425</v>
      </c>
      <c r="B2426" s="5">
        <v>45882</v>
      </c>
      <c r="C2426" t="s">
        <v>47</v>
      </c>
      <c r="D2426" t="s">
        <v>42</v>
      </c>
      <c r="E2426" t="s">
        <v>43</v>
      </c>
      <c r="F2426" t="s">
        <v>44</v>
      </c>
      <c r="G2426" s="6">
        <v>3611.45</v>
      </c>
      <c r="H2426" s="7">
        <v>0</v>
      </c>
      <c r="I2426" s="6">
        <v>0</v>
      </c>
      <c r="J2426" s="6">
        <v>3611.45</v>
      </c>
      <c r="K2426" t="s">
        <v>4904</v>
      </c>
      <c r="L2426" t="s">
        <v>4905</v>
      </c>
    </row>
    <row r="2427" spans="1:12" ht="15" customHeight="1" x14ac:dyDescent="0.25">
      <c r="A2427">
        <v>2426</v>
      </c>
      <c r="B2427" s="5">
        <v>45755</v>
      </c>
      <c r="C2427" t="s">
        <v>47</v>
      </c>
      <c r="D2427" t="s">
        <v>28</v>
      </c>
      <c r="E2427" t="s">
        <v>29</v>
      </c>
      <c r="F2427" t="s">
        <v>106</v>
      </c>
      <c r="G2427" s="6">
        <v>2651.76</v>
      </c>
      <c r="H2427" s="7">
        <v>2.1000000000000001E-2</v>
      </c>
      <c r="I2427" s="6">
        <v>55.69</v>
      </c>
      <c r="J2427" s="6">
        <v>2707.45</v>
      </c>
      <c r="K2427" t="s">
        <v>4906</v>
      </c>
      <c r="L2427" t="s">
        <v>4907</v>
      </c>
    </row>
    <row r="2428" spans="1:12" ht="15" customHeight="1" x14ac:dyDescent="0.25">
      <c r="A2428">
        <v>2427</v>
      </c>
      <c r="B2428" s="5">
        <v>45944</v>
      </c>
      <c r="C2428" t="s">
        <v>27</v>
      </c>
      <c r="D2428" t="s">
        <v>172</v>
      </c>
      <c r="E2428" t="s">
        <v>173</v>
      </c>
      <c r="F2428" t="s">
        <v>36</v>
      </c>
      <c r="G2428" s="6">
        <v>2459.08</v>
      </c>
      <c r="H2428" s="7">
        <v>0.2</v>
      </c>
      <c r="I2428" s="6">
        <v>491.82</v>
      </c>
      <c r="J2428" s="6">
        <v>2950.9</v>
      </c>
      <c r="K2428" t="s">
        <v>4908</v>
      </c>
      <c r="L2428" t="s">
        <v>4909</v>
      </c>
    </row>
    <row r="2429" spans="1:12" ht="15" customHeight="1" x14ac:dyDescent="0.25">
      <c r="A2429">
        <v>2428</v>
      </c>
      <c r="B2429" s="5">
        <v>45705</v>
      </c>
      <c r="C2429" t="s">
        <v>27</v>
      </c>
      <c r="D2429" t="s">
        <v>28</v>
      </c>
      <c r="E2429" t="s">
        <v>29</v>
      </c>
      <c r="F2429" t="s">
        <v>84</v>
      </c>
      <c r="G2429" s="6">
        <v>480.2</v>
      </c>
      <c r="H2429" s="7">
        <v>2.1000000000000001E-2</v>
      </c>
      <c r="I2429" s="6">
        <v>10.08</v>
      </c>
      <c r="J2429" s="6">
        <v>490.28</v>
      </c>
      <c r="K2429" t="s">
        <v>4910</v>
      </c>
      <c r="L2429" t="s">
        <v>4911</v>
      </c>
    </row>
    <row r="2430" spans="1:12" ht="15" customHeight="1" x14ac:dyDescent="0.25">
      <c r="A2430">
        <v>2429</v>
      </c>
      <c r="B2430" s="5">
        <v>45832</v>
      </c>
      <c r="C2430" t="s">
        <v>47</v>
      </c>
      <c r="D2430" t="s">
        <v>42</v>
      </c>
      <c r="E2430" t="s">
        <v>43</v>
      </c>
      <c r="F2430" t="s">
        <v>44</v>
      </c>
      <c r="G2430" s="6">
        <v>2752.22</v>
      </c>
      <c r="H2430" s="7">
        <v>0</v>
      </c>
      <c r="I2430" s="6">
        <v>0</v>
      </c>
      <c r="J2430" s="6">
        <v>2752.22</v>
      </c>
      <c r="K2430" t="s">
        <v>4912</v>
      </c>
      <c r="L2430" t="s">
        <v>4913</v>
      </c>
    </row>
    <row r="2431" spans="1:12" ht="15" customHeight="1" x14ac:dyDescent="0.25">
      <c r="A2431">
        <v>2430</v>
      </c>
      <c r="B2431" s="5">
        <v>45972</v>
      </c>
      <c r="C2431" t="s">
        <v>33</v>
      </c>
      <c r="D2431" t="s">
        <v>42</v>
      </c>
      <c r="E2431" t="s">
        <v>43</v>
      </c>
      <c r="F2431" t="s">
        <v>44</v>
      </c>
      <c r="G2431" s="6">
        <v>1997.31</v>
      </c>
      <c r="H2431" s="7">
        <v>0</v>
      </c>
      <c r="I2431" s="6">
        <v>0</v>
      </c>
      <c r="J2431" s="6">
        <v>1997.31</v>
      </c>
      <c r="K2431" t="s">
        <v>4914</v>
      </c>
      <c r="L2431" t="s">
        <v>4915</v>
      </c>
    </row>
    <row r="2432" spans="1:12" ht="15" customHeight="1" x14ac:dyDescent="0.25">
      <c r="A2432">
        <v>2431</v>
      </c>
      <c r="B2432" s="5">
        <v>45783</v>
      </c>
      <c r="C2432" t="s">
        <v>47</v>
      </c>
      <c r="D2432" t="s">
        <v>42</v>
      </c>
      <c r="E2432" t="s">
        <v>43</v>
      </c>
      <c r="F2432" t="s">
        <v>44</v>
      </c>
      <c r="G2432" s="6">
        <v>3402.05</v>
      </c>
      <c r="H2432" s="7">
        <v>0</v>
      </c>
      <c r="I2432" s="6">
        <v>0</v>
      </c>
      <c r="J2432" s="6">
        <v>3402.05</v>
      </c>
      <c r="K2432" t="s">
        <v>4916</v>
      </c>
      <c r="L2432" t="s">
        <v>4917</v>
      </c>
    </row>
    <row r="2433" spans="1:13" ht="15" customHeight="1" x14ac:dyDescent="0.25">
      <c r="A2433">
        <v>2432</v>
      </c>
      <c r="B2433" s="5">
        <v>46013</v>
      </c>
      <c r="C2433" t="s">
        <v>33</v>
      </c>
      <c r="D2433" t="s">
        <v>79</v>
      </c>
      <c r="E2433" t="s">
        <v>80</v>
      </c>
      <c r="F2433" t="s">
        <v>71</v>
      </c>
      <c r="G2433" s="6">
        <v>4426.0200000000004</v>
      </c>
      <c r="H2433" s="7">
        <v>0.2</v>
      </c>
      <c r="I2433" s="6">
        <v>885.2</v>
      </c>
      <c r="J2433" s="6">
        <v>5311.22</v>
      </c>
      <c r="K2433" t="s">
        <v>4918</v>
      </c>
      <c r="L2433" t="s">
        <v>4919</v>
      </c>
    </row>
    <row r="2434" spans="1:13" ht="15" customHeight="1" x14ac:dyDescent="0.25">
      <c r="A2434">
        <v>2433</v>
      </c>
      <c r="B2434" s="5">
        <v>45768</v>
      </c>
      <c r="C2434" t="s">
        <v>47</v>
      </c>
      <c r="D2434" t="s">
        <v>181</v>
      </c>
      <c r="E2434" t="s">
        <v>182</v>
      </c>
      <c r="F2434" t="s">
        <v>174</v>
      </c>
      <c r="G2434" s="6">
        <v>722.57</v>
      </c>
      <c r="H2434" s="7">
        <v>0.2</v>
      </c>
      <c r="I2434" s="6">
        <v>144.51</v>
      </c>
      <c r="J2434" s="6">
        <v>867.08</v>
      </c>
      <c r="K2434" t="s">
        <v>4920</v>
      </c>
      <c r="L2434" t="s">
        <v>4921</v>
      </c>
      <c r="M2434" t="s">
        <v>286</v>
      </c>
    </row>
    <row r="2435" spans="1:13" ht="15" customHeight="1" x14ac:dyDescent="0.25">
      <c r="A2435">
        <v>2434</v>
      </c>
      <c r="B2435" s="5">
        <v>45905</v>
      </c>
      <c r="C2435" t="s">
        <v>33</v>
      </c>
      <c r="D2435" t="s">
        <v>42</v>
      </c>
      <c r="E2435" t="s">
        <v>43</v>
      </c>
      <c r="F2435" t="s">
        <v>44</v>
      </c>
      <c r="G2435" s="6">
        <v>2794.86</v>
      </c>
      <c r="H2435" s="7">
        <v>0</v>
      </c>
      <c r="I2435" s="6">
        <v>0</v>
      </c>
      <c r="J2435" s="6">
        <v>2794.86</v>
      </c>
      <c r="K2435" t="s">
        <v>4922</v>
      </c>
      <c r="L2435" t="s">
        <v>4923</v>
      </c>
    </row>
    <row r="2436" spans="1:13" ht="15" customHeight="1" x14ac:dyDescent="0.25">
      <c r="A2436">
        <v>2435</v>
      </c>
      <c r="B2436" s="5">
        <v>45923</v>
      </c>
      <c r="C2436" t="s">
        <v>27</v>
      </c>
      <c r="D2436" t="s">
        <v>28</v>
      </c>
      <c r="E2436" t="s">
        <v>29</v>
      </c>
      <c r="F2436" t="s">
        <v>120</v>
      </c>
      <c r="G2436" s="6">
        <v>2647.56</v>
      </c>
      <c r="H2436" s="7">
        <v>2.1000000000000001E-2</v>
      </c>
      <c r="I2436" s="6">
        <v>55.6</v>
      </c>
      <c r="J2436" s="6">
        <v>2703.16</v>
      </c>
      <c r="K2436" t="s">
        <v>4924</v>
      </c>
      <c r="L2436" t="s">
        <v>4925</v>
      </c>
    </row>
    <row r="2437" spans="1:13" ht="15" customHeight="1" x14ac:dyDescent="0.25">
      <c r="A2437">
        <v>2436</v>
      </c>
      <c r="B2437" s="5">
        <v>45792</v>
      </c>
      <c r="C2437" t="s">
        <v>47</v>
      </c>
      <c r="D2437" t="s">
        <v>42</v>
      </c>
      <c r="E2437" t="s">
        <v>43</v>
      </c>
      <c r="F2437" t="s">
        <v>44</v>
      </c>
      <c r="G2437" s="6">
        <v>2674.83</v>
      </c>
      <c r="H2437" s="7">
        <v>0</v>
      </c>
      <c r="I2437" s="6">
        <v>0</v>
      </c>
      <c r="J2437" s="6">
        <v>2674.83</v>
      </c>
      <c r="K2437" t="s">
        <v>4926</v>
      </c>
      <c r="L2437" t="s">
        <v>4927</v>
      </c>
    </row>
    <row r="2438" spans="1:13" ht="15" customHeight="1" x14ac:dyDescent="0.25">
      <c r="A2438">
        <v>2437</v>
      </c>
      <c r="B2438" s="5">
        <v>45726</v>
      </c>
      <c r="C2438" t="s">
        <v>47</v>
      </c>
      <c r="D2438" t="s">
        <v>172</v>
      </c>
      <c r="E2438" t="s">
        <v>173</v>
      </c>
      <c r="F2438" t="s">
        <v>81</v>
      </c>
      <c r="G2438" s="6">
        <v>1501.75</v>
      </c>
      <c r="H2438" s="7">
        <v>0.2</v>
      </c>
      <c r="I2438" s="6">
        <v>300.35000000000002</v>
      </c>
      <c r="J2438" s="6">
        <v>1802.1</v>
      </c>
      <c r="K2438" t="s">
        <v>4928</v>
      </c>
      <c r="L2438" t="s">
        <v>4929</v>
      </c>
    </row>
    <row r="2439" spans="1:13" ht="15" customHeight="1" x14ac:dyDescent="0.25">
      <c r="A2439">
        <v>2438</v>
      </c>
      <c r="B2439" s="5">
        <v>45707</v>
      </c>
      <c r="C2439" t="s">
        <v>27</v>
      </c>
      <c r="D2439" t="s">
        <v>172</v>
      </c>
      <c r="E2439" t="s">
        <v>173</v>
      </c>
      <c r="F2439" t="s">
        <v>106</v>
      </c>
      <c r="G2439" s="6">
        <v>4416.07</v>
      </c>
      <c r="H2439" s="7">
        <v>0.2</v>
      </c>
      <c r="I2439" s="6">
        <v>883.21</v>
      </c>
      <c r="J2439" s="6">
        <v>5299.28</v>
      </c>
      <c r="K2439" t="s">
        <v>4930</v>
      </c>
      <c r="L2439" t="s">
        <v>4931</v>
      </c>
    </row>
    <row r="2440" spans="1:13" ht="15" customHeight="1" x14ac:dyDescent="0.25">
      <c r="A2440">
        <v>2439</v>
      </c>
      <c r="B2440" s="5">
        <v>45967</v>
      </c>
      <c r="C2440" t="s">
        <v>47</v>
      </c>
      <c r="D2440" t="s">
        <v>172</v>
      </c>
      <c r="E2440" t="s">
        <v>173</v>
      </c>
      <c r="F2440" t="s">
        <v>50</v>
      </c>
      <c r="G2440" s="6">
        <v>1086.98</v>
      </c>
      <c r="H2440" s="7">
        <v>0.2</v>
      </c>
      <c r="I2440" s="6">
        <v>217.4</v>
      </c>
      <c r="J2440" s="6">
        <v>1304.3800000000001</v>
      </c>
      <c r="K2440" t="s">
        <v>4932</v>
      </c>
      <c r="L2440" t="s">
        <v>4933</v>
      </c>
    </row>
    <row r="2441" spans="1:13" ht="15" customHeight="1" x14ac:dyDescent="0.25">
      <c r="A2441">
        <v>2440</v>
      </c>
      <c r="B2441" s="5">
        <v>45772</v>
      </c>
      <c r="C2441" t="s">
        <v>27</v>
      </c>
      <c r="D2441" t="s">
        <v>181</v>
      </c>
      <c r="E2441" t="s">
        <v>182</v>
      </c>
      <c r="F2441" t="s">
        <v>84</v>
      </c>
      <c r="G2441" s="6">
        <v>2136.5700000000002</v>
      </c>
      <c r="H2441" s="7">
        <v>0.2</v>
      </c>
      <c r="I2441" s="6">
        <v>427.31</v>
      </c>
      <c r="J2441" s="6">
        <v>2563.88</v>
      </c>
      <c r="K2441" t="s">
        <v>4934</v>
      </c>
      <c r="L2441" t="s">
        <v>4935</v>
      </c>
    </row>
    <row r="2442" spans="1:13" ht="15" customHeight="1" x14ac:dyDescent="0.25">
      <c r="A2442">
        <v>2441</v>
      </c>
      <c r="B2442" s="5">
        <v>45882</v>
      </c>
      <c r="C2442" t="s">
        <v>33</v>
      </c>
      <c r="D2442" t="s">
        <v>79</v>
      </c>
      <c r="E2442" t="s">
        <v>80</v>
      </c>
      <c r="F2442" t="s">
        <v>36</v>
      </c>
      <c r="G2442" s="6">
        <v>2277.33</v>
      </c>
      <c r="H2442" s="7">
        <v>0.2</v>
      </c>
      <c r="I2442" s="6">
        <v>455.47</v>
      </c>
      <c r="J2442" s="6">
        <v>2732.8</v>
      </c>
      <c r="K2442" t="s">
        <v>4936</v>
      </c>
      <c r="L2442" t="s">
        <v>4937</v>
      </c>
    </row>
    <row r="2443" spans="1:13" ht="15" customHeight="1" x14ac:dyDescent="0.25">
      <c r="A2443">
        <v>2442</v>
      </c>
      <c r="B2443" s="5">
        <v>45887</v>
      </c>
      <c r="C2443" t="s">
        <v>33</v>
      </c>
      <c r="D2443" t="s">
        <v>28</v>
      </c>
      <c r="E2443" t="s">
        <v>29</v>
      </c>
      <c r="F2443" t="s">
        <v>39</v>
      </c>
      <c r="G2443" s="6">
        <v>2550.7600000000002</v>
      </c>
      <c r="H2443" s="7">
        <v>2.1000000000000001E-2</v>
      </c>
      <c r="I2443" s="6">
        <v>53.57</v>
      </c>
      <c r="J2443" s="6">
        <v>2604.33</v>
      </c>
      <c r="K2443" t="s">
        <v>4938</v>
      </c>
      <c r="L2443" t="s">
        <v>4939</v>
      </c>
    </row>
    <row r="2444" spans="1:13" ht="15" customHeight="1" x14ac:dyDescent="0.25">
      <c r="A2444">
        <v>2443</v>
      </c>
      <c r="B2444" s="5">
        <v>45733</v>
      </c>
      <c r="C2444" t="s">
        <v>47</v>
      </c>
      <c r="D2444" t="s">
        <v>42</v>
      </c>
      <c r="E2444" t="s">
        <v>43</v>
      </c>
      <c r="F2444" t="s">
        <v>44</v>
      </c>
      <c r="G2444" s="6">
        <v>2650.59</v>
      </c>
      <c r="H2444" s="7">
        <v>0</v>
      </c>
      <c r="I2444" s="6">
        <v>0</v>
      </c>
      <c r="J2444" s="6">
        <v>2650.59</v>
      </c>
      <c r="K2444" t="s">
        <v>4940</v>
      </c>
      <c r="L2444" t="s">
        <v>4941</v>
      </c>
    </row>
    <row r="2445" spans="1:13" ht="15" customHeight="1" x14ac:dyDescent="0.25">
      <c r="A2445">
        <v>2444</v>
      </c>
      <c r="B2445" s="5">
        <v>45672</v>
      </c>
      <c r="C2445" t="s">
        <v>47</v>
      </c>
      <c r="D2445" t="s">
        <v>172</v>
      </c>
      <c r="E2445" t="s">
        <v>173</v>
      </c>
      <c r="F2445" t="s">
        <v>76</v>
      </c>
      <c r="G2445" s="6">
        <v>3234.17</v>
      </c>
      <c r="H2445" s="7">
        <v>0.2</v>
      </c>
      <c r="I2445" s="6">
        <v>646.83000000000004</v>
      </c>
      <c r="J2445" s="6">
        <v>3881</v>
      </c>
      <c r="K2445" t="s">
        <v>4942</v>
      </c>
      <c r="L2445" t="s">
        <v>4943</v>
      </c>
    </row>
    <row r="2446" spans="1:13" ht="15" customHeight="1" x14ac:dyDescent="0.25">
      <c r="A2446">
        <v>2445</v>
      </c>
      <c r="B2446" s="5">
        <v>45726</v>
      </c>
      <c r="C2446" t="s">
        <v>27</v>
      </c>
      <c r="D2446" t="s">
        <v>42</v>
      </c>
      <c r="E2446" t="s">
        <v>43</v>
      </c>
      <c r="F2446" t="s">
        <v>44</v>
      </c>
      <c r="G2446" s="6">
        <v>2316.4899999999998</v>
      </c>
      <c r="H2446" s="7">
        <v>0</v>
      </c>
      <c r="I2446" s="6">
        <v>0</v>
      </c>
      <c r="J2446" s="6">
        <v>2316.4899999999998</v>
      </c>
      <c r="K2446" t="s">
        <v>4944</v>
      </c>
      <c r="L2446" t="s">
        <v>4945</v>
      </c>
    </row>
    <row r="2447" spans="1:13" ht="15" customHeight="1" x14ac:dyDescent="0.25">
      <c r="A2447">
        <v>2446</v>
      </c>
      <c r="B2447" s="5">
        <v>46003</v>
      </c>
      <c r="C2447" t="s">
        <v>47</v>
      </c>
      <c r="D2447" t="s">
        <v>172</v>
      </c>
      <c r="E2447" t="s">
        <v>173</v>
      </c>
      <c r="F2447" t="s">
        <v>71</v>
      </c>
      <c r="G2447" s="6">
        <v>1426.6</v>
      </c>
      <c r="H2447" s="7">
        <v>0.2</v>
      </c>
      <c r="I2447" s="6">
        <v>285.32</v>
      </c>
      <c r="J2447" s="6">
        <v>1711.92</v>
      </c>
      <c r="K2447" t="s">
        <v>4946</v>
      </c>
      <c r="L2447" t="s">
        <v>4947</v>
      </c>
    </row>
    <row r="2448" spans="1:13" ht="15" customHeight="1" x14ac:dyDescent="0.25">
      <c r="A2448">
        <v>2447</v>
      </c>
      <c r="B2448" s="5">
        <v>46006</v>
      </c>
      <c r="C2448" t="s">
        <v>27</v>
      </c>
      <c r="D2448" t="s">
        <v>100</v>
      </c>
      <c r="E2448" t="s">
        <v>101</v>
      </c>
      <c r="F2448" t="s">
        <v>44</v>
      </c>
      <c r="G2448" s="6">
        <v>3870.56</v>
      </c>
      <c r="H2448" s="7">
        <v>0</v>
      </c>
      <c r="I2448" s="6">
        <v>0</v>
      </c>
      <c r="J2448" s="6">
        <v>3870.56</v>
      </c>
      <c r="K2448" t="s">
        <v>4948</v>
      </c>
      <c r="L2448" t="s">
        <v>4949</v>
      </c>
    </row>
    <row r="2449" spans="1:12" ht="15" customHeight="1" x14ac:dyDescent="0.25">
      <c r="A2449">
        <v>2448</v>
      </c>
      <c r="B2449" s="5">
        <v>45841</v>
      </c>
      <c r="C2449" t="s">
        <v>33</v>
      </c>
      <c r="D2449" t="s">
        <v>42</v>
      </c>
      <c r="E2449" t="s">
        <v>43</v>
      </c>
      <c r="F2449" t="s">
        <v>44</v>
      </c>
      <c r="G2449" s="6">
        <v>3659.09</v>
      </c>
      <c r="H2449" s="7">
        <v>0</v>
      </c>
      <c r="I2449" s="6">
        <v>0</v>
      </c>
      <c r="J2449" s="6">
        <v>3659.09</v>
      </c>
      <c r="K2449" t="s">
        <v>4950</v>
      </c>
      <c r="L2449" t="s">
        <v>4951</v>
      </c>
    </row>
    <row r="2450" spans="1:12" ht="15" customHeight="1" x14ac:dyDescent="0.25">
      <c r="A2450">
        <v>2449</v>
      </c>
      <c r="B2450" s="5">
        <v>45869</v>
      </c>
      <c r="C2450" t="s">
        <v>27</v>
      </c>
      <c r="D2450" t="s">
        <v>28</v>
      </c>
      <c r="E2450" t="s">
        <v>29</v>
      </c>
      <c r="F2450" t="s">
        <v>81</v>
      </c>
      <c r="G2450" s="6">
        <v>3308.28</v>
      </c>
      <c r="H2450" s="7">
        <v>2.1000000000000001E-2</v>
      </c>
      <c r="I2450" s="6">
        <v>69.47</v>
      </c>
      <c r="J2450" s="6">
        <v>3377.75</v>
      </c>
      <c r="K2450" t="s">
        <v>4952</v>
      </c>
      <c r="L2450" t="s">
        <v>4953</v>
      </c>
    </row>
    <row r="2451" spans="1:12" ht="15" customHeight="1" x14ac:dyDescent="0.25">
      <c r="A2451">
        <v>2450</v>
      </c>
      <c r="B2451" s="5">
        <v>45749</v>
      </c>
      <c r="C2451" t="s">
        <v>33</v>
      </c>
      <c r="D2451" t="s">
        <v>94</v>
      </c>
      <c r="E2451" t="s">
        <v>95</v>
      </c>
      <c r="F2451" t="s">
        <v>44</v>
      </c>
      <c r="G2451" s="6">
        <v>573.72</v>
      </c>
      <c r="H2451" s="7">
        <v>0</v>
      </c>
      <c r="I2451" s="6">
        <v>0</v>
      </c>
      <c r="J2451" s="6">
        <v>573.72</v>
      </c>
      <c r="K2451" t="s">
        <v>4954</v>
      </c>
      <c r="L2451" t="s">
        <v>4955</v>
      </c>
    </row>
    <row r="2452" spans="1:12" ht="15" customHeight="1" x14ac:dyDescent="0.25">
      <c r="A2452">
        <v>2451</v>
      </c>
      <c r="B2452" s="5">
        <v>45706</v>
      </c>
      <c r="C2452" t="s">
        <v>27</v>
      </c>
      <c r="D2452" t="s">
        <v>28</v>
      </c>
      <c r="E2452" t="s">
        <v>29</v>
      </c>
      <c r="F2452" t="s">
        <v>84</v>
      </c>
      <c r="G2452" s="6">
        <v>4261.97</v>
      </c>
      <c r="H2452" s="7">
        <v>2.1000000000000001E-2</v>
      </c>
      <c r="I2452" s="6">
        <v>89.5</v>
      </c>
      <c r="J2452" s="6">
        <v>4351.47</v>
      </c>
      <c r="K2452" t="s">
        <v>4956</v>
      </c>
      <c r="L2452" t="s">
        <v>4957</v>
      </c>
    </row>
    <row r="2453" spans="1:12" ht="15" customHeight="1" x14ac:dyDescent="0.25">
      <c r="A2453">
        <v>2452</v>
      </c>
      <c r="B2453" s="5">
        <v>45866</v>
      </c>
      <c r="C2453" t="s">
        <v>27</v>
      </c>
      <c r="D2453" t="s">
        <v>63</v>
      </c>
      <c r="E2453" t="s">
        <v>64</v>
      </c>
      <c r="F2453" t="s">
        <v>76</v>
      </c>
      <c r="G2453" s="6">
        <v>1765.3</v>
      </c>
      <c r="H2453" s="7">
        <v>0.2</v>
      </c>
      <c r="I2453" s="6">
        <v>353.06</v>
      </c>
      <c r="J2453" s="6">
        <v>2118.36</v>
      </c>
      <c r="K2453" t="s">
        <v>4958</v>
      </c>
      <c r="L2453" t="s">
        <v>4959</v>
      </c>
    </row>
    <row r="2454" spans="1:12" ht="15" customHeight="1" x14ac:dyDescent="0.25">
      <c r="A2454">
        <v>2453</v>
      </c>
      <c r="B2454" s="5">
        <v>45817</v>
      </c>
      <c r="C2454" t="s">
        <v>47</v>
      </c>
      <c r="D2454" t="s">
        <v>28</v>
      </c>
      <c r="E2454" t="s">
        <v>29</v>
      </c>
      <c r="F2454" t="s">
        <v>81</v>
      </c>
      <c r="G2454" s="6">
        <v>1649.79</v>
      </c>
      <c r="H2454" s="7">
        <v>2.1000000000000001E-2</v>
      </c>
      <c r="I2454" s="6">
        <v>34.65</v>
      </c>
      <c r="J2454" s="6">
        <v>1684.44</v>
      </c>
      <c r="K2454" t="s">
        <v>4960</v>
      </c>
      <c r="L2454" t="s">
        <v>4961</v>
      </c>
    </row>
    <row r="2455" spans="1:12" ht="15" customHeight="1" x14ac:dyDescent="0.25">
      <c r="A2455">
        <v>2454</v>
      </c>
      <c r="B2455" s="5">
        <v>45791</v>
      </c>
      <c r="C2455" t="s">
        <v>47</v>
      </c>
      <c r="D2455" t="s">
        <v>79</v>
      </c>
      <c r="E2455" t="s">
        <v>80</v>
      </c>
      <c r="F2455" t="s">
        <v>71</v>
      </c>
      <c r="G2455" s="6">
        <v>1854.31</v>
      </c>
      <c r="H2455" s="7">
        <v>0.2</v>
      </c>
      <c r="I2455" s="6">
        <v>370.86</v>
      </c>
      <c r="J2455" s="6">
        <v>2225.17</v>
      </c>
      <c r="K2455" t="s">
        <v>4962</v>
      </c>
      <c r="L2455" t="s">
        <v>4963</v>
      </c>
    </row>
    <row r="2456" spans="1:12" ht="15" customHeight="1" x14ac:dyDescent="0.25">
      <c r="A2456">
        <v>2455</v>
      </c>
      <c r="B2456" s="5">
        <v>45831</v>
      </c>
      <c r="C2456" t="s">
        <v>27</v>
      </c>
      <c r="D2456" t="s">
        <v>181</v>
      </c>
      <c r="E2456" t="s">
        <v>182</v>
      </c>
      <c r="F2456" t="s">
        <v>87</v>
      </c>
      <c r="G2456" s="6">
        <v>2076.64</v>
      </c>
      <c r="H2456" s="7">
        <v>0.2</v>
      </c>
      <c r="I2456" s="6">
        <v>415.33</v>
      </c>
      <c r="J2456" s="6">
        <v>2491.9699999999998</v>
      </c>
      <c r="K2456" t="s">
        <v>4964</v>
      </c>
      <c r="L2456" t="s">
        <v>4965</v>
      </c>
    </row>
    <row r="2457" spans="1:12" ht="15" customHeight="1" x14ac:dyDescent="0.25">
      <c r="A2457">
        <v>2456</v>
      </c>
      <c r="B2457" s="5">
        <v>45968</v>
      </c>
      <c r="C2457" t="s">
        <v>47</v>
      </c>
      <c r="D2457" t="s">
        <v>28</v>
      </c>
      <c r="E2457" t="s">
        <v>29</v>
      </c>
      <c r="F2457" t="s">
        <v>106</v>
      </c>
      <c r="G2457" s="6">
        <v>349.18</v>
      </c>
      <c r="H2457" s="7">
        <v>2.1000000000000001E-2</v>
      </c>
      <c r="I2457" s="6">
        <v>7.33</v>
      </c>
      <c r="J2457" s="6">
        <v>356.51</v>
      </c>
      <c r="K2457" t="s">
        <v>4966</v>
      </c>
      <c r="L2457" t="s">
        <v>4967</v>
      </c>
    </row>
    <row r="2458" spans="1:12" ht="15" customHeight="1" x14ac:dyDescent="0.25">
      <c r="A2458">
        <v>2457</v>
      </c>
      <c r="B2458" s="5">
        <v>45744</v>
      </c>
      <c r="C2458" t="s">
        <v>27</v>
      </c>
      <c r="D2458" t="s">
        <v>63</v>
      </c>
      <c r="E2458" t="s">
        <v>64</v>
      </c>
      <c r="F2458" t="s">
        <v>106</v>
      </c>
      <c r="G2458" s="6">
        <v>87.64</v>
      </c>
      <c r="H2458" s="7">
        <v>0.2</v>
      </c>
      <c r="I2458" s="6">
        <v>17.53</v>
      </c>
      <c r="J2458" s="6">
        <v>105.17</v>
      </c>
      <c r="K2458" t="s">
        <v>4968</v>
      </c>
      <c r="L2458" t="s">
        <v>4969</v>
      </c>
    </row>
    <row r="2459" spans="1:12" ht="15" customHeight="1" x14ac:dyDescent="0.25">
      <c r="A2459">
        <v>2458</v>
      </c>
      <c r="B2459" s="5">
        <v>45814</v>
      </c>
      <c r="C2459" t="s">
        <v>33</v>
      </c>
      <c r="D2459" t="s">
        <v>55</v>
      </c>
      <c r="E2459" t="s">
        <v>56</v>
      </c>
      <c r="F2459" t="s">
        <v>84</v>
      </c>
      <c r="G2459" s="6">
        <v>202.23</v>
      </c>
      <c r="H2459" s="7">
        <v>5.5E-2</v>
      </c>
      <c r="I2459" s="6">
        <v>11.12</v>
      </c>
      <c r="J2459" s="6">
        <v>213.35</v>
      </c>
      <c r="K2459" t="s">
        <v>4970</v>
      </c>
      <c r="L2459" t="s">
        <v>4971</v>
      </c>
    </row>
    <row r="2460" spans="1:12" ht="15" customHeight="1" x14ac:dyDescent="0.25">
      <c r="A2460">
        <v>2459</v>
      </c>
      <c r="B2460" s="5">
        <v>45754</v>
      </c>
      <c r="C2460" t="s">
        <v>47</v>
      </c>
      <c r="D2460" t="s">
        <v>42</v>
      </c>
      <c r="E2460" t="s">
        <v>43</v>
      </c>
      <c r="F2460" t="s">
        <v>44</v>
      </c>
      <c r="G2460" s="6">
        <v>2995.68</v>
      </c>
      <c r="H2460" s="7">
        <v>0</v>
      </c>
      <c r="I2460" s="6">
        <v>0</v>
      </c>
      <c r="J2460" s="6">
        <v>2995.68</v>
      </c>
      <c r="K2460" t="s">
        <v>4972</v>
      </c>
      <c r="L2460" t="s">
        <v>4973</v>
      </c>
    </row>
    <row r="2461" spans="1:12" ht="15" customHeight="1" x14ac:dyDescent="0.25">
      <c r="A2461">
        <v>2460</v>
      </c>
      <c r="B2461" s="5">
        <v>45707</v>
      </c>
      <c r="C2461" t="s">
        <v>33</v>
      </c>
      <c r="D2461" t="s">
        <v>94</v>
      </c>
      <c r="E2461" t="s">
        <v>95</v>
      </c>
      <c r="F2461" t="s">
        <v>44</v>
      </c>
      <c r="G2461" s="6">
        <v>2781.54</v>
      </c>
      <c r="H2461" s="7">
        <v>0</v>
      </c>
      <c r="I2461" s="6">
        <v>0</v>
      </c>
      <c r="J2461" s="6">
        <v>2781.54</v>
      </c>
      <c r="K2461" t="s">
        <v>4974</v>
      </c>
      <c r="L2461" t="s">
        <v>4975</v>
      </c>
    </row>
    <row r="2462" spans="1:12" ht="15" customHeight="1" x14ac:dyDescent="0.25">
      <c r="A2462">
        <v>2461</v>
      </c>
      <c r="B2462" s="5">
        <v>45883</v>
      </c>
      <c r="C2462" t="s">
        <v>47</v>
      </c>
      <c r="D2462" t="s">
        <v>172</v>
      </c>
      <c r="E2462" t="s">
        <v>173</v>
      </c>
      <c r="F2462" t="s">
        <v>30</v>
      </c>
      <c r="G2462" s="6">
        <v>3202.14</v>
      </c>
      <c r="H2462" s="7">
        <v>0.2</v>
      </c>
      <c r="I2462" s="6">
        <v>640.42999999999995</v>
      </c>
      <c r="J2462" s="6">
        <v>3842.57</v>
      </c>
      <c r="K2462" t="s">
        <v>4976</v>
      </c>
      <c r="L2462" t="s">
        <v>4977</v>
      </c>
    </row>
    <row r="2463" spans="1:12" ht="15" customHeight="1" x14ac:dyDescent="0.25">
      <c r="A2463">
        <v>2462</v>
      </c>
      <c r="B2463" s="5">
        <v>45673</v>
      </c>
      <c r="C2463" t="s">
        <v>33</v>
      </c>
      <c r="D2463" t="s">
        <v>42</v>
      </c>
      <c r="E2463" t="s">
        <v>43</v>
      </c>
      <c r="F2463" t="s">
        <v>44</v>
      </c>
      <c r="G2463" s="6">
        <v>4044.7</v>
      </c>
      <c r="H2463" s="7">
        <v>0</v>
      </c>
      <c r="I2463" s="6">
        <v>0</v>
      </c>
      <c r="J2463" s="6">
        <v>4044.7</v>
      </c>
      <c r="K2463" t="s">
        <v>4978</v>
      </c>
      <c r="L2463" t="s">
        <v>4979</v>
      </c>
    </row>
    <row r="2464" spans="1:12" ht="15" customHeight="1" x14ac:dyDescent="0.25">
      <c r="A2464">
        <v>2463</v>
      </c>
      <c r="B2464" s="5">
        <v>45817</v>
      </c>
      <c r="C2464" t="s">
        <v>33</v>
      </c>
      <c r="D2464" t="s">
        <v>42</v>
      </c>
      <c r="E2464" t="s">
        <v>43</v>
      </c>
      <c r="F2464" t="s">
        <v>44</v>
      </c>
      <c r="G2464" s="6">
        <v>2058.66</v>
      </c>
      <c r="H2464" s="7">
        <v>0</v>
      </c>
      <c r="I2464" s="6">
        <v>0</v>
      </c>
      <c r="J2464" s="6">
        <v>2058.66</v>
      </c>
      <c r="K2464" t="s">
        <v>4980</v>
      </c>
      <c r="L2464" t="s">
        <v>4981</v>
      </c>
    </row>
    <row r="2465" spans="1:13" ht="15" customHeight="1" x14ac:dyDescent="0.25">
      <c r="A2465">
        <v>2464</v>
      </c>
      <c r="B2465" s="5">
        <v>45743</v>
      </c>
      <c r="C2465" t="s">
        <v>33</v>
      </c>
      <c r="D2465" t="s">
        <v>172</v>
      </c>
      <c r="E2465" t="s">
        <v>173</v>
      </c>
      <c r="F2465" t="s">
        <v>76</v>
      </c>
      <c r="G2465" s="6">
        <v>4059.02</v>
      </c>
      <c r="H2465" s="7">
        <v>0.2</v>
      </c>
      <c r="I2465" s="6">
        <v>811.8</v>
      </c>
      <c r="J2465" s="6">
        <v>4870.82</v>
      </c>
      <c r="K2465" t="s">
        <v>4982</v>
      </c>
      <c r="L2465" t="s">
        <v>4983</v>
      </c>
    </row>
    <row r="2466" spans="1:13" ht="15" customHeight="1" x14ac:dyDescent="0.25">
      <c r="A2466">
        <v>2465</v>
      </c>
      <c r="B2466" s="5">
        <v>45971</v>
      </c>
      <c r="C2466" t="s">
        <v>27</v>
      </c>
      <c r="D2466" t="s">
        <v>28</v>
      </c>
      <c r="E2466" t="s">
        <v>29</v>
      </c>
      <c r="F2466" t="s">
        <v>76</v>
      </c>
      <c r="G2466" s="6">
        <v>4146.3999999999996</v>
      </c>
      <c r="H2466" s="7">
        <v>2.1000000000000001E-2</v>
      </c>
      <c r="I2466" s="6">
        <v>87.07</v>
      </c>
      <c r="J2466" s="6">
        <v>4233.47</v>
      </c>
      <c r="K2466" t="s">
        <v>4984</v>
      </c>
      <c r="L2466" t="s">
        <v>4985</v>
      </c>
    </row>
    <row r="2467" spans="1:13" ht="15" customHeight="1" x14ac:dyDescent="0.25">
      <c r="A2467">
        <v>2466</v>
      </c>
      <c r="B2467" s="5">
        <v>45887</v>
      </c>
      <c r="C2467" t="s">
        <v>27</v>
      </c>
      <c r="D2467" t="s">
        <v>42</v>
      </c>
      <c r="E2467" t="s">
        <v>43</v>
      </c>
      <c r="F2467" t="s">
        <v>44</v>
      </c>
      <c r="G2467" s="6">
        <v>13000</v>
      </c>
      <c r="H2467" s="7">
        <v>0</v>
      </c>
      <c r="I2467" s="6">
        <v>0</v>
      </c>
      <c r="J2467" s="6">
        <v>13000</v>
      </c>
      <c r="K2467" t="s">
        <v>4986</v>
      </c>
      <c r="L2467" t="s">
        <v>4987</v>
      </c>
      <c r="M2467" t="s">
        <v>143</v>
      </c>
    </row>
    <row r="2468" spans="1:13" ht="15" customHeight="1" x14ac:dyDescent="0.25">
      <c r="A2468">
        <v>2467</v>
      </c>
      <c r="B2468" s="5">
        <v>45730</v>
      </c>
      <c r="C2468" t="s">
        <v>47</v>
      </c>
      <c r="D2468" t="s">
        <v>55</v>
      </c>
      <c r="E2468" t="s">
        <v>56</v>
      </c>
      <c r="F2468" t="s">
        <v>76</v>
      </c>
      <c r="G2468" s="6">
        <v>1138.3699999999999</v>
      </c>
      <c r="H2468" s="7">
        <v>5.5E-2</v>
      </c>
      <c r="I2468" s="6">
        <v>62.61</v>
      </c>
      <c r="J2468" s="6">
        <v>1200.98</v>
      </c>
      <c r="K2468" t="s">
        <v>4988</v>
      </c>
      <c r="L2468" t="s">
        <v>4989</v>
      </c>
    </row>
    <row r="2469" spans="1:13" ht="15" customHeight="1" x14ac:dyDescent="0.25">
      <c r="A2469">
        <v>2468</v>
      </c>
      <c r="B2469" s="5">
        <v>45688</v>
      </c>
      <c r="C2469" t="s">
        <v>47</v>
      </c>
      <c r="D2469" t="s">
        <v>28</v>
      </c>
      <c r="E2469" t="s">
        <v>29</v>
      </c>
      <c r="F2469" t="s">
        <v>76</v>
      </c>
      <c r="G2469" s="6">
        <v>4131.42</v>
      </c>
      <c r="H2469" s="7">
        <v>2.1000000000000001E-2</v>
      </c>
      <c r="I2469" s="6">
        <v>86.76</v>
      </c>
      <c r="J2469" s="6">
        <v>4218.18</v>
      </c>
      <c r="K2469" t="s">
        <v>4990</v>
      </c>
      <c r="L2469" t="s">
        <v>4991</v>
      </c>
    </row>
    <row r="2470" spans="1:13" ht="15" customHeight="1" x14ac:dyDescent="0.25">
      <c r="A2470">
        <v>2469</v>
      </c>
      <c r="B2470" s="5">
        <v>45960</v>
      </c>
      <c r="C2470" t="s">
        <v>27</v>
      </c>
      <c r="D2470" t="s">
        <v>42</v>
      </c>
      <c r="E2470" t="s">
        <v>43</v>
      </c>
      <c r="F2470" t="s">
        <v>44</v>
      </c>
      <c r="G2470" s="6">
        <v>3047.63</v>
      </c>
      <c r="H2470" s="7">
        <v>0</v>
      </c>
      <c r="I2470" s="6">
        <v>0</v>
      </c>
      <c r="J2470" s="6">
        <v>3047.63</v>
      </c>
      <c r="K2470" t="s">
        <v>4992</v>
      </c>
      <c r="L2470" t="s">
        <v>4993</v>
      </c>
    </row>
    <row r="2471" spans="1:13" ht="15" customHeight="1" x14ac:dyDescent="0.25">
      <c r="A2471">
        <v>2470</v>
      </c>
      <c r="B2471" s="5">
        <v>45946</v>
      </c>
      <c r="C2471" t="s">
        <v>27</v>
      </c>
      <c r="D2471" t="s">
        <v>55</v>
      </c>
      <c r="E2471" t="s">
        <v>56</v>
      </c>
      <c r="F2471" t="s">
        <v>106</v>
      </c>
      <c r="G2471" s="6">
        <v>2621.88</v>
      </c>
      <c r="H2471" s="7">
        <v>5.5E-2</v>
      </c>
      <c r="I2471" s="6">
        <v>144.19999999999999</v>
      </c>
      <c r="J2471" s="6">
        <v>2766.08</v>
      </c>
      <c r="K2471" t="s">
        <v>4994</v>
      </c>
      <c r="L2471" t="s">
        <v>4995</v>
      </c>
    </row>
    <row r="2472" spans="1:13" ht="15" customHeight="1" x14ac:dyDescent="0.25">
      <c r="A2472">
        <v>2471</v>
      </c>
      <c r="B2472" s="5">
        <v>45987</v>
      </c>
      <c r="C2472" t="s">
        <v>47</v>
      </c>
      <c r="D2472" t="s">
        <v>42</v>
      </c>
      <c r="E2472" t="s">
        <v>43</v>
      </c>
      <c r="F2472" t="s">
        <v>44</v>
      </c>
      <c r="G2472" s="6">
        <v>2568.7600000000002</v>
      </c>
      <c r="H2472" s="7">
        <v>0</v>
      </c>
      <c r="I2472" s="6">
        <v>0</v>
      </c>
      <c r="J2472" s="6">
        <v>2568.7600000000002</v>
      </c>
      <c r="K2472" t="s">
        <v>4996</v>
      </c>
      <c r="L2472" t="s">
        <v>4997</v>
      </c>
    </row>
    <row r="2473" spans="1:13" ht="15" customHeight="1" x14ac:dyDescent="0.25">
      <c r="A2473">
        <v>2472</v>
      </c>
      <c r="B2473" s="5">
        <v>45978</v>
      </c>
      <c r="C2473" t="s">
        <v>33</v>
      </c>
      <c r="D2473" t="s">
        <v>55</v>
      </c>
      <c r="E2473" t="s">
        <v>56</v>
      </c>
      <c r="F2473" t="s">
        <v>36</v>
      </c>
      <c r="G2473" s="6">
        <v>1964.33</v>
      </c>
      <c r="H2473" s="7">
        <v>5.5E-2</v>
      </c>
      <c r="I2473" s="6">
        <v>108.04</v>
      </c>
      <c r="J2473" s="6">
        <v>2072.37</v>
      </c>
      <c r="K2473" t="s">
        <v>4998</v>
      </c>
      <c r="L2473" t="s">
        <v>4999</v>
      </c>
    </row>
    <row r="2474" spans="1:13" ht="15" customHeight="1" x14ac:dyDescent="0.25">
      <c r="A2474">
        <v>2473</v>
      </c>
      <c r="B2474" s="5">
        <v>45909</v>
      </c>
      <c r="C2474" t="s">
        <v>33</v>
      </c>
      <c r="D2474" t="s">
        <v>79</v>
      </c>
      <c r="E2474" t="s">
        <v>80</v>
      </c>
      <c r="F2474" t="s">
        <v>106</v>
      </c>
      <c r="G2474" s="6">
        <v>541.09</v>
      </c>
      <c r="H2474" s="7">
        <v>0.2</v>
      </c>
      <c r="I2474" s="6">
        <v>108.22</v>
      </c>
      <c r="J2474" s="6">
        <v>649.30999999999995</v>
      </c>
      <c r="K2474" t="s">
        <v>5000</v>
      </c>
      <c r="L2474" t="s">
        <v>5001</v>
      </c>
    </row>
    <row r="2475" spans="1:13" ht="15" customHeight="1" x14ac:dyDescent="0.25">
      <c r="A2475">
        <v>2474</v>
      </c>
      <c r="B2475" s="5">
        <v>45912</v>
      </c>
      <c r="C2475" t="s">
        <v>27</v>
      </c>
      <c r="D2475" t="s">
        <v>63</v>
      </c>
      <c r="E2475" t="s">
        <v>64</v>
      </c>
      <c r="F2475" t="s">
        <v>174</v>
      </c>
      <c r="G2475" s="6">
        <v>4465.91</v>
      </c>
      <c r="H2475" s="7">
        <v>0.2</v>
      </c>
      <c r="I2475" s="6">
        <v>893.18</v>
      </c>
      <c r="J2475" s="6">
        <v>5359.09</v>
      </c>
      <c r="K2475" t="s">
        <v>5002</v>
      </c>
      <c r="L2475" t="s">
        <v>5003</v>
      </c>
    </row>
    <row r="2476" spans="1:13" ht="15" customHeight="1" x14ac:dyDescent="0.25">
      <c r="A2476">
        <v>2475</v>
      </c>
      <c r="B2476" s="5">
        <v>45679</v>
      </c>
      <c r="C2476" t="s">
        <v>27</v>
      </c>
      <c r="D2476" t="s">
        <v>42</v>
      </c>
      <c r="E2476" t="s">
        <v>43</v>
      </c>
      <c r="F2476" t="s">
        <v>44</v>
      </c>
      <c r="G2476" s="6">
        <v>2014.05</v>
      </c>
      <c r="H2476" s="7">
        <v>0</v>
      </c>
      <c r="I2476" s="6">
        <v>0</v>
      </c>
      <c r="J2476" s="6">
        <v>2014.05</v>
      </c>
      <c r="K2476" t="s">
        <v>5004</v>
      </c>
      <c r="L2476" t="s">
        <v>5005</v>
      </c>
    </row>
    <row r="2477" spans="1:13" ht="15" customHeight="1" x14ac:dyDescent="0.25">
      <c r="A2477">
        <v>2476</v>
      </c>
      <c r="B2477" s="5">
        <v>45986</v>
      </c>
      <c r="C2477" t="s">
        <v>27</v>
      </c>
      <c r="D2477" t="s">
        <v>100</v>
      </c>
      <c r="E2477" t="s">
        <v>101</v>
      </c>
      <c r="F2477" t="s">
        <v>44</v>
      </c>
      <c r="G2477" s="6">
        <v>1915.09</v>
      </c>
      <c r="H2477" s="7">
        <v>0</v>
      </c>
      <c r="I2477" s="6">
        <v>0</v>
      </c>
      <c r="J2477" s="6">
        <v>1915.09</v>
      </c>
      <c r="K2477" t="s">
        <v>5006</v>
      </c>
      <c r="L2477" t="s">
        <v>5007</v>
      </c>
    </row>
    <row r="2478" spans="1:13" ht="15" customHeight="1" x14ac:dyDescent="0.25">
      <c r="A2478">
        <v>2477</v>
      </c>
      <c r="B2478" s="5">
        <v>45855</v>
      </c>
      <c r="C2478" t="s">
        <v>33</v>
      </c>
      <c r="D2478" t="s">
        <v>94</v>
      </c>
      <c r="E2478" t="s">
        <v>95</v>
      </c>
      <c r="F2478" t="s">
        <v>44</v>
      </c>
      <c r="G2478" s="6">
        <v>2910.47</v>
      </c>
      <c r="H2478" s="7">
        <v>0</v>
      </c>
      <c r="I2478" s="6">
        <v>0</v>
      </c>
      <c r="J2478" s="6">
        <v>2910.47</v>
      </c>
      <c r="K2478" t="s">
        <v>5008</v>
      </c>
      <c r="L2478" t="s">
        <v>5009</v>
      </c>
    </row>
    <row r="2479" spans="1:13" ht="15" customHeight="1" x14ac:dyDescent="0.25">
      <c r="A2479">
        <v>2478</v>
      </c>
      <c r="B2479" s="5">
        <v>45918</v>
      </c>
      <c r="C2479" t="s">
        <v>27</v>
      </c>
      <c r="D2479" t="s">
        <v>100</v>
      </c>
      <c r="E2479" t="s">
        <v>101</v>
      </c>
      <c r="F2479" t="s">
        <v>44</v>
      </c>
      <c r="G2479" s="6">
        <v>2227.9</v>
      </c>
      <c r="H2479" s="7">
        <v>0</v>
      </c>
      <c r="I2479" s="6">
        <v>0</v>
      </c>
      <c r="J2479" s="6">
        <v>2227.9</v>
      </c>
      <c r="K2479" t="s">
        <v>5010</v>
      </c>
      <c r="L2479" t="s">
        <v>5011</v>
      </c>
    </row>
    <row r="2480" spans="1:13" ht="15" customHeight="1" x14ac:dyDescent="0.25">
      <c r="A2480">
        <v>2479</v>
      </c>
      <c r="B2480" s="5">
        <v>45708</v>
      </c>
      <c r="C2480" t="s">
        <v>27</v>
      </c>
      <c r="D2480" t="s">
        <v>42</v>
      </c>
      <c r="E2480" t="s">
        <v>43</v>
      </c>
      <c r="F2480" t="s">
        <v>44</v>
      </c>
      <c r="G2480" s="6">
        <v>2245.69</v>
      </c>
      <c r="H2480" s="7">
        <v>0</v>
      </c>
      <c r="I2480" s="6">
        <v>0</v>
      </c>
      <c r="J2480" s="6">
        <v>2245.69</v>
      </c>
      <c r="K2480" t="s">
        <v>5012</v>
      </c>
      <c r="L2480" t="s">
        <v>5013</v>
      </c>
    </row>
    <row r="2481" spans="1:12" ht="15" customHeight="1" x14ac:dyDescent="0.25">
      <c r="A2481">
        <v>2480</v>
      </c>
      <c r="B2481" s="5">
        <v>45762</v>
      </c>
      <c r="C2481" t="s">
        <v>27</v>
      </c>
      <c r="D2481" t="s">
        <v>55</v>
      </c>
      <c r="E2481" t="s">
        <v>56</v>
      </c>
      <c r="F2481" t="s">
        <v>84</v>
      </c>
      <c r="G2481" s="6">
        <v>2269.12</v>
      </c>
      <c r="H2481" s="7">
        <v>5.5E-2</v>
      </c>
      <c r="I2481" s="6">
        <v>124.8</v>
      </c>
      <c r="J2481" s="6">
        <v>2393.92</v>
      </c>
      <c r="K2481" t="s">
        <v>5014</v>
      </c>
      <c r="L2481" t="s">
        <v>5015</v>
      </c>
    </row>
    <row r="2482" spans="1:12" ht="15" customHeight="1" x14ac:dyDescent="0.25">
      <c r="A2482">
        <v>2481</v>
      </c>
      <c r="B2482" s="5">
        <v>45853</v>
      </c>
      <c r="C2482" t="s">
        <v>27</v>
      </c>
      <c r="D2482" t="s">
        <v>28</v>
      </c>
      <c r="E2482" t="s">
        <v>29</v>
      </c>
      <c r="F2482" t="s">
        <v>81</v>
      </c>
      <c r="G2482" s="6">
        <v>990.65</v>
      </c>
      <c r="H2482" s="7">
        <v>2.1000000000000001E-2</v>
      </c>
      <c r="I2482" s="6">
        <v>20.8</v>
      </c>
      <c r="J2482" s="6">
        <v>1011.45</v>
      </c>
      <c r="K2482" t="s">
        <v>5016</v>
      </c>
      <c r="L2482" t="s">
        <v>5017</v>
      </c>
    </row>
    <row r="2483" spans="1:12" ht="15" customHeight="1" x14ac:dyDescent="0.25">
      <c r="A2483">
        <v>2482</v>
      </c>
      <c r="B2483" s="5">
        <v>45995</v>
      </c>
      <c r="C2483" t="s">
        <v>47</v>
      </c>
      <c r="D2483" t="s">
        <v>28</v>
      </c>
      <c r="E2483" t="s">
        <v>29</v>
      </c>
      <c r="F2483" t="s">
        <v>50</v>
      </c>
      <c r="G2483" s="6">
        <v>3676.28</v>
      </c>
      <c r="H2483" s="7">
        <v>2.1000000000000001E-2</v>
      </c>
      <c r="I2483" s="6">
        <v>77.2</v>
      </c>
      <c r="J2483" s="6">
        <v>3753.48</v>
      </c>
      <c r="K2483" t="s">
        <v>5018</v>
      </c>
      <c r="L2483" t="s">
        <v>5019</v>
      </c>
    </row>
    <row r="2484" spans="1:12" ht="15" customHeight="1" x14ac:dyDescent="0.25">
      <c r="A2484">
        <v>2483</v>
      </c>
      <c r="B2484" s="5">
        <v>45848</v>
      </c>
      <c r="C2484" t="s">
        <v>47</v>
      </c>
      <c r="D2484" t="s">
        <v>42</v>
      </c>
      <c r="E2484" t="s">
        <v>43</v>
      </c>
      <c r="F2484" t="s">
        <v>44</v>
      </c>
      <c r="G2484" s="6">
        <v>2764.7</v>
      </c>
      <c r="H2484" s="7">
        <v>0</v>
      </c>
      <c r="I2484" s="6">
        <v>0</v>
      </c>
      <c r="J2484" s="6">
        <v>2764.7</v>
      </c>
      <c r="K2484" t="s">
        <v>5020</v>
      </c>
      <c r="L2484" t="s">
        <v>5021</v>
      </c>
    </row>
    <row r="2485" spans="1:12" ht="15" customHeight="1" x14ac:dyDescent="0.25">
      <c r="A2485">
        <v>2484</v>
      </c>
      <c r="B2485" s="5">
        <v>46000</v>
      </c>
      <c r="C2485" t="s">
        <v>33</v>
      </c>
      <c r="D2485" t="s">
        <v>172</v>
      </c>
      <c r="E2485" t="s">
        <v>173</v>
      </c>
      <c r="F2485" t="s">
        <v>36</v>
      </c>
      <c r="G2485" s="6">
        <v>1221.18</v>
      </c>
      <c r="H2485" s="7">
        <v>0.2</v>
      </c>
      <c r="I2485" s="6">
        <v>244.24</v>
      </c>
      <c r="J2485" s="6">
        <v>1465.42</v>
      </c>
      <c r="K2485" t="s">
        <v>5022</v>
      </c>
      <c r="L2485" t="s">
        <v>5023</v>
      </c>
    </row>
    <row r="2486" spans="1:12" ht="15" customHeight="1" x14ac:dyDescent="0.25">
      <c r="A2486">
        <v>2485</v>
      </c>
      <c r="B2486" s="5">
        <v>45978</v>
      </c>
      <c r="C2486" t="s">
        <v>27</v>
      </c>
      <c r="D2486" t="s">
        <v>42</v>
      </c>
      <c r="E2486" t="s">
        <v>43</v>
      </c>
      <c r="F2486" t="s">
        <v>44</v>
      </c>
      <c r="G2486" s="6">
        <v>4056.65</v>
      </c>
      <c r="H2486" s="7">
        <v>0</v>
      </c>
      <c r="I2486" s="6">
        <v>0</v>
      </c>
      <c r="J2486" s="6">
        <v>4056.65</v>
      </c>
      <c r="K2486" t="s">
        <v>5024</v>
      </c>
      <c r="L2486" t="s">
        <v>5025</v>
      </c>
    </row>
    <row r="2487" spans="1:12" ht="15" customHeight="1" x14ac:dyDescent="0.25">
      <c r="A2487">
        <v>2486</v>
      </c>
      <c r="B2487" s="5">
        <v>45867</v>
      </c>
      <c r="C2487" t="s">
        <v>27</v>
      </c>
      <c r="D2487" t="s">
        <v>100</v>
      </c>
      <c r="E2487" t="s">
        <v>101</v>
      </c>
      <c r="F2487" t="s">
        <v>44</v>
      </c>
      <c r="G2487" s="6">
        <v>2798.13</v>
      </c>
      <c r="H2487" s="7">
        <v>0</v>
      </c>
      <c r="I2487" s="6">
        <v>0</v>
      </c>
      <c r="J2487" s="6">
        <v>2798.13</v>
      </c>
      <c r="K2487" t="s">
        <v>5026</v>
      </c>
      <c r="L2487" t="s">
        <v>5027</v>
      </c>
    </row>
    <row r="2488" spans="1:12" ht="15" customHeight="1" x14ac:dyDescent="0.25">
      <c r="A2488">
        <v>2487</v>
      </c>
      <c r="B2488" s="5">
        <v>45755</v>
      </c>
      <c r="C2488" t="s">
        <v>47</v>
      </c>
      <c r="D2488" t="s">
        <v>55</v>
      </c>
      <c r="E2488" t="s">
        <v>56</v>
      </c>
      <c r="F2488" t="s">
        <v>76</v>
      </c>
      <c r="G2488" s="6">
        <v>3689.92</v>
      </c>
      <c r="H2488" s="7">
        <v>5.5E-2</v>
      </c>
      <c r="I2488" s="6">
        <v>202.95</v>
      </c>
      <c r="J2488" s="6">
        <v>3892.87</v>
      </c>
      <c r="K2488" t="s">
        <v>5028</v>
      </c>
      <c r="L2488" t="s">
        <v>5029</v>
      </c>
    </row>
    <row r="2489" spans="1:12" ht="15" customHeight="1" x14ac:dyDescent="0.25">
      <c r="A2489">
        <v>2488</v>
      </c>
      <c r="B2489" s="5">
        <v>45860</v>
      </c>
      <c r="C2489" t="s">
        <v>27</v>
      </c>
      <c r="D2489" t="s">
        <v>28</v>
      </c>
      <c r="E2489" t="s">
        <v>29</v>
      </c>
      <c r="F2489" t="s">
        <v>76</v>
      </c>
      <c r="G2489" s="6">
        <v>264.75</v>
      </c>
      <c r="H2489" s="7">
        <v>2.1000000000000001E-2</v>
      </c>
      <c r="I2489" s="6">
        <v>5.56</v>
      </c>
      <c r="J2489" s="6">
        <v>270.31</v>
      </c>
      <c r="K2489" t="s">
        <v>5030</v>
      </c>
      <c r="L2489" t="s">
        <v>5031</v>
      </c>
    </row>
    <row r="2490" spans="1:12" ht="15" customHeight="1" x14ac:dyDescent="0.25">
      <c r="A2490">
        <v>2489</v>
      </c>
      <c r="B2490" s="5">
        <v>45694</v>
      </c>
      <c r="C2490" t="s">
        <v>27</v>
      </c>
      <c r="D2490" t="s">
        <v>34</v>
      </c>
      <c r="E2490" t="s">
        <v>35</v>
      </c>
      <c r="F2490" t="s">
        <v>87</v>
      </c>
      <c r="G2490" s="6">
        <v>2898.18</v>
      </c>
      <c r="H2490" s="7">
        <v>0.2</v>
      </c>
      <c r="I2490" s="6">
        <v>579.64</v>
      </c>
      <c r="J2490" s="6">
        <v>3477.82</v>
      </c>
      <c r="K2490" t="s">
        <v>5032</v>
      </c>
      <c r="L2490" t="s">
        <v>5033</v>
      </c>
    </row>
    <row r="2491" spans="1:12" ht="15" customHeight="1" x14ac:dyDescent="0.25">
      <c r="A2491">
        <v>2490</v>
      </c>
      <c r="B2491" s="5">
        <v>45932</v>
      </c>
      <c r="C2491" t="s">
        <v>47</v>
      </c>
      <c r="D2491" t="s">
        <v>28</v>
      </c>
      <c r="E2491" t="s">
        <v>29</v>
      </c>
      <c r="F2491" t="s">
        <v>81</v>
      </c>
      <c r="G2491" s="6">
        <v>1527.01</v>
      </c>
      <c r="H2491" s="7">
        <v>2.1000000000000001E-2</v>
      </c>
      <c r="I2491" s="6">
        <v>32.07</v>
      </c>
      <c r="J2491" s="6">
        <v>1559.08</v>
      </c>
      <c r="K2491" t="s">
        <v>5034</v>
      </c>
      <c r="L2491" t="s">
        <v>5035</v>
      </c>
    </row>
    <row r="2492" spans="1:12" ht="15" customHeight="1" x14ac:dyDescent="0.25">
      <c r="A2492">
        <v>2491</v>
      </c>
      <c r="B2492" s="5">
        <v>46013</v>
      </c>
      <c r="C2492" t="s">
        <v>27</v>
      </c>
      <c r="D2492" t="s">
        <v>42</v>
      </c>
      <c r="E2492" t="s">
        <v>43</v>
      </c>
      <c r="F2492" t="s">
        <v>44</v>
      </c>
      <c r="G2492" s="6">
        <v>3087.02</v>
      </c>
      <c r="H2492" s="7">
        <v>0</v>
      </c>
      <c r="I2492" s="6">
        <v>0</v>
      </c>
      <c r="J2492" s="6">
        <v>3087.02</v>
      </c>
      <c r="K2492" t="s">
        <v>5036</v>
      </c>
      <c r="L2492" t="s">
        <v>5037</v>
      </c>
    </row>
    <row r="2493" spans="1:12" ht="15" customHeight="1" x14ac:dyDescent="0.25">
      <c r="A2493">
        <v>2492</v>
      </c>
      <c r="B2493" s="5">
        <v>45719</v>
      </c>
      <c r="C2493" t="s">
        <v>27</v>
      </c>
      <c r="D2493" t="s">
        <v>55</v>
      </c>
      <c r="E2493" t="s">
        <v>56</v>
      </c>
      <c r="F2493" t="s">
        <v>71</v>
      </c>
      <c r="G2493" s="6">
        <v>1825.49</v>
      </c>
      <c r="H2493" s="7">
        <v>5.5E-2</v>
      </c>
      <c r="I2493" s="6">
        <v>100.4</v>
      </c>
      <c r="J2493" s="6">
        <v>1925.89</v>
      </c>
      <c r="K2493" t="s">
        <v>5038</v>
      </c>
      <c r="L2493" t="s">
        <v>5039</v>
      </c>
    </row>
    <row r="2494" spans="1:12" ht="15" customHeight="1" x14ac:dyDescent="0.25">
      <c r="A2494">
        <v>2493</v>
      </c>
      <c r="B2494" s="5">
        <v>45723</v>
      </c>
      <c r="C2494" t="s">
        <v>27</v>
      </c>
      <c r="D2494" t="s">
        <v>42</v>
      </c>
      <c r="E2494" t="s">
        <v>43</v>
      </c>
      <c r="F2494" t="s">
        <v>44</v>
      </c>
      <c r="G2494" s="6">
        <v>1885.67</v>
      </c>
      <c r="H2494" s="7">
        <v>0</v>
      </c>
      <c r="I2494" s="6">
        <v>0</v>
      </c>
      <c r="J2494" s="6">
        <v>1885.67</v>
      </c>
      <c r="K2494" t="s">
        <v>5040</v>
      </c>
      <c r="L2494" t="s">
        <v>5041</v>
      </c>
    </row>
    <row r="2495" spans="1:12" ht="15" customHeight="1" x14ac:dyDescent="0.25">
      <c r="A2495">
        <v>2494</v>
      </c>
      <c r="B2495" s="5">
        <v>45677</v>
      </c>
      <c r="C2495" t="s">
        <v>33</v>
      </c>
      <c r="D2495" t="s">
        <v>28</v>
      </c>
      <c r="E2495" t="s">
        <v>29</v>
      </c>
      <c r="F2495" t="s">
        <v>30</v>
      </c>
      <c r="G2495" s="6">
        <v>3762.28</v>
      </c>
      <c r="H2495" s="7">
        <v>2.1000000000000001E-2</v>
      </c>
      <c r="I2495" s="6">
        <v>79.010000000000005</v>
      </c>
      <c r="J2495" s="6">
        <v>3841.29</v>
      </c>
      <c r="K2495" t="s">
        <v>5042</v>
      </c>
      <c r="L2495" t="s">
        <v>5043</v>
      </c>
    </row>
    <row r="2496" spans="1:12" ht="15" customHeight="1" x14ac:dyDescent="0.25">
      <c r="A2496">
        <v>2495</v>
      </c>
      <c r="B2496" s="5">
        <v>45881</v>
      </c>
      <c r="C2496" t="s">
        <v>27</v>
      </c>
      <c r="D2496" t="s">
        <v>42</v>
      </c>
      <c r="E2496" t="s">
        <v>43</v>
      </c>
      <c r="F2496" t="s">
        <v>44</v>
      </c>
      <c r="G2496" s="6">
        <v>2851.46</v>
      </c>
      <c r="H2496" s="7">
        <v>0</v>
      </c>
      <c r="I2496" s="6">
        <v>0</v>
      </c>
      <c r="J2496" s="6">
        <v>2851.46</v>
      </c>
      <c r="K2496" t="s">
        <v>5044</v>
      </c>
      <c r="L2496" t="s">
        <v>5045</v>
      </c>
    </row>
    <row r="2497" spans="1:12" ht="15" customHeight="1" x14ac:dyDescent="0.25">
      <c r="A2497">
        <v>2496</v>
      </c>
      <c r="B2497" s="5">
        <v>45679</v>
      </c>
      <c r="C2497" t="s">
        <v>47</v>
      </c>
      <c r="D2497" t="s">
        <v>172</v>
      </c>
      <c r="E2497" t="s">
        <v>173</v>
      </c>
      <c r="F2497" t="s">
        <v>106</v>
      </c>
      <c r="G2497" s="6">
        <v>3009.92</v>
      </c>
      <c r="H2497" s="7">
        <v>0.2</v>
      </c>
      <c r="I2497" s="6">
        <v>601.98</v>
      </c>
      <c r="J2497" s="6">
        <v>3611.9</v>
      </c>
      <c r="K2497" t="s">
        <v>5046</v>
      </c>
      <c r="L2497" t="s">
        <v>5047</v>
      </c>
    </row>
    <row r="2498" spans="1:12" ht="15" customHeight="1" x14ac:dyDescent="0.25">
      <c r="A2498">
        <v>2497</v>
      </c>
      <c r="B2498" s="5">
        <v>45820</v>
      </c>
      <c r="C2498" t="s">
        <v>33</v>
      </c>
      <c r="D2498" t="s">
        <v>42</v>
      </c>
      <c r="E2498" t="s">
        <v>43</v>
      </c>
      <c r="F2498" t="s">
        <v>44</v>
      </c>
      <c r="G2498" s="6">
        <v>1834.11</v>
      </c>
      <c r="H2498" s="7">
        <v>0</v>
      </c>
      <c r="I2498" s="6">
        <v>0</v>
      </c>
      <c r="J2498" s="6">
        <v>1834.11</v>
      </c>
      <c r="K2498" t="s">
        <v>5048</v>
      </c>
      <c r="L2498" t="s">
        <v>5049</v>
      </c>
    </row>
    <row r="2499" spans="1:12" ht="15" customHeight="1" x14ac:dyDescent="0.25">
      <c r="A2499">
        <v>2498</v>
      </c>
      <c r="B2499" s="5">
        <v>45786</v>
      </c>
      <c r="C2499" t="s">
        <v>47</v>
      </c>
      <c r="D2499" t="s">
        <v>42</v>
      </c>
      <c r="E2499" t="s">
        <v>43</v>
      </c>
      <c r="F2499" t="s">
        <v>44</v>
      </c>
      <c r="G2499" s="6">
        <v>2640.28</v>
      </c>
      <c r="H2499" s="7">
        <v>0</v>
      </c>
      <c r="I2499" s="6">
        <v>0</v>
      </c>
      <c r="J2499" s="6">
        <v>2640.28</v>
      </c>
      <c r="K2499" t="s">
        <v>5050</v>
      </c>
      <c r="L2499" t="s">
        <v>5051</v>
      </c>
    </row>
    <row r="2500" spans="1:12" ht="15" customHeight="1" x14ac:dyDescent="0.25">
      <c r="A2500">
        <v>2499</v>
      </c>
      <c r="B2500" s="5">
        <v>45852</v>
      </c>
      <c r="C2500" t="s">
        <v>27</v>
      </c>
      <c r="D2500" t="s">
        <v>28</v>
      </c>
      <c r="E2500" t="s">
        <v>29</v>
      </c>
      <c r="F2500" t="s">
        <v>174</v>
      </c>
      <c r="G2500" s="6">
        <v>756.69</v>
      </c>
      <c r="H2500" s="7">
        <v>2.1000000000000001E-2</v>
      </c>
      <c r="I2500" s="6">
        <v>15.89</v>
      </c>
      <c r="J2500" s="6">
        <v>772.58</v>
      </c>
      <c r="K2500" t="s">
        <v>5052</v>
      </c>
      <c r="L2500" t="s">
        <v>5053</v>
      </c>
    </row>
    <row r="2501" spans="1:12" ht="15" customHeight="1" x14ac:dyDescent="0.25">
      <c r="A2501">
        <v>2500</v>
      </c>
      <c r="B2501" s="5">
        <v>45979</v>
      </c>
      <c r="C2501" t="s">
        <v>33</v>
      </c>
      <c r="D2501" t="s">
        <v>55</v>
      </c>
      <c r="E2501" t="s">
        <v>56</v>
      </c>
      <c r="F2501" t="s">
        <v>120</v>
      </c>
      <c r="G2501" s="6">
        <v>938.98</v>
      </c>
      <c r="H2501" s="7">
        <v>5.5E-2</v>
      </c>
      <c r="I2501" s="6">
        <v>51.64</v>
      </c>
      <c r="J2501" s="6">
        <v>990.62</v>
      </c>
      <c r="K2501" t="s">
        <v>5054</v>
      </c>
      <c r="L2501" t="s">
        <v>5055</v>
      </c>
    </row>
    <row r="2502" spans="1:12" ht="15" customHeight="1" x14ac:dyDescent="0.25">
      <c r="A2502">
        <v>2501</v>
      </c>
      <c r="B2502" s="5">
        <v>45883</v>
      </c>
      <c r="C2502" t="s">
        <v>47</v>
      </c>
      <c r="D2502" t="s">
        <v>28</v>
      </c>
      <c r="E2502" t="s">
        <v>29</v>
      </c>
      <c r="F2502" t="s">
        <v>71</v>
      </c>
      <c r="G2502" s="6">
        <v>386.67</v>
      </c>
      <c r="H2502" s="7">
        <v>2.1000000000000001E-2</v>
      </c>
      <c r="I2502" s="6">
        <v>8.1199999999999992</v>
      </c>
      <c r="J2502" s="6">
        <v>394.79</v>
      </c>
      <c r="K2502" t="s">
        <v>5056</v>
      </c>
      <c r="L2502" t="s">
        <v>5057</v>
      </c>
    </row>
    <row r="2503" spans="1:12" ht="15" customHeight="1" x14ac:dyDescent="0.25">
      <c r="A2503">
        <v>2502</v>
      </c>
      <c r="B2503" s="5">
        <v>45740</v>
      </c>
      <c r="C2503" t="s">
        <v>27</v>
      </c>
      <c r="D2503" t="s">
        <v>55</v>
      </c>
      <c r="E2503" t="s">
        <v>56</v>
      </c>
      <c r="F2503" t="s">
        <v>50</v>
      </c>
      <c r="G2503" s="6">
        <v>713.67</v>
      </c>
      <c r="H2503" s="7">
        <v>5.5E-2</v>
      </c>
      <c r="I2503" s="6">
        <v>39.25</v>
      </c>
      <c r="J2503" s="6">
        <v>752.92</v>
      </c>
      <c r="K2503" t="s">
        <v>5058</v>
      </c>
      <c r="L2503" t="s">
        <v>5059</v>
      </c>
    </row>
    <row r="2504" spans="1:12" ht="15" customHeight="1" x14ac:dyDescent="0.25">
      <c r="A2504">
        <v>2503</v>
      </c>
      <c r="B2504" s="5">
        <v>45867</v>
      </c>
      <c r="C2504" t="s">
        <v>33</v>
      </c>
      <c r="D2504" t="s">
        <v>34</v>
      </c>
      <c r="E2504" t="s">
        <v>35</v>
      </c>
      <c r="F2504" t="s">
        <v>39</v>
      </c>
      <c r="G2504" s="6">
        <v>2369.77</v>
      </c>
      <c r="H2504" s="7">
        <v>0.2</v>
      </c>
      <c r="I2504" s="6">
        <v>473.95</v>
      </c>
      <c r="J2504" s="6">
        <v>2843.72</v>
      </c>
      <c r="K2504" t="s">
        <v>5060</v>
      </c>
      <c r="L2504" t="s">
        <v>5061</v>
      </c>
    </row>
    <row r="2505" spans="1:12" ht="15" customHeight="1" x14ac:dyDescent="0.25">
      <c r="A2505">
        <v>2504</v>
      </c>
      <c r="B2505" s="5">
        <v>45847</v>
      </c>
      <c r="C2505" t="s">
        <v>27</v>
      </c>
      <c r="D2505" t="s">
        <v>28</v>
      </c>
      <c r="E2505" t="s">
        <v>29</v>
      </c>
      <c r="F2505" t="s">
        <v>87</v>
      </c>
      <c r="G2505" s="6">
        <v>249.86</v>
      </c>
      <c r="H2505" s="7">
        <v>2.1000000000000001E-2</v>
      </c>
      <c r="I2505" s="6">
        <v>5.25</v>
      </c>
      <c r="J2505" s="6">
        <v>255.11</v>
      </c>
      <c r="K2505" t="s">
        <v>5062</v>
      </c>
      <c r="L2505" t="s">
        <v>5063</v>
      </c>
    </row>
    <row r="2506" spans="1:12" ht="15" customHeight="1" x14ac:dyDescent="0.25">
      <c r="A2506">
        <v>2505</v>
      </c>
      <c r="B2506" s="5">
        <v>45659</v>
      </c>
      <c r="C2506" t="s">
        <v>33</v>
      </c>
      <c r="D2506" t="s">
        <v>28</v>
      </c>
      <c r="E2506" t="s">
        <v>29</v>
      </c>
      <c r="F2506" t="s">
        <v>36</v>
      </c>
      <c r="G2506" s="6">
        <v>2567.19</v>
      </c>
      <c r="H2506" s="7">
        <v>2.1000000000000001E-2</v>
      </c>
      <c r="I2506" s="6">
        <v>53.91</v>
      </c>
      <c r="J2506" s="6">
        <v>2621.1</v>
      </c>
      <c r="K2506" t="s">
        <v>5064</v>
      </c>
      <c r="L2506" t="s">
        <v>5065</v>
      </c>
    </row>
    <row r="2507" spans="1:12" ht="15" customHeight="1" x14ac:dyDescent="0.25">
      <c r="A2507">
        <v>2506</v>
      </c>
      <c r="B2507" s="5">
        <v>45772</v>
      </c>
      <c r="C2507" t="s">
        <v>27</v>
      </c>
      <c r="D2507" t="s">
        <v>28</v>
      </c>
      <c r="E2507" t="s">
        <v>29</v>
      </c>
      <c r="F2507" t="s">
        <v>39</v>
      </c>
      <c r="G2507" s="6">
        <v>3448.82</v>
      </c>
      <c r="H2507" s="7">
        <v>2.1000000000000001E-2</v>
      </c>
      <c r="I2507" s="6">
        <v>72.430000000000007</v>
      </c>
      <c r="J2507" s="6">
        <v>3521.25</v>
      </c>
      <c r="K2507" t="s">
        <v>5066</v>
      </c>
      <c r="L2507" t="s">
        <v>5067</v>
      </c>
    </row>
    <row r="2508" spans="1:12" ht="15" customHeight="1" x14ac:dyDescent="0.25">
      <c r="A2508">
        <v>2507</v>
      </c>
      <c r="B2508" s="5">
        <v>45901</v>
      </c>
      <c r="C2508" t="s">
        <v>27</v>
      </c>
      <c r="D2508" t="s">
        <v>28</v>
      </c>
      <c r="E2508" t="s">
        <v>29</v>
      </c>
      <c r="F2508" t="s">
        <v>120</v>
      </c>
      <c r="G2508" s="6">
        <v>4222.47</v>
      </c>
      <c r="H2508" s="7">
        <v>2.1000000000000001E-2</v>
      </c>
      <c r="I2508" s="6">
        <v>88.67</v>
      </c>
      <c r="J2508" s="6">
        <v>4311.1400000000003</v>
      </c>
      <c r="K2508" t="s">
        <v>5068</v>
      </c>
      <c r="L2508" t="s">
        <v>5069</v>
      </c>
    </row>
    <row r="2509" spans="1:12" ht="15" customHeight="1" x14ac:dyDescent="0.25">
      <c r="A2509">
        <v>2508</v>
      </c>
      <c r="B2509" s="5">
        <v>45856</v>
      </c>
      <c r="C2509" t="s">
        <v>47</v>
      </c>
      <c r="D2509" t="s">
        <v>34</v>
      </c>
      <c r="E2509" t="s">
        <v>35</v>
      </c>
      <c r="F2509" t="s">
        <v>81</v>
      </c>
      <c r="G2509" s="6">
        <v>2067.5500000000002</v>
      </c>
      <c r="H2509" s="7">
        <v>0.2</v>
      </c>
      <c r="I2509" s="6">
        <v>413.51</v>
      </c>
      <c r="J2509" s="6">
        <v>2481.06</v>
      </c>
      <c r="K2509" t="s">
        <v>5070</v>
      </c>
      <c r="L2509" t="s">
        <v>5071</v>
      </c>
    </row>
    <row r="2510" spans="1:12" ht="15" customHeight="1" x14ac:dyDescent="0.25">
      <c r="A2510">
        <v>2509</v>
      </c>
      <c r="B2510" s="5">
        <v>45786</v>
      </c>
      <c r="C2510" t="s">
        <v>27</v>
      </c>
      <c r="D2510" t="s">
        <v>79</v>
      </c>
      <c r="E2510" t="s">
        <v>80</v>
      </c>
      <c r="F2510" t="s">
        <v>120</v>
      </c>
      <c r="G2510" s="6">
        <v>1605.55</v>
      </c>
      <c r="H2510" s="7">
        <v>0.2</v>
      </c>
      <c r="I2510" s="6">
        <v>321.11</v>
      </c>
      <c r="J2510" s="6">
        <v>1926.66</v>
      </c>
      <c r="K2510" t="s">
        <v>5072</v>
      </c>
      <c r="L2510" t="s">
        <v>5073</v>
      </c>
    </row>
    <row r="2511" spans="1:12" ht="15" customHeight="1" x14ac:dyDescent="0.25">
      <c r="A2511">
        <v>2510</v>
      </c>
      <c r="B2511" s="5">
        <v>45736</v>
      </c>
      <c r="C2511" t="s">
        <v>47</v>
      </c>
      <c r="D2511" t="s">
        <v>100</v>
      </c>
      <c r="E2511" t="s">
        <v>101</v>
      </c>
      <c r="F2511" t="s">
        <v>44</v>
      </c>
      <c r="G2511" s="6">
        <v>3910.67</v>
      </c>
      <c r="H2511" s="7">
        <v>0</v>
      </c>
      <c r="I2511" s="6">
        <v>0</v>
      </c>
      <c r="J2511" s="6">
        <v>3910.67</v>
      </c>
      <c r="K2511" t="s">
        <v>5074</v>
      </c>
      <c r="L2511" t="s">
        <v>5075</v>
      </c>
    </row>
    <row r="2512" spans="1:12" ht="15" customHeight="1" x14ac:dyDescent="0.25">
      <c r="A2512">
        <v>2511</v>
      </c>
      <c r="B2512" s="5">
        <v>45747</v>
      </c>
      <c r="C2512" t="s">
        <v>33</v>
      </c>
      <c r="D2512" t="s">
        <v>55</v>
      </c>
      <c r="E2512" t="s">
        <v>56</v>
      </c>
      <c r="F2512" t="s">
        <v>36</v>
      </c>
      <c r="G2512" s="6">
        <v>4336.6400000000003</v>
      </c>
      <c r="H2512" s="7">
        <v>5.5E-2</v>
      </c>
      <c r="I2512" s="6">
        <v>238.52</v>
      </c>
      <c r="J2512" s="6">
        <v>4575.16</v>
      </c>
      <c r="K2512" t="s">
        <v>5076</v>
      </c>
      <c r="L2512" t="s">
        <v>5077</v>
      </c>
    </row>
    <row r="2513" spans="1:13" ht="15" customHeight="1" x14ac:dyDescent="0.25">
      <c r="A2513">
        <v>2512</v>
      </c>
      <c r="B2513" s="5">
        <v>45811</v>
      </c>
      <c r="C2513" t="s">
        <v>33</v>
      </c>
      <c r="D2513" t="s">
        <v>55</v>
      </c>
      <c r="E2513" t="s">
        <v>56</v>
      </c>
      <c r="F2513" t="s">
        <v>76</v>
      </c>
      <c r="G2513" s="6">
        <v>716.41</v>
      </c>
      <c r="H2513" s="7">
        <v>5.5E-2</v>
      </c>
      <c r="I2513" s="6">
        <v>39.4</v>
      </c>
      <c r="J2513" s="6">
        <v>755.81</v>
      </c>
      <c r="K2513" t="s">
        <v>5078</v>
      </c>
      <c r="L2513" t="s">
        <v>5079</v>
      </c>
    </row>
    <row r="2514" spans="1:13" ht="15" customHeight="1" x14ac:dyDescent="0.25">
      <c r="A2514">
        <v>2513</v>
      </c>
      <c r="B2514" s="5">
        <v>45863</v>
      </c>
      <c r="C2514" t="s">
        <v>27</v>
      </c>
      <c r="D2514" t="s">
        <v>100</v>
      </c>
      <c r="E2514" t="s">
        <v>101</v>
      </c>
      <c r="F2514" t="s">
        <v>44</v>
      </c>
      <c r="G2514" s="6">
        <v>3303.6</v>
      </c>
      <c r="H2514" s="7">
        <v>0</v>
      </c>
      <c r="I2514" s="6">
        <v>0</v>
      </c>
      <c r="J2514" s="6">
        <v>3303.6</v>
      </c>
      <c r="K2514" t="s">
        <v>5080</v>
      </c>
      <c r="L2514" t="s">
        <v>5081</v>
      </c>
    </row>
    <row r="2515" spans="1:13" ht="15" customHeight="1" x14ac:dyDescent="0.25">
      <c r="A2515">
        <v>2514</v>
      </c>
      <c r="B2515" s="5">
        <v>45889</v>
      </c>
      <c r="C2515" t="s">
        <v>47</v>
      </c>
      <c r="D2515" t="s">
        <v>63</v>
      </c>
      <c r="E2515" t="s">
        <v>64</v>
      </c>
      <c r="F2515" t="s">
        <v>36</v>
      </c>
      <c r="G2515" s="6">
        <v>2042.01</v>
      </c>
      <c r="H2515" s="7">
        <v>0.2</v>
      </c>
      <c r="I2515" s="6">
        <v>408.4</v>
      </c>
      <c r="J2515" s="6">
        <v>2450.41</v>
      </c>
      <c r="K2515" t="s">
        <v>5082</v>
      </c>
      <c r="L2515" t="s">
        <v>5083</v>
      </c>
    </row>
    <row r="2516" spans="1:13" ht="15" customHeight="1" x14ac:dyDescent="0.25">
      <c r="A2516">
        <v>2515</v>
      </c>
      <c r="B2516" s="5">
        <v>45862</v>
      </c>
      <c r="C2516" t="s">
        <v>47</v>
      </c>
      <c r="D2516" t="s">
        <v>55</v>
      </c>
      <c r="E2516" t="s">
        <v>56</v>
      </c>
      <c r="F2516" t="s">
        <v>106</v>
      </c>
      <c r="G2516" s="6">
        <v>668.37</v>
      </c>
      <c r="H2516" s="7">
        <v>5.5E-2</v>
      </c>
      <c r="I2516" s="6">
        <v>36.76</v>
      </c>
      <c r="J2516" s="6">
        <v>705.13</v>
      </c>
      <c r="K2516" t="s">
        <v>5084</v>
      </c>
      <c r="L2516" t="s">
        <v>5085</v>
      </c>
    </row>
    <row r="2517" spans="1:13" ht="15" customHeight="1" x14ac:dyDescent="0.25">
      <c r="A2517">
        <v>2516</v>
      </c>
      <c r="B2517" s="5">
        <v>45755</v>
      </c>
      <c r="C2517" t="s">
        <v>33</v>
      </c>
      <c r="D2517" t="s">
        <v>28</v>
      </c>
      <c r="E2517" t="s">
        <v>29</v>
      </c>
      <c r="F2517" t="s">
        <v>81</v>
      </c>
      <c r="G2517" s="6">
        <v>2592.27</v>
      </c>
      <c r="H2517" s="7">
        <v>2.1000000000000001E-2</v>
      </c>
      <c r="I2517" s="6">
        <v>54.44</v>
      </c>
      <c r="J2517" s="6">
        <v>2646.71</v>
      </c>
      <c r="K2517" t="s">
        <v>5086</v>
      </c>
      <c r="L2517" t="s">
        <v>5087</v>
      </c>
    </row>
    <row r="2518" spans="1:13" ht="15" customHeight="1" x14ac:dyDescent="0.25">
      <c r="A2518">
        <v>2517</v>
      </c>
      <c r="B2518" s="5">
        <v>45895</v>
      </c>
      <c r="C2518" t="s">
        <v>27</v>
      </c>
      <c r="D2518" t="s">
        <v>55</v>
      </c>
      <c r="E2518" t="s">
        <v>56</v>
      </c>
      <c r="F2518" t="s">
        <v>36</v>
      </c>
      <c r="G2518" s="6">
        <v>2503.0700000000002</v>
      </c>
      <c r="H2518" s="7">
        <v>5.5E-2</v>
      </c>
      <c r="I2518" s="6">
        <v>137.66999999999999</v>
      </c>
      <c r="J2518" s="6">
        <v>2640.74</v>
      </c>
      <c r="K2518" t="s">
        <v>5088</v>
      </c>
      <c r="L2518" t="s">
        <v>5089</v>
      </c>
    </row>
    <row r="2519" spans="1:13" ht="15" customHeight="1" x14ac:dyDescent="0.25">
      <c r="A2519">
        <v>2518</v>
      </c>
      <c r="B2519" s="5">
        <v>45859</v>
      </c>
      <c r="C2519" t="s">
        <v>27</v>
      </c>
      <c r="D2519" t="s">
        <v>55</v>
      </c>
      <c r="E2519" t="s">
        <v>56</v>
      </c>
      <c r="F2519" t="s">
        <v>87</v>
      </c>
      <c r="G2519" s="6">
        <v>704.69</v>
      </c>
      <c r="H2519" s="7">
        <v>5.5E-2</v>
      </c>
      <c r="I2519" s="6">
        <v>38.76</v>
      </c>
      <c r="J2519" s="6">
        <v>743.45</v>
      </c>
      <c r="K2519" t="s">
        <v>5090</v>
      </c>
      <c r="L2519" t="s">
        <v>5091</v>
      </c>
    </row>
    <row r="2520" spans="1:13" ht="15" customHeight="1" x14ac:dyDescent="0.25">
      <c r="A2520">
        <v>2519</v>
      </c>
      <c r="B2520" s="5">
        <v>45869</v>
      </c>
      <c r="C2520" t="s">
        <v>27</v>
      </c>
      <c r="D2520" t="s">
        <v>79</v>
      </c>
      <c r="E2520" t="s">
        <v>80</v>
      </c>
      <c r="F2520" t="s">
        <v>71</v>
      </c>
      <c r="G2520" s="6">
        <v>304.91000000000003</v>
      </c>
      <c r="H2520" s="7">
        <v>0.2</v>
      </c>
      <c r="I2520" s="6">
        <v>60.98</v>
      </c>
      <c r="J2520" s="6">
        <v>365.89</v>
      </c>
      <c r="K2520" t="s">
        <v>5092</v>
      </c>
      <c r="L2520" t="s">
        <v>5093</v>
      </c>
    </row>
    <row r="2521" spans="1:13" ht="15" customHeight="1" x14ac:dyDescent="0.25">
      <c r="A2521">
        <v>2520</v>
      </c>
      <c r="B2521" s="5">
        <v>45995</v>
      </c>
      <c r="C2521" t="s">
        <v>27</v>
      </c>
      <c r="D2521" t="s">
        <v>100</v>
      </c>
      <c r="E2521" t="s">
        <v>101</v>
      </c>
      <c r="F2521" t="s">
        <v>44</v>
      </c>
      <c r="G2521" s="6">
        <v>3042</v>
      </c>
      <c r="H2521" s="7">
        <v>0</v>
      </c>
      <c r="I2521" s="6">
        <v>0</v>
      </c>
      <c r="J2521" s="6">
        <v>3042</v>
      </c>
      <c r="K2521" t="s">
        <v>5094</v>
      </c>
      <c r="L2521" t="s">
        <v>5095</v>
      </c>
    </row>
    <row r="2522" spans="1:13" ht="15" customHeight="1" x14ac:dyDescent="0.25">
      <c r="A2522">
        <v>2521</v>
      </c>
      <c r="B2522" s="5">
        <v>45763</v>
      </c>
      <c r="C2522" t="s">
        <v>47</v>
      </c>
      <c r="D2522" t="s">
        <v>28</v>
      </c>
      <c r="E2522" t="s">
        <v>29</v>
      </c>
      <c r="F2522" t="s">
        <v>120</v>
      </c>
      <c r="G2522" s="6">
        <v>11725.34</v>
      </c>
      <c r="H2522" s="7">
        <v>2.1000000000000001E-2</v>
      </c>
      <c r="I2522" s="6">
        <v>246.23</v>
      </c>
      <c r="J2522" s="6">
        <v>11971.57</v>
      </c>
      <c r="K2522" t="s">
        <v>5096</v>
      </c>
      <c r="L2522" t="s">
        <v>5097</v>
      </c>
      <c r="M2522" t="s">
        <v>580</v>
      </c>
    </row>
    <row r="2523" spans="1:13" ht="15" customHeight="1" x14ac:dyDescent="0.25">
      <c r="A2523">
        <v>2522</v>
      </c>
      <c r="B2523" s="5">
        <v>46006</v>
      </c>
      <c r="C2523" t="s">
        <v>47</v>
      </c>
      <c r="D2523" t="s">
        <v>94</v>
      </c>
      <c r="E2523" t="s">
        <v>95</v>
      </c>
      <c r="F2523" t="s">
        <v>44</v>
      </c>
      <c r="G2523" s="6">
        <v>889.64</v>
      </c>
      <c r="H2523" s="7">
        <v>0</v>
      </c>
      <c r="I2523" s="6">
        <v>0</v>
      </c>
      <c r="J2523" s="6">
        <v>889.64</v>
      </c>
      <c r="K2523" t="s">
        <v>5098</v>
      </c>
      <c r="L2523" t="s">
        <v>5099</v>
      </c>
    </row>
    <row r="2524" spans="1:13" ht="15" customHeight="1" x14ac:dyDescent="0.25">
      <c r="A2524">
        <v>2523</v>
      </c>
      <c r="B2524" s="5">
        <v>45735</v>
      </c>
      <c r="C2524" t="s">
        <v>27</v>
      </c>
      <c r="D2524" t="s">
        <v>42</v>
      </c>
      <c r="E2524" t="s">
        <v>43</v>
      </c>
      <c r="F2524" t="s">
        <v>44</v>
      </c>
      <c r="G2524" s="6">
        <v>2924.59</v>
      </c>
      <c r="H2524" s="7">
        <v>0</v>
      </c>
      <c r="I2524" s="6">
        <v>0</v>
      </c>
      <c r="J2524" s="6">
        <v>2924.59</v>
      </c>
      <c r="K2524" t="s">
        <v>5100</v>
      </c>
      <c r="L2524" t="s">
        <v>5101</v>
      </c>
    </row>
    <row r="2525" spans="1:13" ht="15" customHeight="1" x14ac:dyDescent="0.25">
      <c r="A2525">
        <v>2524</v>
      </c>
      <c r="B2525" s="5">
        <v>45819</v>
      </c>
      <c r="C2525" t="s">
        <v>33</v>
      </c>
      <c r="D2525" t="s">
        <v>42</v>
      </c>
      <c r="E2525" t="s">
        <v>43</v>
      </c>
      <c r="F2525" t="s">
        <v>44</v>
      </c>
      <c r="G2525" s="6">
        <v>3632.14</v>
      </c>
      <c r="H2525" s="7">
        <v>0</v>
      </c>
      <c r="I2525" s="6">
        <v>0</v>
      </c>
      <c r="J2525" s="6">
        <v>3632.14</v>
      </c>
      <c r="K2525" t="s">
        <v>5102</v>
      </c>
      <c r="L2525" t="s">
        <v>5103</v>
      </c>
    </row>
    <row r="2526" spans="1:13" ht="15" customHeight="1" x14ac:dyDescent="0.25">
      <c r="A2526">
        <v>2525</v>
      </c>
      <c r="B2526" s="5">
        <v>45707</v>
      </c>
      <c r="C2526" t="s">
        <v>27</v>
      </c>
      <c r="D2526" t="s">
        <v>181</v>
      </c>
      <c r="E2526" t="s">
        <v>182</v>
      </c>
      <c r="F2526" t="s">
        <v>87</v>
      </c>
      <c r="G2526" s="6">
        <v>3558.37</v>
      </c>
      <c r="H2526" s="7">
        <v>0.2</v>
      </c>
      <c r="I2526" s="6">
        <v>711.67</v>
      </c>
      <c r="J2526" s="6">
        <v>4270.04</v>
      </c>
      <c r="K2526" t="s">
        <v>5104</v>
      </c>
      <c r="L2526" t="s">
        <v>5105</v>
      </c>
    </row>
    <row r="2527" spans="1:13" ht="15" customHeight="1" x14ac:dyDescent="0.25">
      <c r="A2527">
        <v>2526</v>
      </c>
      <c r="B2527" s="5">
        <v>45685</v>
      </c>
      <c r="C2527" t="s">
        <v>33</v>
      </c>
      <c r="D2527" t="s">
        <v>100</v>
      </c>
      <c r="E2527" t="s">
        <v>101</v>
      </c>
      <c r="F2527" t="s">
        <v>44</v>
      </c>
      <c r="G2527" s="6">
        <v>2015.87</v>
      </c>
      <c r="H2527" s="7">
        <v>0</v>
      </c>
      <c r="I2527" s="6">
        <v>0</v>
      </c>
      <c r="J2527" s="6">
        <v>2015.87</v>
      </c>
      <c r="K2527" t="s">
        <v>5106</v>
      </c>
      <c r="L2527" t="s">
        <v>5107</v>
      </c>
    </row>
    <row r="2528" spans="1:13" ht="15" customHeight="1" x14ac:dyDescent="0.25">
      <c r="A2528">
        <v>2527</v>
      </c>
      <c r="B2528" s="5">
        <v>45691</v>
      </c>
      <c r="C2528" t="s">
        <v>33</v>
      </c>
      <c r="D2528" t="s">
        <v>42</v>
      </c>
      <c r="E2528" t="s">
        <v>43</v>
      </c>
      <c r="F2528" t="s">
        <v>44</v>
      </c>
      <c r="G2528" s="6">
        <v>3982.19</v>
      </c>
      <c r="H2528" s="7">
        <v>0</v>
      </c>
      <c r="I2528" s="6">
        <v>0</v>
      </c>
      <c r="J2528" s="6">
        <v>3982.19</v>
      </c>
      <c r="K2528" t="s">
        <v>5108</v>
      </c>
      <c r="L2528" t="s">
        <v>5109</v>
      </c>
    </row>
    <row r="2529" spans="1:12" ht="15" customHeight="1" x14ac:dyDescent="0.25">
      <c r="A2529">
        <v>2528</v>
      </c>
      <c r="B2529" s="5">
        <v>45747</v>
      </c>
      <c r="C2529" t="s">
        <v>47</v>
      </c>
      <c r="D2529" t="s">
        <v>79</v>
      </c>
      <c r="E2529" t="s">
        <v>80</v>
      </c>
      <c r="F2529" t="s">
        <v>87</v>
      </c>
      <c r="G2529" s="6">
        <v>1360.66</v>
      </c>
      <c r="H2529" s="7">
        <v>0.2</v>
      </c>
      <c r="I2529" s="6">
        <v>272.13</v>
      </c>
      <c r="J2529" s="6">
        <v>1632.79</v>
      </c>
      <c r="K2529" t="s">
        <v>5110</v>
      </c>
      <c r="L2529" t="s">
        <v>5111</v>
      </c>
    </row>
    <row r="2530" spans="1:12" ht="15" customHeight="1" x14ac:dyDescent="0.25">
      <c r="A2530">
        <v>2529</v>
      </c>
      <c r="B2530" s="5">
        <v>45735</v>
      </c>
      <c r="C2530" t="s">
        <v>27</v>
      </c>
      <c r="D2530" t="s">
        <v>28</v>
      </c>
      <c r="E2530" t="s">
        <v>29</v>
      </c>
      <c r="F2530" t="s">
        <v>87</v>
      </c>
      <c r="G2530" s="6">
        <v>801.59</v>
      </c>
      <c r="H2530" s="7">
        <v>2.1000000000000001E-2</v>
      </c>
      <c r="I2530" s="6">
        <v>16.829999999999998</v>
      </c>
      <c r="J2530" s="6">
        <v>818.42</v>
      </c>
      <c r="K2530" t="s">
        <v>5112</v>
      </c>
      <c r="L2530" t="s">
        <v>5113</v>
      </c>
    </row>
    <row r="2531" spans="1:12" ht="15" customHeight="1" x14ac:dyDescent="0.25">
      <c r="A2531">
        <v>2530</v>
      </c>
      <c r="B2531" s="5">
        <v>45945</v>
      </c>
      <c r="C2531" t="s">
        <v>27</v>
      </c>
      <c r="D2531" t="s">
        <v>63</v>
      </c>
      <c r="E2531" t="s">
        <v>64</v>
      </c>
      <c r="F2531" t="s">
        <v>76</v>
      </c>
      <c r="G2531" s="6">
        <v>2521.2600000000002</v>
      </c>
      <c r="H2531" s="7">
        <v>0.2</v>
      </c>
      <c r="I2531" s="6">
        <v>504.25</v>
      </c>
      <c r="J2531" s="6">
        <v>3025.51</v>
      </c>
      <c r="K2531" t="s">
        <v>5114</v>
      </c>
      <c r="L2531" t="s">
        <v>5115</v>
      </c>
    </row>
    <row r="2532" spans="1:12" ht="15" customHeight="1" x14ac:dyDescent="0.25">
      <c r="A2532">
        <v>2531</v>
      </c>
      <c r="B2532" s="5">
        <v>45785</v>
      </c>
      <c r="C2532" t="s">
        <v>47</v>
      </c>
      <c r="D2532" t="s">
        <v>34</v>
      </c>
      <c r="E2532" t="s">
        <v>35</v>
      </c>
      <c r="F2532" t="s">
        <v>120</v>
      </c>
      <c r="G2532" s="6">
        <v>4394.47</v>
      </c>
      <c r="H2532" s="7">
        <v>0.2</v>
      </c>
      <c r="I2532" s="6">
        <v>878.89</v>
      </c>
      <c r="J2532" s="6">
        <v>5273.36</v>
      </c>
      <c r="K2532" t="s">
        <v>5116</v>
      </c>
      <c r="L2532" t="s">
        <v>5117</v>
      </c>
    </row>
    <row r="2533" spans="1:12" ht="15" customHeight="1" x14ac:dyDescent="0.25">
      <c r="A2533">
        <v>2532</v>
      </c>
      <c r="B2533" s="5">
        <v>45678</v>
      </c>
      <c r="C2533" t="s">
        <v>47</v>
      </c>
      <c r="D2533" t="s">
        <v>28</v>
      </c>
      <c r="E2533" t="s">
        <v>29</v>
      </c>
      <c r="F2533" t="s">
        <v>36</v>
      </c>
      <c r="G2533" s="6">
        <v>679.35</v>
      </c>
      <c r="H2533" s="7">
        <v>2.1000000000000001E-2</v>
      </c>
      <c r="I2533" s="6">
        <v>14.27</v>
      </c>
      <c r="J2533" s="6">
        <v>693.62</v>
      </c>
      <c r="K2533" t="s">
        <v>5118</v>
      </c>
      <c r="L2533" t="s">
        <v>5119</v>
      </c>
    </row>
    <row r="2534" spans="1:12" ht="15" customHeight="1" x14ac:dyDescent="0.25">
      <c r="A2534">
        <v>2533</v>
      </c>
      <c r="B2534" s="5">
        <v>45958</v>
      </c>
      <c r="C2534" t="s">
        <v>47</v>
      </c>
      <c r="D2534" t="s">
        <v>79</v>
      </c>
      <c r="E2534" t="s">
        <v>80</v>
      </c>
      <c r="F2534" t="s">
        <v>50</v>
      </c>
      <c r="G2534" s="6">
        <v>3121.5</v>
      </c>
      <c r="H2534" s="7">
        <v>0.2</v>
      </c>
      <c r="I2534" s="6">
        <v>624.29999999999995</v>
      </c>
      <c r="J2534" s="6">
        <v>3745.8</v>
      </c>
      <c r="K2534" t="s">
        <v>5120</v>
      </c>
      <c r="L2534" t="s">
        <v>5121</v>
      </c>
    </row>
    <row r="2535" spans="1:12" ht="15" customHeight="1" x14ac:dyDescent="0.25">
      <c r="A2535">
        <v>2534</v>
      </c>
      <c r="B2535" s="5">
        <v>45887</v>
      </c>
      <c r="C2535" t="s">
        <v>27</v>
      </c>
      <c r="D2535" t="s">
        <v>172</v>
      </c>
      <c r="E2535" t="s">
        <v>173</v>
      </c>
      <c r="F2535" t="s">
        <v>76</v>
      </c>
      <c r="G2535" s="6">
        <v>4031.43</v>
      </c>
      <c r="H2535" s="7">
        <v>0.2</v>
      </c>
      <c r="I2535" s="6">
        <v>806.29</v>
      </c>
      <c r="J2535" s="6">
        <v>4837.72</v>
      </c>
      <c r="K2535" t="s">
        <v>5122</v>
      </c>
      <c r="L2535" t="s">
        <v>5123</v>
      </c>
    </row>
    <row r="2536" spans="1:12" ht="15" customHeight="1" x14ac:dyDescent="0.25">
      <c r="A2536">
        <v>2535</v>
      </c>
      <c r="B2536" s="5">
        <v>45831</v>
      </c>
      <c r="C2536" t="s">
        <v>27</v>
      </c>
      <c r="D2536" t="s">
        <v>55</v>
      </c>
      <c r="E2536" t="s">
        <v>56</v>
      </c>
      <c r="F2536" t="s">
        <v>50</v>
      </c>
      <c r="G2536" s="6">
        <v>4446.1400000000003</v>
      </c>
      <c r="H2536" s="7">
        <v>5.5E-2</v>
      </c>
      <c r="I2536" s="6">
        <v>244.54</v>
      </c>
      <c r="J2536" s="6">
        <v>4690.68</v>
      </c>
      <c r="K2536" t="s">
        <v>5124</v>
      </c>
      <c r="L2536" t="s">
        <v>5125</v>
      </c>
    </row>
    <row r="2537" spans="1:12" ht="15" customHeight="1" x14ac:dyDescent="0.25">
      <c r="A2537">
        <v>2536</v>
      </c>
      <c r="B2537" s="5">
        <v>45811</v>
      </c>
      <c r="C2537" t="s">
        <v>33</v>
      </c>
      <c r="D2537" t="s">
        <v>28</v>
      </c>
      <c r="E2537" t="s">
        <v>29</v>
      </c>
      <c r="F2537" t="s">
        <v>30</v>
      </c>
      <c r="G2537" s="6">
        <v>3073.99</v>
      </c>
      <c r="H2537" s="7">
        <v>2.1000000000000001E-2</v>
      </c>
      <c r="I2537" s="6">
        <v>64.55</v>
      </c>
      <c r="J2537" s="6">
        <v>3138.54</v>
      </c>
      <c r="K2537" t="s">
        <v>5126</v>
      </c>
      <c r="L2537" t="s">
        <v>5127</v>
      </c>
    </row>
    <row r="2538" spans="1:12" ht="15" customHeight="1" x14ac:dyDescent="0.25">
      <c r="A2538">
        <v>2537</v>
      </c>
      <c r="B2538" s="5">
        <v>45982</v>
      </c>
      <c r="C2538" t="s">
        <v>27</v>
      </c>
      <c r="D2538" t="s">
        <v>28</v>
      </c>
      <c r="E2538" t="s">
        <v>29</v>
      </c>
      <c r="F2538" t="s">
        <v>81</v>
      </c>
      <c r="G2538" s="6">
        <v>1497.49</v>
      </c>
      <c r="H2538" s="7">
        <v>2.1000000000000001E-2</v>
      </c>
      <c r="I2538" s="6">
        <v>31.45</v>
      </c>
      <c r="J2538" s="6">
        <v>1528.94</v>
      </c>
      <c r="K2538" t="s">
        <v>5128</v>
      </c>
      <c r="L2538" t="s">
        <v>5129</v>
      </c>
    </row>
    <row r="2539" spans="1:12" ht="15" customHeight="1" x14ac:dyDescent="0.25">
      <c r="A2539">
        <v>2538</v>
      </c>
      <c r="B2539" s="5">
        <v>45911</v>
      </c>
      <c r="C2539" t="s">
        <v>33</v>
      </c>
      <c r="D2539" t="s">
        <v>55</v>
      </c>
      <c r="E2539" t="s">
        <v>56</v>
      </c>
      <c r="F2539" t="s">
        <v>84</v>
      </c>
      <c r="G2539" s="6">
        <v>150.52000000000001</v>
      </c>
      <c r="H2539" s="7">
        <v>5.5E-2</v>
      </c>
      <c r="I2539" s="6">
        <v>8.2799999999999994</v>
      </c>
      <c r="J2539" s="6">
        <v>158.80000000000001</v>
      </c>
      <c r="K2539" t="s">
        <v>5130</v>
      </c>
      <c r="L2539" t="s">
        <v>5131</v>
      </c>
    </row>
    <row r="2540" spans="1:12" ht="15" customHeight="1" x14ac:dyDescent="0.25">
      <c r="A2540">
        <v>2539</v>
      </c>
      <c r="B2540" s="5">
        <v>45756</v>
      </c>
      <c r="C2540" t="s">
        <v>33</v>
      </c>
      <c r="D2540" t="s">
        <v>55</v>
      </c>
      <c r="E2540" t="s">
        <v>56</v>
      </c>
      <c r="F2540" t="s">
        <v>106</v>
      </c>
      <c r="G2540" s="6">
        <v>2349.33</v>
      </c>
      <c r="H2540" s="7">
        <v>5.5E-2</v>
      </c>
      <c r="I2540" s="6">
        <v>129.21</v>
      </c>
      <c r="J2540" s="6">
        <v>2478.54</v>
      </c>
      <c r="K2540" t="s">
        <v>5132</v>
      </c>
      <c r="L2540" t="s">
        <v>5133</v>
      </c>
    </row>
    <row r="2541" spans="1:12" ht="15" customHeight="1" x14ac:dyDescent="0.25">
      <c r="A2541">
        <v>2540</v>
      </c>
      <c r="B2541" s="5">
        <v>45743</v>
      </c>
      <c r="C2541" t="s">
        <v>47</v>
      </c>
      <c r="D2541" t="s">
        <v>55</v>
      </c>
      <c r="E2541" t="s">
        <v>56</v>
      </c>
      <c r="F2541" t="s">
        <v>71</v>
      </c>
      <c r="G2541" s="6">
        <v>309.89</v>
      </c>
      <c r="H2541" s="7">
        <v>5.5E-2</v>
      </c>
      <c r="I2541" s="6">
        <v>17.04</v>
      </c>
      <c r="J2541" s="6">
        <v>326.93</v>
      </c>
      <c r="K2541" t="s">
        <v>5134</v>
      </c>
      <c r="L2541" t="s">
        <v>5135</v>
      </c>
    </row>
    <row r="2542" spans="1:12" ht="15" customHeight="1" x14ac:dyDescent="0.25">
      <c r="A2542">
        <v>2541</v>
      </c>
      <c r="B2542" s="5">
        <v>45678</v>
      </c>
      <c r="C2542" t="s">
        <v>47</v>
      </c>
      <c r="D2542" t="s">
        <v>55</v>
      </c>
      <c r="E2542" t="s">
        <v>56</v>
      </c>
      <c r="F2542" t="s">
        <v>120</v>
      </c>
      <c r="G2542" s="6">
        <v>1285.94</v>
      </c>
      <c r="H2542" s="7">
        <v>5.5E-2</v>
      </c>
      <c r="I2542" s="6">
        <v>70.73</v>
      </c>
      <c r="J2542" s="6">
        <v>1356.67</v>
      </c>
      <c r="K2542" t="s">
        <v>5136</v>
      </c>
      <c r="L2542" t="s">
        <v>5137</v>
      </c>
    </row>
    <row r="2543" spans="1:12" ht="15" customHeight="1" x14ac:dyDescent="0.25">
      <c r="A2543">
        <v>2542</v>
      </c>
      <c r="B2543" s="5">
        <v>45940</v>
      </c>
      <c r="C2543" t="s">
        <v>27</v>
      </c>
      <c r="D2543" t="s">
        <v>28</v>
      </c>
      <c r="E2543" t="s">
        <v>29</v>
      </c>
      <c r="F2543" t="s">
        <v>84</v>
      </c>
      <c r="G2543" s="6">
        <v>218.67</v>
      </c>
      <c r="H2543" s="7">
        <v>2.1000000000000001E-2</v>
      </c>
      <c r="I2543" s="6">
        <v>4.59</v>
      </c>
      <c r="J2543" s="6">
        <v>223.26</v>
      </c>
      <c r="K2543" t="s">
        <v>5138</v>
      </c>
      <c r="L2543" t="s">
        <v>5139</v>
      </c>
    </row>
    <row r="2544" spans="1:12" ht="15" customHeight="1" x14ac:dyDescent="0.25">
      <c r="A2544">
        <v>2543</v>
      </c>
      <c r="B2544" s="5">
        <v>45812</v>
      </c>
      <c r="C2544" t="s">
        <v>27</v>
      </c>
      <c r="D2544" t="s">
        <v>172</v>
      </c>
      <c r="E2544" t="s">
        <v>173</v>
      </c>
      <c r="F2544" t="s">
        <v>76</v>
      </c>
      <c r="G2544" s="6">
        <v>1762.57</v>
      </c>
      <c r="H2544" s="7">
        <v>0.2</v>
      </c>
      <c r="I2544" s="6">
        <v>352.51</v>
      </c>
      <c r="J2544" s="6">
        <v>2115.08</v>
      </c>
      <c r="K2544" t="s">
        <v>5140</v>
      </c>
      <c r="L2544" t="s">
        <v>5141</v>
      </c>
    </row>
    <row r="2545" spans="1:12" ht="15" customHeight="1" x14ac:dyDescent="0.25">
      <c r="A2545">
        <v>2544</v>
      </c>
      <c r="B2545" s="5">
        <v>46002</v>
      </c>
      <c r="C2545" t="s">
        <v>47</v>
      </c>
      <c r="D2545" t="s">
        <v>28</v>
      </c>
      <c r="E2545" t="s">
        <v>29</v>
      </c>
      <c r="F2545" t="s">
        <v>36</v>
      </c>
      <c r="G2545" s="6">
        <v>1274.6500000000001</v>
      </c>
      <c r="H2545" s="7">
        <v>2.1000000000000001E-2</v>
      </c>
      <c r="I2545" s="6">
        <v>26.77</v>
      </c>
      <c r="J2545" s="6">
        <v>1301.42</v>
      </c>
      <c r="K2545" t="s">
        <v>5142</v>
      </c>
      <c r="L2545" t="s">
        <v>5143</v>
      </c>
    </row>
    <row r="2546" spans="1:12" ht="15" customHeight="1" x14ac:dyDescent="0.25">
      <c r="A2546">
        <v>2545</v>
      </c>
      <c r="B2546" s="5">
        <v>45875</v>
      </c>
      <c r="C2546" t="s">
        <v>47</v>
      </c>
      <c r="D2546" t="s">
        <v>42</v>
      </c>
      <c r="E2546" t="s">
        <v>43</v>
      </c>
      <c r="F2546" t="s">
        <v>44</v>
      </c>
      <c r="G2546" s="6">
        <v>2621.11</v>
      </c>
      <c r="H2546" s="7">
        <v>0</v>
      </c>
      <c r="I2546" s="6">
        <v>0</v>
      </c>
      <c r="J2546" s="6">
        <v>2621.11</v>
      </c>
      <c r="K2546" t="s">
        <v>5144</v>
      </c>
      <c r="L2546" t="s">
        <v>5145</v>
      </c>
    </row>
    <row r="2547" spans="1:12" ht="15" customHeight="1" x14ac:dyDescent="0.25">
      <c r="A2547">
        <v>2546</v>
      </c>
      <c r="B2547" s="5">
        <v>45756</v>
      </c>
      <c r="C2547" t="s">
        <v>27</v>
      </c>
      <c r="D2547" t="s">
        <v>55</v>
      </c>
      <c r="E2547" t="s">
        <v>56</v>
      </c>
      <c r="F2547" t="s">
        <v>174</v>
      </c>
      <c r="G2547" s="6">
        <v>2240.63</v>
      </c>
      <c r="H2547" s="7">
        <v>5.5E-2</v>
      </c>
      <c r="I2547" s="6">
        <v>123.23</v>
      </c>
      <c r="J2547" s="6">
        <v>2363.86</v>
      </c>
      <c r="K2547" t="s">
        <v>5146</v>
      </c>
      <c r="L2547" t="s">
        <v>5147</v>
      </c>
    </row>
    <row r="2548" spans="1:12" ht="15" customHeight="1" x14ac:dyDescent="0.25">
      <c r="A2548">
        <v>2547</v>
      </c>
      <c r="B2548" s="5">
        <v>45701</v>
      </c>
      <c r="C2548" t="s">
        <v>47</v>
      </c>
      <c r="D2548" t="s">
        <v>100</v>
      </c>
      <c r="E2548" t="s">
        <v>101</v>
      </c>
      <c r="F2548" t="s">
        <v>44</v>
      </c>
      <c r="G2548" s="6">
        <v>3992.02</v>
      </c>
      <c r="H2548" s="7">
        <v>0</v>
      </c>
      <c r="I2548" s="6">
        <v>0</v>
      </c>
      <c r="J2548" s="6">
        <v>3992.02</v>
      </c>
      <c r="K2548" t="s">
        <v>5148</v>
      </c>
      <c r="L2548" t="s">
        <v>5149</v>
      </c>
    </row>
    <row r="2549" spans="1:12" ht="15" customHeight="1" x14ac:dyDescent="0.25">
      <c r="A2549">
        <v>2548</v>
      </c>
      <c r="B2549" s="5">
        <v>45723</v>
      </c>
      <c r="C2549" t="s">
        <v>33</v>
      </c>
      <c r="D2549" t="s">
        <v>28</v>
      </c>
      <c r="E2549" t="s">
        <v>29</v>
      </c>
      <c r="F2549" t="s">
        <v>87</v>
      </c>
      <c r="G2549" s="6">
        <v>3643.52</v>
      </c>
      <c r="H2549" s="7">
        <v>2.1000000000000001E-2</v>
      </c>
      <c r="I2549" s="6">
        <v>76.510000000000005</v>
      </c>
      <c r="J2549" s="6">
        <v>3720.03</v>
      </c>
      <c r="K2549" t="s">
        <v>5150</v>
      </c>
      <c r="L2549" t="s">
        <v>5151</v>
      </c>
    </row>
    <row r="2550" spans="1:12" ht="15" customHeight="1" x14ac:dyDescent="0.25">
      <c r="A2550">
        <v>2549</v>
      </c>
      <c r="B2550" s="5">
        <v>45691</v>
      </c>
      <c r="C2550" t="s">
        <v>33</v>
      </c>
      <c r="D2550" t="s">
        <v>28</v>
      </c>
      <c r="E2550" t="s">
        <v>29</v>
      </c>
      <c r="F2550" t="s">
        <v>71</v>
      </c>
      <c r="G2550" s="6">
        <v>760.71</v>
      </c>
      <c r="H2550" s="7">
        <v>2.1000000000000001E-2</v>
      </c>
      <c r="I2550" s="6">
        <v>15.97</v>
      </c>
      <c r="J2550" s="6">
        <v>776.68</v>
      </c>
      <c r="K2550" t="s">
        <v>5152</v>
      </c>
      <c r="L2550" t="s">
        <v>5153</v>
      </c>
    </row>
    <row r="2551" spans="1:12" ht="15" customHeight="1" x14ac:dyDescent="0.25">
      <c r="A2551">
        <v>2550</v>
      </c>
      <c r="B2551" s="5">
        <v>45664</v>
      </c>
      <c r="C2551" t="s">
        <v>33</v>
      </c>
      <c r="D2551" t="s">
        <v>42</v>
      </c>
      <c r="E2551" t="s">
        <v>43</v>
      </c>
      <c r="F2551" t="s">
        <v>44</v>
      </c>
      <c r="G2551" s="6">
        <v>2618.7199999999998</v>
      </c>
      <c r="H2551" s="7">
        <v>0</v>
      </c>
      <c r="I2551" s="6">
        <v>0</v>
      </c>
      <c r="J2551" s="6">
        <v>2618.7199999999998</v>
      </c>
      <c r="K2551" t="s">
        <v>5154</v>
      </c>
      <c r="L2551" t="s">
        <v>5155</v>
      </c>
    </row>
    <row r="2552" spans="1:12" ht="15" customHeight="1" x14ac:dyDescent="0.25">
      <c r="A2552">
        <v>2551</v>
      </c>
      <c r="B2552" s="5">
        <v>45978</v>
      </c>
      <c r="C2552" t="s">
        <v>33</v>
      </c>
      <c r="D2552" t="s">
        <v>28</v>
      </c>
      <c r="E2552" t="s">
        <v>29</v>
      </c>
      <c r="F2552" t="s">
        <v>76</v>
      </c>
      <c r="G2552" s="6">
        <v>4348.1499999999996</v>
      </c>
      <c r="H2552" s="7">
        <v>2.1000000000000001E-2</v>
      </c>
      <c r="I2552" s="6">
        <v>91.31</v>
      </c>
      <c r="J2552" s="6">
        <v>4439.46</v>
      </c>
      <c r="K2552" t="s">
        <v>5156</v>
      </c>
      <c r="L2552" t="s">
        <v>5157</v>
      </c>
    </row>
    <row r="2553" spans="1:12" ht="15" customHeight="1" x14ac:dyDescent="0.25">
      <c r="A2553">
        <v>2552</v>
      </c>
      <c r="B2553" s="5">
        <v>45712</v>
      </c>
      <c r="C2553" t="s">
        <v>47</v>
      </c>
      <c r="D2553" t="s">
        <v>42</v>
      </c>
      <c r="E2553" t="s">
        <v>43</v>
      </c>
      <c r="F2553" t="s">
        <v>44</v>
      </c>
      <c r="G2553" s="6">
        <v>1934.8</v>
      </c>
      <c r="H2553" s="7">
        <v>0</v>
      </c>
      <c r="I2553" s="6">
        <v>0</v>
      </c>
      <c r="J2553" s="6">
        <v>1934.8</v>
      </c>
      <c r="K2553" t="s">
        <v>5158</v>
      </c>
      <c r="L2553" t="s">
        <v>5159</v>
      </c>
    </row>
    <row r="2554" spans="1:12" ht="15" customHeight="1" x14ac:dyDescent="0.25">
      <c r="A2554">
        <v>2553</v>
      </c>
      <c r="B2554" s="5">
        <v>45699</v>
      </c>
      <c r="C2554" t="s">
        <v>33</v>
      </c>
      <c r="D2554" t="s">
        <v>100</v>
      </c>
      <c r="E2554" t="s">
        <v>101</v>
      </c>
      <c r="F2554" t="s">
        <v>44</v>
      </c>
      <c r="G2554" s="6">
        <v>3523.81</v>
      </c>
      <c r="H2554" s="7">
        <v>0</v>
      </c>
      <c r="I2554" s="6">
        <v>0</v>
      </c>
      <c r="J2554" s="6">
        <v>3523.81</v>
      </c>
      <c r="K2554" t="s">
        <v>5160</v>
      </c>
      <c r="L2554" t="s">
        <v>5161</v>
      </c>
    </row>
    <row r="2555" spans="1:12" ht="15" customHeight="1" x14ac:dyDescent="0.25">
      <c r="A2555">
        <v>2554</v>
      </c>
      <c r="B2555" s="5">
        <v>46009</v>
      </c>
      <c r="C2555" t="s">
        <v>33</v>
      </c>
      <c r="D2555" t="s">
        <v>79</v>
      </c>
      <c r="E2555" t="s">
        <v>80</v>
      </c>
      <c r="F2555" t="s">
        <v>39</v>
      </c>
      <c r="G2555" s="6">
        <v>1110.19</v>
      </c>
      <c r="H2555" s="7">
        <v>0.2</v>
      </c>
      <c r="I2555" s="6">
        <v>222.04</v>
      </c>
      <c r="J2555" s="6">
        <v>1332.23</v>
      </c>
      <c r="K2555" t="s">
        <v>5162</v>
      </c>
      <c r="L2555" t="s">
        <v>5163</v>
      </c>
    </row>
    <row r="2556" spans="1:12" ht="15" customHeight="1" x14ac:dyDescent="0.25">
      <c r="A2556">
        <v>2555</v>
      </c>
      <c r="B2556" s="5">
        <v>45978</v>
      </c>
      <c r="C2556" t="s">
        <v>33</v>
      </c>
      <c r="D2556" t="s">
        <v>63</v>
      </c>
      <c r="E2556" t="s">
        <v>64</v>
      </c>
      <c r="F2556" t="s">
        <v>76</v>
      </c>
      <c r="G2556" s="6">
        <v>2419.65</v>
      </c>
      <c r="H2556" s="7">
        <v>0.2</v>
      </c>
      <c r="I2556" s="6">
        <v>483.93</v>
      </c>
      <c r="J2556" s="6">
        <v>2903.58</v>
      </c>
      <c r="K2556" t="s">
        <v>5164</v>
      </c>
      <c r="L2556" t="s">
        <v>5165</v>
      </c>
    </row>
    <row r="2557" spans="1:12" ht="15" customHeight="1" x14ac:dyDescent="0.25">
      <c r="A2557">
        <v>2556</v>
      </c>
      <c r="B2557" s="5">
        <v>45911</v>
      </c>
      <c r="C2557" t="s">
        <v>33</v>
      </c>
      <c r="D2557" t="s">
        <v>42</v>
      </c>
      <c r="E2557" t="s">
        <v>43</v>
      </c>
      <c r="F2557" t="s">
        <v>44</v>
      </c>
      <c r="G2557" s="6">
        <v>2246.56</v>
      </c>
      <c r="H2557" s="7">
        <v>0</v>
      </c>
      <c r="I2557" s="6">
        <v>0</v>
      </c>
      <c r="J2557" s="6">
        <v>2246.56</v>
      </c>
      <c r="K2557" t="s">
        <v>5166</v>
      </c>
      <c r="L2557" t="s">
        <v>5167</v>
      </c>
    </row>
    <row r="2558" spans="1:12" ht="15" customHeight="1" x14ac:dyDescent="0.25">
      <c r="A2558">
        <v>2557</v>
      </c>
      <c r="B2558" s="5">
        <v>45884</v>
      </c>
      <c r="C2558" t="s">
        <v>27</v>
      </c>
      <c r="D2558" t="s">
        <v>34</v>
      </c>
      <c r="E2558" t="s">
        <v>35</v>
      </c>
      <c r="F2558" t="s">
        <v>39</v>
      </c>
      <c r="G2558" s="6">
        <v>897.38</v>
      </c>
      <c r="H2558" s="7">
        <v>0.2</v>
      </c>
      <c r="I2558" s="6">
        <v>179.48</v>
      </c>
      <c r="J2558" s="6">
        <v>1076.8599999999999</v>
      </c>
      <c r="K2558" t="s">
        <v>5168</v>
      </c>
      <c r="L2558" t="s">
        <v>5169</v>
      </c>
    </row>
    <row r="2559" spans="1:12" ht="15" customHeight="1" x14ac:dyDescent="0.25">
      <c r="A2559">
        <v>2558</v>
      </c>
      <c r="B2559" s="5">
        <v>45792</v>
      </c>
      <c r="C2559" t="s">
        <v>33</v>
      </c>
      <c r="D2559" t="s">
        <v>94</v>
      </c>
      <c r="E2559" t="s">
        <v>95</v>
      </c>
      <c r="F2559" t="s">
        <v>44</v>
      </c>
      <c r="G2559" s="6">
        <v>1855</v>
      </c>
      <c r="H2559" s="7">
        <v>0</v>
      </c>
      <c r="I2559" s="6">
        <v>0</v>
      </c>
      <c r="J2559" s="6">
        <v>1855</v>
      </c>
      <c r="K2559" t="s">
        <v>5170</v>
      </c>
      <c r="L2559" t="s">
        <v>5171</v>
      </c>
    </row>
    <row r="2560" spans="1:12" ht="15" customHeight="1" x14ac:dyDescent="0.25">
      <c r="A2560">
        <v>2559</v>
      </c>
      <c r="B2560" s="5">
        <v>45754</v>
      </c>
      <c r="C2560" t="s">
        <v>27</v>
      </c>
      <c r="D2560" t="s">
        <v>28</v>
      </c>
      <c r="E2560" t="s">
        <v>29</v>
      </c>
      <c r="F2560" t="s">
        <v>50</v>
      </c>
      <c r="G2560" s="6">
        <v>906.75</v>
      </c>
      <c r="H2560" s="7">
        <v>2.1000000000000001E-2</v>
      </c>
      <c r="I2560" s="6">
        <v>19.04</v>
      </c>
      <c r="J2560" s="6">
        <v>925.79</v>
      </c>
      <c r="K2560" t="s">
        <v>5172</v>
      </c>
      <c r="L2560" t="s">
        <v>5173</v>
      </c>
    </row>
    <row r="2561" spans="1:12" ht="15" customHeight="1" x14ac:dyDescent="0.25">
      <c r="A2561">
        <v>2560</v>
      </c>
      <c r="B2561" s="5">
        <v>45961</v>
      </c>
      <c r="C2561" t="s">
        <v>33</v>
      </c>
      <c r="D2561" t="s">
        <v>28</v>
      </c>
      <c r="E2561" t="s">
        <v>29</v>
      </c>
      <c r="F2561" t="s">
        <v>36</v>
      </c>
      <c r="G2561" s="6">
        <v>1391.5</v>
      </c>
      <c r="H2561" s="7">
        <v>2.1000000000000001E-2</v>
      </c>
      <c r="I2561" s="6">
        <v>29.22</v>
      </c>
      <c r="J2561" s="6">
        <v>1420.72</v>
      </c>
      <c r="K2561" t="s">
        <v>5174</v>
      </c>
      <c r="L2561" t="s">
        <v>5175</v>
      </c>
    </row>
    <row r="2562" spans="1:12" ht="15" customHeight="1" x14ac:dyDescent="0.25">
      <c r="A2562">
        <v>2561</v>
      </c>
      <c r="B2562" s="5">
        <v>45876</v>
      </c>
      <c r="C2562" t="s">
        <v>27</v>
      </c>
      <c r="D2562" t="s">
        <v>55</v>
      </c>
      <c r="E2562" t="s">
        <v>56</v>
      </c>
      <c r="F2562" t="s">
        <v>50</v>
      </c>
      <c r="G2562" s="6">
        <v>1189.2</v>
      </c>
      <c r="H2562" s="7">
        <v>5.5E-2</v>
      </c>
      <c r="I2562" s="6">
        <v>65.41</v>
      </c>
      <c r="J2562" s="6">
        <v>1254.6099999999999</v>
      </c>
      <c r="K2562" t="s">
        <v>5176</v>
      </c>
      <c r="L2562" t="s">
        <v>5177</v>
      </c>
    </row>
    <row r="2563" spans="1:12" ht="15" customHeight="1" x14ac:dyDescent="0.25">
      <c r="A2563">
        <v>2562</v>
      </c>
      <c r="B2563" s="5">
        <v>45993</v>
      </c>
      <c r="C2563" t="s">
        <v>33</v>
      </c>
      <c r="D2563" t="s">
        <v>172</v>
      </c>
      <c r="E2563" t="s">
        <v>173</v>
      </c>
      <c r="F2563" t="s">
        <v>120</v>
      </c>
      <c r="G2563" s="6">
        <v>4016.26</v>
      </c>
      <c r="H2563" s="7">
        <v>0.2</v>
      </c>
      <c r="I2563" s="6">
        <v>803.25</v>
      </c>
      <c r="J2563" s="6">
        <v>4819.51</v>
      </c>
      <c r="K2563" t="s">
        <v>5178</v>
      </c>
      <c r="L2563" t="s">
        <v>5179</v>
      </c>
    </row>
    <row r="2564" spans="1:12" ht="15" customHeight="1" x14ac:dyDescent="0.25">
      <c r="A2564">
        <v>2563</v>
      </c>
      <c r="B2564" s="5">
        <v>45691</v>
      </c>
      <c r="C2564" t="s">
        <v>47</v>
      </c>
      <c r="D2564" t="s">
        <v>42</v>
      </c>
      <c r="E2564" t="s">
        <v>43</v>
      </c>
      <c r="F2564" t="s">
        <v>44</v>
      </c>
      <c r="G2564" s="6">
        <v>2985.42</v>
      </c>
      <c r="H2564" s="7">
        <v>0</v>
      </c>
      <c r="I2564" s="6">
        <v>0</v>
      </c>
      <c r="J2564" s="6">
        <v>2985.42</v>
      </c>
      <c r="K2564" t="s">
        <v>5180</v>
      </c>
      <c r="L2564" t="s">
        <v>5181</v>
      </c>
    </row>
    <row r="2565" spans="1:12" ht="15" customHeight="1" x14ac:dyDescent="0.25">
      <c r="A2565">
        <v>2564</v>
      </c>
      <c r="B2565" s="5">
        <v>45698</v>
      </c>
      <c r="C2565" t="s">
        <v>33</v>
      </c>
      <c r="D2565" t="s">
        <v>181</v>
      </c>
      <c r="E2565" t="s">
        <v>182</v>
      </c>
      <c r="F2565" t="s">
        <v>81</v>
      </c>
      <c r="G2565" s="6">
        <v>3059.23</v>
      </c>
      <c r="H2565" s="7">
        <v>0.2</v>
      </c>
      <c r="I2565" s="6">
        <v>611.85</v>
      </c>
      <c r="J2565" s="6">
        <v>3671.08</v>
      </c>
      <c r="K2565" t="s">
        <v>5182</v>
      </c>
      <c r="L2565" t="s">
        <v>5183</v>
      </c>
    </row>
    <row r="2566" spans="1:12" ht="15" customHeight="1" x14ac:dyDescent="0.25">
      <c r="A2566">
        <v>2565</v>
      </c>
      <c r="B2566" s="5">
        <v>46003</v>
      </c>
      <c r="C2566" t="s">
        <v>33</v>
      </c>
      <c r="D2566" t="s">
        <v>94</v>
      </c>
      <c r="E2566" t="s">
        <v>95</v>
      </c>
      <c r="F2566" t="s">
        <v>44</v>
      </c>
      <c r="G2566" s="6">
        <v>1970.35</v>
      </c>
      <c r="H2566" s="7">
        <v>0</v>
      </c>
      <c r="I2566" s="6">
        <v>0</v>
      </c>
      <c r="J2566" s="6">
        <v>1970.35</v>
      </c>
      <c r="K2566" t="s">
        <v>5184</v>
      </c>
      <c r="L2566" t="s">
        <v>5185</v>
      </c>
    </row>
    <row r="2567" spans="1:12" ht="15" customHeight="1" x14ac:dyDescent="0.25">
      <c r="A2567">
        <v>2566</v>
      </c>
      <c r="B2567" s="5">
        <v>45691</v>
      </c>
      <c r="C2567" t="s">
        <v>27</v>
      </c>
      <c r="D2567" t="s">
        <v>34</v>
      </c>
      <c r="E2567" t="s">
        <v>35</v>
      </c>
      <c r="F2567" t="s">
        <v>81</v>
      </c>
      <c r="G2567" s="6">
        <v>2595.87</v>
      </c>
      <c r="H2567" s="7">
        <v>0.2</v>
      </c>
      <c r="I2567" s="6">
        <v>519.16999999999996</v>
      </c>
      <c r="J2567" s="6">
        <v>3115.04</v>
      </c>
      <c r="K2567" t="s">
        <v>5186</v>
      </c>
      <c r="L2567" t="s">
        <v>5187</v>
      </c>
    </row>
    <row r="2568" spans="1:12" ht="15" customHeight="1" x14ac:dyDescent="0.25">
      <c r="A2568">
        <v>2567</v>
      </c>
      <c r="B2568" s="5">
        <v>45903</v>
      </c>
      <c r="C2568" t="s">
        <v>47</v>
      </c>
      <c r="D2568" t="s">
        <v>79</v>
      </c>
      <c r="E2568" t="s">
        <v>80</v>
      </c>
      <c r="F2568" t="s">
        <v>174</v>
      </c>
      <c r="G2568" s="6">
        <v>1717.36</v>
      </c>
      <c r="H2568" s="7">
        <v>0.2</v>
      </c>
      <c r="I2568" s="6">
        <v>343.47</v>
      </c>
      <c r="J2568" s="6">
        <v>2060.83</v>
      </c>
      <c r="K2568" t="s">
        <v>5188</v>
      </c>
      <c r="L2568" t="s">
        <v>5189</v>
      </c>
    </row>
    <row r="2569" spans="1:12" ht="15" customHeight="1" x14ac:dyDescent="0.25">
      <c r="A2569">
        <v>2568</v>
      </c>
      <c r="B2569" s="5">
        <v>45755</v>
      </c>
      <c r="C2569" t="s">
        <v>47</v>
      </c>
      <c r="D2569" t="s">
        <v>55</v>
      </c>
      <c r="E2569" t="s">
        <v>56</v>
      </c>
      <c r="F2569" t="s">
        <v>30</v>
      </c>
      <c r="G2569" s="6">
        <v>1088.25</v>
      </c>
      <c r="H2569" s="7">
        <v>5.5E-2</v>
      </c>
      <c r="I2569" s="6">
        <v>59.85</v>
      </c>
      <c r="J2569" s="6">
        <v>1148.0999999999999</v>
      </c>
      <c r="K2569" t="s">
        <v>5190</v>
      </c>
      <c r="L2569" t="s">
        <v>5191</v>
      </c>
    </row>
    <row r="2570" spans="1:12" ht="15" customHeight="1" x14ac:dyDescent="0.25">
      <c r="A2570">
        <v>2569</v>
      </c>
      <c r="B2570" s="5">
        <v>45896</v>
      </c>
      <c r="C2570" t="s">
        <v>27</v>
      </c>
      <c r="D2570" t="s">
        <v>55</v>
      </c>
      <c r="E2570" t="s">
        <v>56</v>
      </c>
      <c r="F2570" t="s">
        <v>50</v>
      </c>
      <c r="G2570" s="6">
        <v>3969.49</v>
      </c>
      <c r="H2570" s="7">
        <v>5.5E-2</v>
      </c>
      <c r="I2570" s="6">
        <v>218.32</v>
      </c>
      <c r="J2570" s="6">
        <v>4187.8100000000004</v>
      </c>
      <c r="K2570" t="s">
        <v>5192</v>
      </c>
      <c r="L2570" t="s">
        <v>5193</v>
      </c>
    </row>
    <row r="2571" spans="1:12" ht="15" customHeight="1" x14ac:dyDescent="0.25">
      <c r="A2571">
        <v>2570</v>
      </c>
      <c r="B2571" s="5">
        <v>45895</v>
      </c>
      <c r="C2571" t="s">
        <v>47</v>
      </c>
      <c r="D2571" t="s">
        <v>79</v>
      </c>
      <c r="E2571" t="s">
        <v>80</v>
      </c>
      <c r="F2571" t="s">
        <v>30</v>
      </c>
      <c r="G2571" s="6">
        <v>2078.62</v>
      </c>
      <c r="H2571" s="7">
        <v>0.2</v>
      </c>
      <c r="I2571" s="6">
        <v>415.72</v>
      </c>
      <c r="J2571" s="6">
        <v>2494.34</v>
      </c>
      <c r="K2571" t="s">
        <v>5194</v>
      </c>
      <c r="L2571" t="s">
        <v>5195</v>
      </c>
    </row>
    <row r="2572" spans="1:12" ht="15" customHeight="1" x14ac:dyDescent="0.25">
      <c r="A2572">
        <v>2571</v>
      </c>
      <c r="B2572" s="5">
        <v>45670</v>
      </c>
      <c r="C2572" t="s">
        <v>47</v>
      </c>
      <c r="D2572" t="s">
        <v>63</v>
      </c>
      <c r="E2572" t="s">
        <v>64</v>
      </c>
      <c r="F2572" t="s">
        <v>50</v>
      </c>
      <c r="G2572" s="6">
        <v>3940.26</v>
      </c>
      <c r="H2572" s="7">
        <v>0.2</v>
      </c>
      <c r="I2572" s="6">
        <v>788.05</v>
      </c>
      <c r="J2572" s="6">
        <v>4728.3100000000004</v>
      </c>
      <c r="K2572" t="s">
        <v>5196</v>
      </c>
      <c r="L2572" t="s">
        <v>5197</v>
      </c>
    </row>
    <row r="2573" spans="1:12" ht="15" customHeight="1" x14ac:dyDescent="0.25">
      <c r="A2573">
        <v>2572</v>
      </c>
      <c r="B2573" s="5">
        <v>45845</v>
      </c>
      <c r="C2573" t="s">
        <v>27</v>
      </c>
      <c r="D2573" t="s">
        <v>28</v>
      </c>
      <c r="E2573" t="s">
        <v>29</v>
      </c>
      <c r="F2573" t="s">
        <v>120</v>
      </c>
      <c r="G2573" s="6">
        <v>141.66</v>
      </c>
      <c r="H2573" s="7">
        <v>2.1000000000000001E-2</v>
      </c>
      <c r="I2573" s="6">
        <v>2.97</v>
      </c>
      <c r="J2573" s="6">
        <v>144.63</v>
      </c>
      <c r="K2573" t="s">
        <v>5198</v>
      </c>
      <c r="L2573" t="s">
        <v>5199</v>
      </c>
    </row>
    <row r="2574" spans="1:12" ht="15" customHeight="1" x14ac:dyDescent="0.25">
      <c r="A2574">
        <v>2573</v>
      </c>
      <c r="B2574" s="5">
        <v>45769</v>
      </c>
      <c r="C2574" t="s">
        <v>33</v>
      </c>
      <c r="D2574" t="s">
        <v>172</v>
      </c>
      <c r="E2574" t="s">
        <v>173</v>
      </c>
      <c r="F2574" t="s">
        <v>36</v>
      </c>
      <c r="G2574" s="6">
        <v>499.22</v>
      </c>
      <c r="H2574" s="7">
        <v>0.2</v>
      </c>
      <c r="I2574" s="6">
        <v>99.84</v>
      </c>
      <c r="J2574" s="6">
        <v>599.05999999999995</v>
      </c>
      <c r="K2574" t="s">
        <v>5200</v>
      </c>
      <c r="L2574" t="s">
        <v>5201</v>
      </c>
    </row>
    <row r="2575" spans="1:12" ht="15" customHeight="1" x14ac:dyDescent="0.25">
      <c r="A2575">
        <v>2574</v>
      </c>
      <c r="B2575" s="5">
        <v>45912</v>
      </c>
      <c r="C2575" t="s">
        <v>33</v>
      </c>
      <c r="D2575" t="s">
        <v>55</v>
      </c>
      <c r="E2575" t="s">
        <v>56</v>
      </c>
      <c r="F2575" t="s">
        <v>174</v>
      </c>
      <c r="G2575" s="6">
        <v>1813.66</v>
      </c>
      <c r="H2575" s="7">
        <v>5.5E-2</v>
      </c>
      <c r="I2575" s="6">
        <v>99.75</v>
      </c>
      <c r="J2575" s="6">
        <v>1913.41</v>
      </c>
      <c r="K2575" t="s">
        <v>5202</v>
      </c>
      <c r="L2575" t="s">
        <v>5203</v>
      </c>
    </row>
    <row r="2576" spans="1:12" ht="15" customHeight="1" x14ac:dyDescent="0.25">
      <c r="A2576">
        <v>2575</v>
      </c>
      <c r="B2576" s="5">
        <v>45755</v>
      </c>
      <c r="C2576" t="s">
        <v>27</v>
      </c>
      <c r="D2576" t="s">
        <v>55</v>
      </c>
      <c r="E2576" t="s">
        <v>56</v>
      </c>
      <c r="F2576" t="s">
        <v>81</v>
      </c>
      <c r="G2576" s="6">
        <v>2230.48</v>
      </c>
      <c r="H2576" s="7">
        <v>5.5E-2</v>
      </c>
      <c r="I2576" s="6">
        <v>122.68</v>
      </c>
      <c r="J2576" s="6">
        <v>2353.16</v>
      </c>
      <c r="K2576" t="s">
        <v>5204</v>
      </c>
      <c r="L2576" t="s">
        <v>5205</v>
      </c>
    </row>
    <row r="2577" spans="1:12" ht="15" customHeight="1" x14ac:dyDescent="0.25">
      <c r="A2577">
        <v>2576</v>
      </c>
      <c r="B2577" s="5">
        <v>45688</v>
      </c>
      <c r="C2577" t="s">
        <v>47</v>
      </c>
      <c r="D2577" t="s">
        <v>79</v>
      </c>
      <c r="E2577" t="s">
        <v>80</v>
      </c>
      <c r="F2577" t="s">
        <v>87</v>
      </c>
      <c r="G2577" s="6">
        <v>1641.89</v>
      </c>
      <c r="H2577" s="7">
        <v>0.2</v>
      </c>
      <c r="I2577" s="6">
        <v>328.38</v>
      </c>
      <c r="J2577" s="6">
        <v>1970.27</v>
      </c>
      <c r="K2577" t="s">
        <v>5206</v>
      </c>
      <c r="L2577" t="s">
        <v>5207</v>
      </c>
    </row>
    <row r="2578" spans="1:12" ht="15" customHeight="1" x14ac:dyDescent="0.25">
      <c r="A2578">
        <v>2577</v>
      </c>
      <c r="B2578" s="5">
        <v>45806</v>
      </c>
      <c r="C2578" t="s">
        <v>47</v>
      </c>
      <c r="D2578" t="s">
        <v>42</v>
      </c>
      <c r="E2578" t="s">
        <v>43</v>
      </c>
      <c r="F2578" t="s">
        <v>44</v>
      </c>
      <c r="G2578" s="6">
        <v>3045.03</v>
      </c>
      <c r="H2578" s="7">
        <v>0</v>
      </c>
      <c r="I2578" s="6">
        <v>0</v>
      </c>
      <c r="J2578" s="6">
        <v>3045.03</v>
      </c>
      <c r="K2578" t="s">
        <v>5208</v>
      </c>
      <c r="L2578" t="s">
        <v>5209</v>
      </c>
    </row>
    <row r="2579" spans="1:12" ht="15" customHeight="1" x14ac:dyDescent="0.25">
      <c r="A2579">
        <v>2578</v>
      </c>
      <c r="B2579" s="5">
        <v>45664</v>
      </c>
      <c r="C2579" t="s">
        <v>33</v>
      </c>
      <c r="D2579" t="s">
        <v>63</v>
      </c>
      <c r="E2579" t="s">
        <v>64</v>
      </c>
      <c r="F2579" t="s">
        <v>120</v>
      </c>
      <c r="G2579" s="6">
        <v>4309.3100000000004</v>
      </c>
      <c r="H2579" s="7">
        <v>0.2</v>
      </c>
      <c r="I2579" s="6">
        <v>861.86</v>
      </c>
      <c r="J2579" s="6">
        <v>5171.17</v>
      </c>
      <c r="K2579" t="s">
        <v>5210</v>
      </c>
      <c r="L2579" t="s">
        <v>5211</v>
      </c>
    </row>
    <row r="2580" spans="1:12" ht="15" customHeight="1" x14ac:dyDescent="0.25">
      <c r="A2580">
        <v>2579</v>
      </c>
      <c r="B2580" s="5">
        <v>46008</v>
      </c>
      <c r="C2580" t="s">
        <v>47</v>
      </c>
      <c r="D2580" t="s">
        <v>181</v>
      </c>
      <c r="E2580" t="s">
        <v>182</v>
      </c>
      <c r="F2580" t="s">
        <v>84</v>
      </c>
      <c r="G2580" s="6">
        <v>2813.68</v>
      </c>
      <c r="H2580" s="7">
        <v>0.2</v>
      </c>
      <c r="I2580" s="6">
        <v>562.74</v>
      </c>
      <c r="J2580" s="6">
        <v>3376.42</v>
      </c>
      <c r="K2580" t="s">
        <v>5212</v>
      </c>
      <c r="L2580" t="s">
        <v>5213</v>
      </c>
    </row>
    <row r="2581" spans="1:12" ht="15" customHeight="1" x14ac:dyDescent="0.25">
      <c r="A2581">
        <v>2580</v>
      </c>
      <c r="B2581" s="5">
        <v>45832</v>
      </c>
      <c r="C2581" t="s">
        <v>27</v>
      </c>
      <c r="D2581" t="s">
        <v>28</v>
      </c>
      <c r="E2581" t="s">
        <v>29</v>
      </c>
      <c r="F2581" t="s">
        <v>81</v>
      </c>
      <c r="G2581" s="6">
        <v>3283.42</v>
      </c>
      <c r="H2581" s="7">
        <v>2.1000000000000001E-2</v>
      </c>
      <c r="I2581" s="6">
        <v>68.95</v>
      </c>
      <c r="J2581" s="6">
        <v>3352.37</v>
      </c>
      <c r="K2581" t="s">
        <v>5214</v>
      </c>
      <c r="L2581" t="s">
        <v>5215</v>
      </c>
    </row>
    <row r="2582" spans="1:12" ht="15" customHeight="1" x14ac:dyDescent="0.25">
      <c r="A2582">
        <v>2581</v>
      </c>
      <c r="B2582" s="5">
        <v>45667</v>
      </c>
      <c r="C2582" t="s">
        <v>47</v>
      </c>
      <c r="D2582" t="s">
        <v>172</v>
      </c>
      <c r="E2582" t="s">
        <v>173</v>
      </c>
      <c r="F2582" t="s">
        <v>36</v>
      </c>
      <c r="G2582" s="6">
        <v>2056.09</v>
      </c>
      <c r="H2582" s="7">
        <v>0.2</v>
      </c>
      <c r="I2582" s="6">
        <v>411.22</v>
      </c>
      <c r="J2582" s="6">
        <v>2467.31</v>
      </c>
      <c r="K2582" t="s">
        <v>5216</v>
      </c>
      <c r="L2582" t="s">
        <v>5217</v>
      </c>
    </row>
    <row r="2583" spans="1:12" ht="15" customHeight="1" x14ac:dyDescent="0.25">
      <c r="A2583">
        <v>2582</v>
      </c>
      <c r="B2583" s="5">
        <v>46010</v>
      </c>
      <c r="C2583" t="s">
        <v>33</v>
      </c>
      <c r="D2583" t="s">
        <v>100</v>
      </c>
      <c r="E2583" t="s">
        <v>101</v>
      </c>
      <c r="F2583" t="s">
        <v>44</v>
      </c>
      <c r="G2583" s="6">
        <v>3892.5</v>
      </c>
      <c r="H2583" s="7">
        <v>0</v>
      </c>
      <c r="I2583" s="6">
        <v>0</v>
      </c>
      <c r="J2583" s="6">
        <v>3892.5</v>
      </c>
      <c r="K2583" t="s">
        <v>5218</v>
      </c>
      <c r="L2583" t="s">
        <v>5219</v>
      </c>
    </row>
    <row r="2584" spans="1:12" ht="15" customHeight="1" x14ac:dyDescent="0.25">
      <c r="A2584">
        <v>2583</v>
      </c>
      <c r="B2584" s="5">
        <v>45901</v>
      </c>
      <c r="C2584" t="s">
        <v>27</v>
      </c>
      <c r="D2584" t="s">
        <v>100</v>
      </c>
      <c r="E2584" t="s">
        <v>101</v>
      </c>
      <c r="F2584" t="s">
        <v>44</v>
      </c>
      <c r="G2584" s="6">
        <v>3131.99</v>
      </c>
      <c r="H2584" s="7">
        <v>0</v>
      </c>
      <c r="I2584" s="6">
        <v>0</v>
      </c>
      <c r="J2584" s="6">
        <v>3131.99</v>
      </c>
      <c r="K2584" t="s">
        <v>5220</v>
      </c>
      <c r="L2584" t="s">
        <v>5221</v>
      </c>
    </row>
    <row r="2585" spans="1:12" ht="15" customHeight="1" x14ac:dyDescent="0.25">
      <c r="A2585">
        <v>2584</v>
      </c>
      <c r="B2585" s="5">
        <v>45723</v>
      </c>
      <c r="C2585" t="s">
        <v>47</v>
      </c>
      <c r="D2585" t="s">
        <v>42</v>
      </c>
      <c r="E2585" t="s">
        <v>43</v>
      </c>
      <c r="F2585" t="s">
        <v>44</v>
      </c>
      <c r="G2585" s="6">
        <v>3675.83</v>
      </c>
      <c r="H2585" s="7">
        <v>0</v>
      </c>
      <c r="I2585" s="6">
        <v>0</v>
      </c>
      <c r="J2585" s="6">
        <v>3675.83</v>
      </c>
      <c r="K2585" t="s">
        <v>5222</v>
      </c>
      <c r="L2585" t="s">
        <v>5223</v>
      </c>
    </row>
    <row r="2586" spans="1:12" ht="15" customHeight="1" x14ac:dyDescent="0.25">
      <c r="A2586">
        <v>2585</v>
      </c>
      <c r="B2586" s="5">
        <v>45779</v>
      </c>
      <c r="C2586" t="s">
        <v>33</v>
      </c>
      <c r="D2586" t="s">
        <v>42</v>
      </c>
      <c r="E2586" t="s">
        <v>43</v>
      </c>
      <c r="F2586" t="s">
        <v>44</v>
      </c>
      <c r="G2586" s="6">
        <v>2397.84</v>
      </c>
      <c r="H2586" s="7">
        <v>0</v>
      </c>
      <c r="I2586" s="6">
        <v>0</v>
      </c>
      <c r="J2586" s="6">
        <v>2397.84</v>
      </c>
      <c r="K2586" t="s">
        <v>5224</v>
      </c>
      <c r="L2586" t="s">
        <v>5225</v>
      </c>
    </row>
    <row r="2587" spans="1:12" ht="15" customHeight="1" x14ac:dyDescent="0.25">
      <c r="A2587">
        <v>2586</v>
      </c>
      <c r="B2587" s="5">
        <v>45818</v>
      </c>
      <c r="C2587" t="s">
        <v>47</v>
      </c>
      <c r="D2587" t="s">
        <v>100</v>
      </c>
      <c r="E2587" t="s">
        <v>101</v>
      </c>
      <c r="F2587" t="s">
        <v>44</v>
      </c>
      <c r="G2587" s="6">
        <v>2029.4</v>
      </c>
      <c r="H2587" s="7">
        <v>0</v>
      </c>
      <c r="I2587" s="6">
        <v>0</v>
      </c>
      <c r="J2587" s="6">
        <v>2029.4</v>
      </c>
      <c r="K2587" t="s">
        <v>5226</v>
      </c>
      <c r="L2587" t="s">
        <v>5227</v>
      </c>
    </row>
    <row r="2588" spans="1:12" ht="15" customHeight="1" x14ac:dyDescent="0.25">
      <c r="A2588">
        <v>2587</v>
      </c>
      <c r="B2588" s="5">
        <v>45699</v>
      </c>
      <c r="C2588" t="s">
        <v>33</v>
      </c>
      <c r="D2588" t="s">
        <v>181</v>
      </c>
      <c r="E2588" t="s">
        <v>182</v>
      </c>
      <c r="F2588" t="s">
        <v>76</v>
      </c>
      <c r="G2588" s="6">
        <v>2419.2199999999998</v>
      </c>
      <c r="H2588" s="7">
        <v>0.2</v>
      </c>
      <c r="I2588" s="6">
        <v>483.84</v>
      </c>
      <c r="J2588" s="6">
        <v>2903.06</v>
      </c>
      <c r="K2588" t="s">
        <v>5228</v>
      </c>
      <c r="L2588" t="s">
        <v>5229</v>
      </c>
    </row>
    <row r="2589" spans="1:12" ht="15" customHeight="1" x14ac:dyDescent="0.25">
      <c r="A2589">
        <v>2588</v>
      </c>
      <c r="B2589" s="5">
        <v>45888</v>
      </c>
      <c r="C2589" t="s">
        <v>27</v>
      </c>
      <c r="D2589" t="s">
        <v>55</v>
      </c>
      <c r="E2589" t="s">
        <v>56</v>
      </c>
      <c r="F2589" t="s">
        <v>71</v>
      </c>
      <c r="G2589" s="6">
        <v>1801.93</v>
      </c>
      <c r="H2589" s="7">
        <v>5.5E-2</v>
      </c>
      <c r="I2589" s="6">
        <v>99.11</v>
      </c>
      <c r="J2589" s="6">
        <v>1901.04</v>
      </c>
      <c r="K2589" t="s">
        <v>5230</v>
      </c>
      <c r="L2589" t="s">
        <v>5231</v>
      </c>
    </row>
    <row r="2590" spans="1:12" ht="15" customHeight="1" x14ac:dyDescent="0.25">
      <c r="A2590">
        <v>2589</v>
      </c>
      <c r="B2590" s="5">
        <v>45688</v>
      </c>
      <c r="C2590" t="s">
        <v>47</v>
      </c>
      <c r="D2590" t="s">
        <v>42</v>
      </c>
      <c r="E2590" t="s">
        <v>43</v>
      </c>
      <c r="F2590" t="s">
        <v>44</v>
      </c>
      <c r="G2590" s="6">
        <v>2336</v>
      </c>
      <c r="H2590" s="7">
        <v>0</v>
      </c>
      <c r="I2590" s="6">
        <v>0</v>
      </c>
      <c r="J2590" s="6">
        <v>2336</v>
      </c>
      <c r="K2590" t="s">
        <v>5232</v>
      </c>
      <c r="L2590" t="s">
        <v>5233</v>
      </c>
    </row>
    <row r="2591" spans="1:12" ht="15" customHeight="1" x14ac:dyDescent="0.25">
      <c r="A2591">
        <v>2590</v>
      </c>
      <c r="B2591" s="5">
        <v>45975</v>
      </c>
      <c r="C2591" t="s">
        <v>47</v>
      </c>
      <c r="D2591" t="s">
        <v>55</v>
      </c>
      <c r="E2591" t="s">
        <v>56</v>
      </c>
      <c r="F2591" t="s">
        <v>30</v>
      </c>
      <c r="G2591" s="6">
        <v>2212.88</v>
      </c>
      <c r="H2591" s="7">
        <v>5.5E-2</v>
      </c>
      <c r="I2591" s="6">
        <v>121.71</v>
      </c>
      <c r="J2591" s="6">
        <v>2334.59</v>
      </c>
      <c r="K2591" t="s">
        <v>5234</v>
      </c>
      <c r="L2591" t="s">
        <v>5235</v>
      </c>
    </row>
    <row r="2592" spans="1:12" ht="15" customHeight="1" x14ac:dyDescent="0.25">
      <c r="A2592">
        <v>2591</v>
      </c>
      <c r="B2592" s="5">
        <v>45818</v>
      </c>
      <c r="C2592" t="s">
        <v>47</v>
      </c>
      <c r="D2592" t="s">
        <v>100</v>
      </c>
      <c r="E2592" t="s">
        <v>101</v>
      </c>
      <c r="F2592" t="s">
        <v>44</v>
      </c>
      <c r="G2592" s="6">
        <v>3087.14</v>
      </c>
      <c r="H2592" s="7">
        <v>0</v>
      </c>
      <c r="I2592" s="6">
        <v>0</v>
      </c>
      <c r="J2592" s="6">
        <v>3087.14</v>
      </c>
      <c r="K2592" t="s">
        <v>5236</v>
      </c>
      <c r="L2592" t="s">
        <v>5237</v>
      </c>
    </row>
    <row r="2593" spans="1:12" ht="15" customHeight="1" x14ac:dyDescent="0.25">
      <c r="A2593">
        <v>2592</v>
      </c>
      <c r="B2593" s="5">
        <v>45967</v>
      </c>
      <c r="C2593" t="s">
        <v>27</v>
      </c>
      <c r="D2593" t="s">
        <v>28</v>
      </c>
      <c r="E2593" t="s">
        <v>29</v>
      </c>
      <c r="F2593" t="s">
        <v>81</v>
      </c>
      <c r="G2593" s="6">
        <v>612</v>
      </c>
      <c r="H2593" s="7">
        <v>2.1000000000000001E-2</v>
      </c>
      <c r="I2593" s="6">
        <v>12.85</v>
      </c>
      <c r="J2593" s="6">
        <v>624.85</v>
      </c>
      <c r="K2593" t="s">
        <v>5238</v>
      </c>
      <c r="L2593" t="s">
        <v>5239</v>
      </c>
    </row>
    <row r="2594" spans="1:12" ht="15" customHeight="1" x14ac:dyDescent="0.25">
      <c r="A2594">
        <v>2593</v>
      </c>
      <c r="B2594" s="5">
        <v>45926</v>
      </c>
      <c r="C2594" t="s">
        <v>27</v>
      </c>
      <c r="D2594" t="s">
        <v>100</v>
      </c>
      <c r="E2594" t="s">
        <v>101</v>
      </c>
      <c r="F2594" t="s">
        <v>44</v>
      </c>
      <c r="G2594" s="6">
        <v>2477.9</v>
      </c>
      <c r="H2594" s="7">
        <v>0</v>
      </c>
      <c r="I2594" s="6">
        <v>0</v>
      </c>
      <c r="J2594" s="6">
        <v>2477.9</v>
      </c>
      <c r="K2594" t="s">
        <v>5240</v>
      </c>
      <c r="L2594" t="s">
        <v>5241</v>
      </c>
    </row>
    <row r="2595" spans="1:12" ht="15" customHeight="1" x14ac:dyDescent="0.25">
      <c r="A2595">
        <v>2594</v>
      </c>
      <c r="B2595" s="5">
        <v>45663</v>
      </c>
      <c r="C2595" t="s">
        <v>47</v>
      </c>
      <c r="D2595" t="s">
        <v>63</v>
      </c>
      <c r="E2595" t="s">
        <v>64</v>
      </c>
      <c r="F2595" t="s">
        <v>71</v>
      </c>
      <c r="G2595" s="6">
        <v>1397.94</v>
      </c>
      <c r="H2595" s="7">
        <v>0.2</v>
      </c>
      <c r="I2595" s="6">
        <v>279.58999999999997</v>
      </c>
      <c r="J2595" s="6">
        <v>1677.53</v>
      </c>
      <c r="K2595" t="s">
        <v>5242</v>
      </c>
      <c r="L2595" t="s">
        <v>5243</v>
      </c>
    </row>
    <row r="2596" spans="1:12" ht="15" customHeight="1" x14ac:dyDescent="0.25">
      <c r="A2596">
        <v>2595</v>
      </c>
      <c r="B2596" s="5">
        <v>45987</v>
      </c>
      <c r="C2596" t="s">
        <v>47</v>
      </c>
      <c r="D2596" t="s">
        <v>28</v>
      </c>
      <c r="E2596" t="s">
        <v>29</v>
      </c>
      <c r="F2596" t="s">
        <v>87</v>
      </c>
      <c r="G2596" s="6">
        <v>3449.69</v>
      </c>
      <c r="H2596" s="7">
        <v>2.1000000000000001E-2</v>
      </c>
      <c r="I2596" s="6">
        <v>72.44</v>
      </c>
      <c r="J2596" s="6">
        <v>3522.13</v>
      </c>
      <c r="K2596" t="s">
        <v>5244</v>
      </c>
      <c r="L2596" t="s">
        <v>5245</v>
      </c>
    </row>
    <row r="2597" spans="1:12" ht="15" customHeight="1" x14ac:dyDescent="0.25">
      <c r="A2597">
        <v>2596</v>
      </c>
      <c r="B2597" s="5">
        <v>45733</v>
      </c>
      <c r="C2597" t="s">
        <v>47</v>
      </c>
      <c r="D2597" t="s">
        <v>42</v>
      </c>
      <c r="E2597" t="s">
        <v>43</v>
      </c>
      <c r="F2597" t="s">
        <v>44</v>
      </c>
      <c r="G2597" s="6">
        <v>2716.85</v>
      </c>
      <c r="H2597" s="7">
        <v>0</v>
      </c>
      <c r="I2597" s="6">
        <v>0</v>
      </c>
      <c r="J2597" s="6">
        <v>2716.85</v>
      </c>
      <c r="K2597" t="s">
        <v>5246</v>
      </c>
      <c r="L2597" t="s">
        <v>5247</v>
      </c>
    </row>
    <row r="2598" spans="1:12" ht="15" customHeight="1" x14ac:dyDescent="0.25">
      <c r="A2598">
        <v>2597</v>
      </c>
      <c r="B2598" s="5">
        <v>45818</v>
      </c>
      <c r="C2598" t="s">
        <v>27</v>
      </c>
      <c r="D2598" t="s">
        <v>79</v>
      </c>
      <c r="E2598" t="s">
        <v>80</v>
      </c>
      <c r="F2598" t="s">
        <v>174</v>
      </c>
      <c r="G2598" s="6">
        <v>556.23</v>
      </c>
      <c r="H2598" s="7">
        <v>0.2</v>
      </c>
      <c r="I2598" s="6">
        <v>111.25</v>
      </c>
      <c r="J2598" s="6">
        <v>667.48</v>
      </c>
      <c r="K2598" t="s">
        <v>5248</v>
      </c>
      <c r="L2598" t="s">
        <v>5249</v>
      </c>
    </row>
    <row r="2599" spans="1:12" ht="15" customHeight="1" x14ac:dyDescent="0.25">
      <c r="A2599">
        <v>2598</v>
      </c>
      <c r="B2599" s="5">
        <v>45968</v>
      </c>
      <c r="C2599" t="s">
        <v>47</v>
      </c>
      <c r="D2599" t="s">
        <v>28</v>
      </c>
      <c r="E2599" t="s">
        <v>29</v>
      </c>
      <c r="F2599" t="s">
        <v>30</v>
      </c>
      <c r="G2599" s="6">
        <v>2083.73</v>
      </c>
      <c r="H2599" s="7">
        <v>2.1000000000000001E-2</v>
      </c>
      <c r="I2599" s="6">
        <v>43.76</v>
      </c>
      <c r="J2599" s="6">
        <v>2127.4899999999998</v>
      </c>
      <c r="K2599" t="s">
        <v>5250</v>
      </c>
      <c r="L2599" t="s">
        <v>5251</v>
      </c>
    </row>
    <row r="2600" spans="1:12" ht="15" customHeight="1" x14ac:dyDescent="0.25">
      <c r="A2600">
        <v>2599</v>
      </c>
      <c r="B2600" s="5">
        <v>45666</v>
      </c>
      <c r="C2600" t="s">
        <v>33</v>
      </c>
      <c r="D2600" t="s">
        <v>55</v>
      </c>
      <c r="E2600" t="s">
        <v>56</v>
      </c>
      <c r="F2600" t="s">
        <v>50</v>
      </c>
      <c r="G2600" s="6">
        <v>627.70000000000005</v>
      </c>
      <c r="H2600" s="7">
        <v>5.5E-2</v>
      </c>
      <c r="I2600" s="6">
        <v>34.520000000000003</v>
      </c>
      <c r="J2600" s="6">
        <v>662.22</v>
      </c>
      <c r="K2600" t="s">
        <v>5252</v>
      </c>
      <c r="L2600" t="s">
        <v>5253</v>
      </c>
    </row>
    <row r="2601" spans="1:12" ht="15" customHeight="1" x14ac:dyDescent="0.25">
      <c r="A2601">
        <v>2600</v>
      </c>
      <c r="B2601" s="5">
        <v>45819</v>
      </c>
      <c r="C2601" t="s">
        <v>47</v>
      </c>
      <c r="D2601" t="s">
        <v>55</v>
      </c>
      <c r="E2601" t="s">
        <v>56</v>
      </c>
      <c r="F2601" t="s">
        <v>36</v>
      </c>
      <c r="G2601" s="6">
        <v>3756.58</v>
      </c>
      <c r="H2601" s="7">
        <v>5.5E-2</v>
      </c>
      <c r="I2601" s="6">
        <v>206.61</v>
      </c>
      <c r="J2601" s="6">
        <v>3963.19</v>
      </c>
      <c r="K2601" t="s">
        <v>5254</v>
      </c>
      <c r="L2601" t="s">
        <v>5255</v>
      </c>
    </row>
    <row r="2602" spans="1:12" ht="15" customHeight="1" x14ac:dyDescent="0.25">
      <c r="A2602">
        <v>2601</v>
      </c>
      <c r="B2602" s="5">
        <v>45988</v>
      </c>
      <c r="C2602" t="s">
        <v>33</v>
      </c>
      <c r="D2602" t="s">
        <v>181</v>
      </c>
      <c r="E2602" t="s">
        <v>182</v>
      </c>
      <c r="F2602" t="s">
        <v>30</v>
      </c>
      <c r="G2602" s="6">
        <v>1511.57</v>
      </c>
      <c r="H2602" s="7">
        <v>0.2</v>
      </c>
      <c r="I2602" s="6">
        <v>302.31</v>
      </c>
      <c r="J2602" s="6">
        <v>1813.88</v>
      </c>
      <c r="K2602" t="s">
        <v>5256</v>
      </c>
      <c r="L2602" t="s">
        <v>5257</v>
      </c>
    </row>
    <row r="2603" spans="1:12" ht="15" customHeight="1" x14ac:dyDescent="0.25">
      <c r="A2603">
        <v>2602</v>
      </c>
      <c r="B2603" s="5">
        <v>45987</v>
      </c>
      <c r="C2603" t="s">
        <v>27</v>
      </c>
      <c r="D2603" t="s">
        <v>42</v>
      </c>
      <c r="E2603" t="s">
        <v>43</v>
      </c>
      <c r="F2603" t="s">
        <v>44</v>
      </c>
      <c r="G2603" s="6">
        <v>3157.48</v>
      </c>
      <c r="H2603" s="7">
        <v>0</v>
      </c>
      <c r="I2603" s="6">
        <v>0</v>
      </c>
      <c r="J2603" s="6">
        <v>3157.48</v>
      </c>
      <c r="K2603" t="s">
        <v>5258</v>
      </c>
      <c r="L2603" t="s">
        <v>5259</v>
      </c>
    </row>
    <row r="2604" spans="1:12" ht="15" customHeight="1" x14ac:dyDescent="0.25">
      <c r="A2604">
        <v>2603</v>
      </c>
      <c r="B2604" s="5">
        <v>45686</v>
      </c>
      <c r="C2604" t="s">
        <v>33</v>
      </c>
      <c r="D2604" t="s">
        <v>100</v>
      </c>
      <c r="E2604" t="s">
        <v>101</v>
      </c>
      <c r="F2604" t="s">
        <v>44</v>
      </c>
      <c r="G2604" s="6">
        <v>3512.79</v>
      </c>
      <c r="H2604" s="7">
        <v>0</v>
      </c>
      <c r="I2604" s="6">
        <v>0</v>
      </c>
      <c r="J2604" s="6">
        <v>3512.79</v>
      </c>
      <c r="K2604" t="s">
        <v>5260</v>
      </c>
      <c r="L2604" t="s">
        <v>5261</v>
      </c>
    </row>
    <row r="2605" spans="1:12" ht="15" customHeight="1" x14ac:dyDescent="0.25">
      <c r="A2605">
        <v>2604</v>
      </c>
      <c r="B2605" s="5">
        <v>45729</v>
      </c>
      <c r="C2605" t="s">
        <v>33</v>
      </c>
      <c r="D2605" t="s">
        <v>100</v>
      </c>
      <c r="E2605" t="s">
        <v>101</v>
      </c>
      <c r="F2605" t="s">
        <v>44</v>
      </c>
      <c r="G2605" s="6">
        <v>3054.67</v>
      </c>
      <c r="H2605" s="7">
        <v>0</v>
      </c>
      <c r="I2605" s="6">
        <v>0</v>
      </c>
      <c r="J2605" s="6">
        <v>3054.67</v>
      </c>
      <c r="K2605" t="s">
        <v>5262</v>
      </c>
      <c r="L2605" t="s">
        <v>5263</v>
      </c>
    </row>
    <row r="2606" spans="1:12" ht="15" customHeight="1" x14ac:dyDescent="0.25">
      <c r="A2606">
        <v>2605</v>
      </c>
      <c r="B2606" s="5">
        <v>45842</v>
      </c>
      <c r="C2606" t="s">
        <v>33</v>
      </c>
      <c r="D2606" t="s">
        <v>28</v>
      </c>
      <c r="E2606" t="s">
        <v>29</v>
      </c>
      <c r="F2606" t="s">
        <v>50</v>
      </c>
      <c r="G2606" s="6">
        <v>4377.6499999999996</v>
      </c>
      <c r="H2606" s="7">
        <v>2.1000000000000001E-2</v>
      </c>
      <c r="I2606" s="6">
        <v>91.93</v>
      </c>
      <c r="J2606" s="6">
        <v>4469.58</v>
      </c>
      <c r="K2606" t="s">
        <v>5264</v>
      </c>
      <c r="L2606" t="s">
        <v>5265</v>
      </c>
    </row>
    <row r="2607" spans="1:12" ht="15" customHeight="1" x14ac:dyDescent="0.25">
      <c r="A2607">
        <v>2606</v>
      </c>
      <c r="B2607" s="5">
        <v>45693</v>
      </c>
      <c r="C2607" t="s">
        <v>47</v>
      </c>
      <c r="D2607" t="s">
        <v>55</v>
      </c>
      <c r="E2607" t="s">
        <v>56</v>
      </c>
      <c r="F2607" t="s">
        <v>106</v>
      </c>
      <c r="G2607" s="6">
        <v>2256.65</v>
      </c>
      <c r="H2607" s="7">
        <v>5.5E-2</v>
      </c>
      <c r="I2607" s="6">
        <v>124.12</v>
      </c>
      <c r="J2607" s="6">
        <v>2380.77</v>
      </c>
      <c r="K2607" t="s">
        <v>5266</v>
      </c>
      <c r="L2607" t="s">
        <v>5267</v>
      </c>
    </row>
    <row r="2608" spans="1:12" ht="15" customHeight="1" x14ac:dyDescent="0.25">
      <c r="A2608">
        <v>2607</v>
      </c>
      <c r="B2608" s="5">
        <v>45860</v>
      </c>
      <c r="C2608" t="s">
        <v>27</v>
      </c>
      <c r="D2608" t="s">
        <v>63</v>
      </c>
      <c r="E2608" t="s">
        <v>64</v>
      </c>
      <c r="F2608" t="s">
        <v>106</v>
      </c>
      <c r="G2608" s="6">
        <v>3150.07</v>
      </c>
      <c r="H2608" s="7">
        <v>0.2</v>
      </c>
      <c r="I2608" s="6">
        <v>630.01</v>
      </c>
      <c r="J2608" s="6">
        <v>3780.08</v>
      </c>
      <c r="K2608" t="s">
        <v>5268</v>
      </c>
      <c r="L2608" t="s">
        <v>5269</v>
      </c>
    </row>
    <row r="2609" spans="1:12" ht="15" customHeight="1" x14ac:dyDescent="0.25">
      <c r="A2609">
        <v>2608</v>
      </c>
      <c r="B2609" s="5">
        <v>45887</v>
      </c>
      <c r="C2609" t="s">
        <v>33</v>
      </c>
      <c r="D2609" t="s">
        <v>42</v>
      </c>
      <c r="E2609" t="s">
        <v>43</v>
      </c>
      <c r="F2609" t="s">
        <v>44</v>
      </c>
      <c r="G2609" s="6">
        <v>3630.63</v>
      </c>
      <c r="H2609" s="7">
        <v>0</v>
      </c>
      <c r="I2609" s="6">
        <v>0</v>
      </c>
      <c r="J2609" s="6">
        <v>3630.63</v>
      </c>
      <c r="K2609" t="s">
        <v>5270</v>
      </c>
      <c r="L2609" t="s">
        <v>5271</v>
      </c>
    </row>
    <row r="2610" spans="1:12" ht="15" customHeight="1" x14ac:dyDescent="0.25">
      <c r="A2610">
        <v>2609</v>
      </c>
      <c r="B2610" s="5">
        <v>45988</v>
      </c>
      <c r="C2610" t="s">
        <v>33</v>
      </c>
      <c r="D2610" t="s">
        <v>55</v>
      </c>
      <c r="E2610" t="s">
        <v>56</v>
      </c>
      <c r="F2610" t="s">
        <v>39</v>
      </c>
      <c r="G2610" s="6">
        <v>3101.17</v>
      </c>
      <c r="H2610" s="7">
        <v>5.5E-2</v>
      </c>
      <c r="I2610" s="6">
        <v>170.56</v>
      </c>
      <c r="J2610" s="6">
        <v>3271.73</v>
      </c>
      <c r="K2610" t="s">
        <v>5272</v>
      </c>
      <c r="L2610" t="s">
        <v>5273</v>
      </c>
    </row>
    <row r="2611" spans="1:12" ht="15" customHeight="1" x14ac:dyDescent="0.25">
      <c r="A2611">
        <v>2610</v>
      </c>
      <c r="B2611" s="5">
        <v>45903</v>
      </c>
      <c r="C2611" t="s">
        <v>27</v>
      </c>
      <c r="D2611" t="s">
        <v>42</v>
      </c>
      <c r="E2611" t="s">
        <v>43</v>
      </c>
      <c r="F2611" t="s">
        <v>44</v>
      </c>
      <c r="G2611" s="6">
        <v>2325.6</v>
      </c>
      <c r="H2611" s="7">
        <v>0</v>
      </c>
      <c r="I2611" s="6">
        <v>0</v>
      </c>
      <c r="J2611" s="6">
        <v>2325.6</v>
      </c>
      <c r="K2611" t="s">
        <v>5274</v>
      </c>
      <c r="L2611" t="s">
        <v>5275</v>
      </c>
    </row>
    <row r="2612" spans="1:12" ht="15" customHeight="1" x14ac:dyDescent="0.25">
      <c r="A2612">
        <v>2611</v>
      </c>
      <c r="B2612" s="5">
        <v>45728</v>
      </c>
      <c r="C2612" t="s">
        <v>33</v>
      </c>
      <c r="D2612" t="s">
        <v>100</v>
      </c>
      <c r="E2612" t="s">
        <v>101</v>
      </c>
      <c r="F2612" t="s">
        <v>44</v>
      </c>
      <c r="G2612" s="6">
        <v>2575.08</v>
      </c>
      <c r="H2612" s="7">
        <v>0</v>
      </c>
      <c r="I2612" s="6">
        <v>0</v>
      </c>
      <c r="J2612" s="6">
        <v>2575.08</v>
      </c>
      <c r="K2612" t="s">
        <v>5276</v>
      </c>
      <c r="L2612" t="s">
        <v>5277</v>
      </c>
    </row>
    <row r="2613" spans="1:12" ht="15" customHeight="1" x14ac:dyDescent="0.25">
      <c r="A2613">
        <v>2612</v>
      </c>
      <c r="B2613" s="5">
        <v>45667</v>
      </c>
      <c r="C2613" t="s">
        <v>27</v>
      </c>
      <c r="D2613" t="s">
        <v>34</v>
      </c>
      <c r="E2613" t="s">
        <v>35</v>
      </c>
      <c r="F2613" t="s">
        <v>174</v>
      </c>
      <c r="G2613" s="6">
        <v>2335.29</v>
      </c>
      <c r="H2613" s="7">
        <v>0.2</v>
      </c>
      <c r="I2613" s="6">
        <v>467.06</v>
      </c>
      <c r="J2613" s="6">
        <v>2802.35</v>
      </c>
      <c r="K2613" t="s">
        <v>5278</v>
      </c>
      <c r="L2613" t="s">
        <v>5279</v>
      </c>
    </row>
    <row r="2614" spans="1:12" ht="15" customHeight="1" x14ac:dyDescent="0.25">
      <c r="A2614">
        <v>2613</v>
      </c>
      <c r="B2614" s="5">
        <v>46014</v>
      </c>
      <c r="C2614" t="s">
        <v>33</v>
      </c>
      <c r="D2614" t="s">
        <v>34</v>
      </c>
      <c r="E2614" t="s">
        <v>35</v>
      </c>
      <c r="F2614" t="s">
        <v>87</v>
      </c>
      <c r="G2614" s="6">
        <v>1914.03</v>
      </c>
      <c r="H2614" s="7">
        <v>0.2</v>
      </c>
      <c r="I2614" s="6">
        <v>382.81</v>
      </c>
      <c r="J2614" s="6">
        <v>2296.84</v>
      </c>
      <c r="K2614" t="s">
        <v>5280</v>
      </c>
      <c r="L2614" t="s">
        <v>5281</v>
      </c>
    </row>
    <row r="2615" spans="1:12" ht="15" customHeight="1" x14ac:dyDescent="0.25">
      <c r="A2615">
        <v>2614</v>
      </c>
      <c r="B2615" s="5">
        <v>45764</v>
      </c>
      <c r="C2615" t="s">
        <v>33</v>
      </c>
      <c r="D2615" t="s">
        <v>172</v>
      </c>
      <c r="E2615" t="s">
        <v>173</v>
      </c>
      <c r="F2615" t="s">
        <v>76</v>
      </c>
      <c r="G2615" s="6">
        <v>1094.42</v>
      </c>
      <c r="H2615" s="7">
        <v>0.2</v>
      </c>
      <c r="I2615" s="6">
        <v>218.88</v>
      </c>
      <c r="J2615" s="6">
        <v>1313.3</v>
      </c>
      <c r="K2615" t="s">
        <v>5282</v>
      </c>
      <c r="L2615" t="s">
        <v>5283</v>
      </c>
    </row>
    <row r="2616" spans="1:12" ht="15" customHeight="1" x14ac:dyDescent="0.25">
      <c r="A2616">
        <v>2615</v>
      </c>
      <c r="B2616" s="5">
        <v>45846</v>
      </c>
      <c r="C2616" t="s">
        <v>47</v>
      </c>
      <c r="D2616" t="s">
        <v>42</v>
      </c>
      <c r="E2616" t="s">
        <v>43</v>
      </c>
      <c r="F2616" t="s">
        <v>44</v>
      </c>
      <c r="G2616" s="6">
        <v>3789.69</v>
      </c>
      <c r="H2616" s="7">
        <v>0</v>
      </c>
      <c r="I2616" s="6">
        <v>0</v>
      </c>
      <c r="J2616" s="6">
        <v>3789.69</v>
      </c>
      <c r="K2616" t="s">
        <v>5284</v>
      </c>
      <c r="L2616" t="s">
        <v>5285</v>
      </c>
    </row>
    <row r="2617" spans="1:12" ht="15" customHeight="1" x14ac:dyDescent="0.25">
      <c r="A2617">
        <v>2616</v>
      </c>
      <c r="B2617" s="5">
        <v>45979</v>
      </c>
      <c r="C2617" t="s">
        <v>33</v>
      </c>
      <c r="D2617" t="s">
        <v>28</v>
      </c>
      <c r="E2617" t="s">
        <v>29</v>
      </c>
      <c r="F2617" t="s">
        <v>174</v>
      </c>
      <c r="G2617" s="6">
        <v>3369.6</v>
      </c>
      <c r="H2617" s="7">
        <v>2.1000000000000001E-2</v>
      </c>
      <c r="I2617" s="6">
        <v>70.760000000000005</v>
      </c>
      <c r="J2617" s="6">
        <v>3440.36</v>
      </c>
      <c r="K2617" t="s">
        <v>5286</v>
      </c>
      <c r="L2617" t="s">
        <v>5287</v>
      </c>
    </row>
    <row r="2618" spans="1:12" ht="15" customHeight="1" x14ac:dyDescent="0.25">
      <c r="A2618">
        <v>2617</v>
      </c>
      <c r="B2618" s="5">
        <v>45856</v>
      </c>
      <c r="C2618" t="s">
        <v>27</v>
      </c>
      <c r="D2618" t="s">
        <v>63</v>
      </c>
      <c r="E2618" t="s">
        <v>64</v>
      </c>
      <c r="F2618" t="s">
        <v>71</v>
      </c>
      <c r="G2618" s="6">
        <v>786.6</v>
      </c>
      <c r="H2618" s="7">
        <v>0.2</v>
      </c>
      <c r="I2618" s="6">
        <v>157.32</v>
      </c>
      <c r="J2618" s="6">
        <v>943.92</v>
      </c>
      <c r="K2618" t="s">
        <v>5288</v>
      </c>
      <c r="L2618" t="s">
        <v>5289</v>
      </c>
    </row>
    <row r="2619" spans="1:12" ht="15" customHeight="1" x14ac:dyDescent="0.25">
      <c r="A2619">
        <v>2618</v>
      </c>
      <c r="B2619" s="5">
        <v>45758</v>
      </c>
      <c r="C2619" t="s">
        <v>27</v>
      </c>
      <c r="D2619" t="s">
        <v>55</v>
      </c>
      <c r="E2619" t="s">
        <v>56</v>
      </c>
      <c r="F2619" t="s">
        <v>174</v>
      </c>
      <c r="G2619" s="6">
        <v>1525.6</v>
      </c>
      <c r="H2619" s="7">
        <v>5.5E-2</v>
      </c>
      <c r="I2619" s="6">
        <v>83.91</v>
      </c>
      <c r="J2619" s="6">
        <v>1609.51</v>
      </c>
      <c r="K2619" t="s">
        <v>5290</v>
      </c>
      <c r="L2619" t="s">
        <v>5291</v>
      </c>
    </row>
    <row r="2620" spans="1:12" ht="15" customHeight="1" x14ac:dyDescent="0.25">
      <c r="A2620">
        <v>2619</v>
      </c>
      <c r="B2620" s="5">
        <v>45889</v>
      </c>
      <c r="C2620" t="s">
        <v>33</v>
      </c>
      <c r="D2620" t="s">
        <v>34</v>
      </c>
      <c r="E2620" t="s">
        <v>35</v>
      </c>
      <c r="F2620" t="s">
        <v>84</v>
      </c>
      <c r="G2620" s="6">
        <v>207.37</v>
      </c>
      <c r="H2620" s="7">
        <v>0.2</v>
      </c>
      <c r="I2620" s="6">
        <v>41.47</v>
      </c>
      <c r="J2620" s="6">
        <v>248.84</v>
      </c>
      <c r="K2620" t="s">
        <v>5292</v>
      </c>
      <c r="L2620" t="s">
        <v>5293</v>
      </c>
    </row>
    <row r="2621" spans="1:12" ht="15" customHeight="1" x14ac:dyDescent="0.25">
      <c r="A2621">
        <v>2620</v>
      </c>
      <c r="B2621" s="5">
        <v>45762</v>
      </c>
      <c r="C2621" t="s">
        <v>27</v>
      </c>
      <c r="D2621" t="s">
        <v>172</v>
      </c>
      <c r="E2621" t="s">
        <v>173</v>
      </c>
      <c r="F2621" t="s">
        <v>39</v>
      </c>
      <c r="G2621" s="6">
        <v>896.96</v>
      </c>
      <c r="H2621" s="7">
        <v>0.2</v>
      </c>
      <c r="I2621" s="6">
        <v>179.39</v>
      </c>
      <c r="J2621" s="6">
        <v>1076.3499999999999</v>
      </c>
      <c r="K2621" t="s">
        <v>5294</v>
      </c>
      <c r="L2621" t="s">
        <v>5295</v>
      </c>
    </row>
    <row r="2622" spans="1:12" ht="15" customHeight="1" x14ac:dyDescent="0.25">
      <c r="A2622">
        <v>2621</v>
      </c>
      <c r="B2622" s="5">
        <v>45763</v>
      </c>
      <c r="C2622" t="s">
        <v>33</v>
      </c>
      <c r="D2622" t="s">
        <v>42</v>
      </c>
      <c r="E2622" t="s">
        <v>43</v>
      </c>
      <c r="F2622" t="s">
        <v>44</v>
      </c>
      <c r="G2622" s="6">
        <v>3168.5</v>
      </c>
      <c r="H2622" s="7">
        <v>0</v>
      </c>
      <c r="I2622" s="6">
        <v>0</v>
      </c>
      <c r="J2622" s="6">
        <v>3168.5</v>
      </c>
      <c r="K2622" t="s">
        <v>5296</v>
      </c>
      <c r="L2622" t="s">
        <v>5297</v>
      </c>
    </row>
    <row r="2623" spans="1:12" ht="15" customHeight="1" x14ac:dyDescent="0.25">
      <c r="A2623">
        <v>2622</v>
      </c>
      <c r="B2623" s="5">
        <v>46003</v>
      </c>
      <c r="C2623" t="s">
        <v>47</v>
      </c>
      <c r="D2623" t="s">
        <v>42</v>
      </c>
      <c r="E2623" t="s">
        <v>43</v>
      </c>
      <c r="F2623" t="s">
        <v>44</v>
      </c>
      <c r="G2623" s="6">
        <v>3223.82</v>
      </c>
      <c r="H2623" s="7">
        <v>0</v>
      </c>
      <c r="I2623" s="6">
        <v>0</v>
      </c>
      <c r="J2623" s="6">
        <v>3223.82</v>
      </c>
      <c r="K2623" t="s">
        <v>5298</v>
      </c>
      <c r="L2623" t="s">
        <v>5299</v>
      </c>
    </row>
    <row r="2624" spans="1:12" ht="15" customHeight="1" x14ac:dyDescent="0.25">
      <c r="A2624">
        <v>2623</v>
      </c>
      <c r="B2624" s="5">
        <v>45989</v>
      </c>
      <c r="C2624" t="s">
        <v>47</v>
      </c>
      <c r="D2624" t="s">
        <v>79</v>
      </c>
      <c r="E2624" t="s">
        <v>80</v>
      </c>
      <c r="F2624" t="s">
        <v>84</v>
      </c>
      <c r="G2624" s="6">
        <v>2847.44</v>
      </c>
      <c r="H2624" s="7">
        <v>0.2</v>
      </c>
      <c r="I2624" s="6">
        <v>569.49</v>
      </c>
      <c r="J2624" s="6">
        <v>3416.93</v>
      </c>
      <c r="K2624" t="s">
        <v>5300</v>
      </c>
      <c r="L2624" t="s">
        <v>5301</v>
      </c>
    </row>
    <row r="2625" spans="1:12" ht="15" customHeight="1" x14ac:dyDescent="0.25">
      <c r="A2625">
        <v>2624</v>
      </c>
      <c r="B2625" s="5">
        <v>45670</v>
      </c>
      <c r="C2625" t="s">
        <v>47</v>
      </c>
      <c r="D2625" t="s">
        <v>28</v>
      </c>
      <c r="E2625" t="s">
        <v>29</v>
      </c>
      <c r="F2625" t="s">
        <v>71</v>
      </c>
      <c r="G2625" s="6">
        <v>1449.76</v>
      </c>
      <c r="H2625" s="7">
        <v>2.1000000000000001E-2</v>
      </c>
      <c r="I2625" s="6">
        <v>30.44</v>
      </c>
      <c r="J2625" s="6">
        <v>1480.2</v>
      </c>
      <c r="K2625" t="s">
        <v>5302</v>
      </c>
      <c r="L2625" t="s">
        <v>5303</v>
      </c>
    </row>
    <row r="2626" spans="1:12" ht="15" customHeight="1" x14ac:dyDescent="0.25">
      <c r="A2626">
        <v>2625</v>
      </c>
      <c r="B2626" s="5">
        <v>45763</v>
      </c>
      <c r="C2626" t="s">
        <v>33</v>
      </c>
      <c r="D2626" t="s">
        <v>42</v>
      </c>
      <c r="E2626" t="s">
        <v>43</v>
      </c>
      <c r="F2626" t="s">
        <v>44</v>
      </c>
      <c r="G2626" s="6">
        <v>3527.86</v>
      </c>
      <c r="H2626" s="7">
        <v>0</v>
      </c>
      <c r="I2626" s="6">
        <v>0</v>
      </c>
      <c r="J2626" s="6">
        <v>3527.86</v>
      </c>
      <c r="K2626" t="s">
        <v>5304</v>
      </c>
      <c r="L2626" t="s">
        <v>5305</v>
      </c>
    </row>
    <row r="2627" spans="1:12" ht="15" customHeight="1" x14ac:dyDescent="0.25">
      <c r="A2627">
        <v>2626</v>
      </c>
      <c r="B2627" s="5">
        <v>45966</v>
      </c>
      <c r="C2627" t="s">
        <v>47</v>
      </c>
      <c r="D2627" t="s">
        <v>79</v>
      </c>
      <c r="E2627" t="s">
        <v>80</v>
      </c>
      <c r="F2627" t="s">
        <v>76</v>
      </c>
      <c r="G2627" s="6">
        <v>3412.06</v>
      </c>
      <c r="H2627" s="7">
        <v>0.2</v>
      </c>
      <c r="I2627" s="6">
        <v>682.41</v>
      </c>
      <c r="J2627" s="6">
        <v>4094.47</v>
      </c>
      <c r="K2627" t="s">
        <v>5306</v>
      </c>
      <c r="L2627" t="s">
        <v>5307</v>
      </c>
    </row>
    <row r="2628" spans="1:12" ht="15" customHeight="1" x14ac:dyDescent="0.25">
      <c r="A2628">
        <v>2627</v>
      </c>
      <c r="B2628" s="5">
        <v>45999</v>
      </c>
      <c r="C2628" t="s">
        <v>27</v>
      </c>
      <c r="D2628" t="s">
        <v>172</v>
      </c>
      <c r="E2628" t="s">
        <v>173</v>
      </c>
      <c r="F2628" t="s">
        <v>71</v>
      </c>
      <c r="G2628" s="6">
        <v>3869.53</v>
      </c>
      <c r="H2628" s="7">
        <v>0.2</v>
      </c>
      <c r="I2628" s="6">
        <v>773.91</v>
      </c>
      <c r="J2628" s="6">
        <v>4643.4399999999996</v>
      </c>
      <c r="K2628" t="s">
        <v>5308</v>
      </c>
      <c r="L2628" t="s">
        <v>5309</v>
      </c>
    </row>
    <row r="2629" spans="1:12" ht="15" customHeight="1" x14ac:dyDescent="0.25">
      <c r="A2629">
        <v>2628</v>
      </c>
      <c r="B2629" s="5">
        <v>45658</v>
      </c>
      <c r="C2629" t="s">
        <v>27</v>
      </c>
      <c r="D2629" t="s">
        <v>28</v>
      </c>
      <c r="E2629" t="s">
        <v>29</v>
      </c>
      <c r="F2629" t="s">
        <v>84</v>
      </c>
      <c r="G2629" s="6">
        <v>3848.85</v>
      </c>
      <c r="H2629" s="7">
        <v>2.1000000000000001E-2</v>
      </c>
      <c r="I2629" s="6">
        <v>80.83</v>
      </c>
      <c r="J2629" s="6">
        <v>3929.68</v>
      </c>
      <c r="K2629" t="s">
        <v>5310</v>
      </c>
      <c r="L2629" t="s">
        <v>5311</v>
      </c>
    </row>
    <row r="2630" spans="1:12" ht="15" customHeight="1" x14ac:dyDescent="0.25">
      <c r="A2630">
        <v>2629</v>
      </c>
      <c r="B2630" s="5">
        <v>45658</v>
      </c>
      <c r="C2630" t="s">
        <v>33</v>
      </c>
      <c r="D2630" t="s">
        <v>100</v>
      </c>
      <c r="E2630" t="s">
        <v>101</v>
      </c>
      <c r="F2630" t="s">
        <v>44</v>
      </c>
      <c r="G2630" s="6">
        <v>2715.41</v>
      </c>
      <c r="H2630" s="7">
        <v>0</v>
      </c>
      <c r="I2630" s="6">
        <v>0</v>
      </c>
      <c r="J2630" s="6">
        <v>2715.41</v>
      </c>
      <c r="K2630" t="s">
        <v>5312</v>
      </c>
      <c r="L2630" t="s">
        <v>5313</v>
      </c>
    </row>
    <row r="2631" spans="1:12" ht="15" customHeight="1" x14ac:dyDescent="0.25">
      <c r="A2631">
        <v>2630</v>
      </c>
      <c r="B2631" s="5">
        <v>45846</v>
      </c>
      <c r="C2631" t="s">
        <v>33</v>
      </c>
      <c r="D2631" t="s">
        <v>28</v>
      </c>
      <c r="E2631" t="s">
        <v>29</v>
      </c>
      <c r="F2631" t="s">
        <v>71</v>
      </c>
      <c r="G2631" s="6">
        <v>1031.6600000000001</v>
      </c>
      <c r="H2631" s="7">
        <v>2.1000000000000001E-2</v>
      </c>
      <c r="I2631" s="6">
        <v>21.66</v>
      </c>
      <c r="J2631" s="6">
        <v>1053.32</v>
      </c>
      <c r="K2631" t="s">
        <v>5314</v>
      </c>
      <c r="L2631" t="s">
        <v>5315</v>
      </c>
    </row>
    <row r="2632" spans="1:12" ht="15" customHeight="1" x14ac:dyDescent="0.25">
      <c r="A2632">
        <v>2631</v>
      </c>
      <c r="B2632" s="5">
        <v>45992</v>
      </c>
      <c r="C2632" t="s">
        <v>27</v>
      </c>
      <c r="D2632" t="s">
        <v>100</v>
      </c>
      <c r="E2632" t="s">
        <v>101</v>
      </c>
      <c r="F2632" t="s">
        <v>44</v>
      </c>
      <c r="G2632" s="6">
        <v>3649.06</v>
      </c>
      <c r="H2632" s="7">
        <v>0</v>
      </c>
      <c r="I2632" s="6">
        <v>0</v>
      </c>
      <c r="J2632" s="6">
        <v>3649.06</v>
      </c>
      <c r="K2632" t="s">
        <v>5316</v>
      </c>
      <c r="L2632" t="s">
        <v>5317</v>
      </c>
    </row>
    <row r="2633" spans="1:12" ht="15" customHeight="1" x14ac:dyDescent="0.25">
      <c r="A2633">
        <v>2632</v>
      </c>
      <c r="B2633" s="5">
        <v>45891</v>
      </c>
      <c r="C2633" t="s">
        <v>47</v>
      </c>
      <c r="D2633" t="s">
        <v>28</v>
      </c>
      <c r="E2633" t="s">
        <v>29</v>
      </c>
      <c r="F2633" t="s">
        <v>71</v>
      </c>
      <c r="G2633" s="6">
        <v>4191.16</v>
      </c>
      <c r="H2633" s="7">
        <v>2.1000000000000001E-2</v>
      </c>
      <c r="I2633" s="6">
        <v>88.01</v>
      </c>
      <c r="J2633" s="6">
        <v>4279.17</v>
      </c>
      <c r="K2633" t="s">
        <v>5318</v>
      </c>
      <c r="L2633" t="s">
        <v>5319</v>
      </c>
    </row>
    <row r="2634" spans="1:12" ht="15" customHeight="1" x14ac:dyDescent="0.25">
      <c r="A2634">
        <v>2633</v>
      </c>
      <c r="B2634" s="5">
        <v>46007</v>
      </c>
      <c r="C2634" t="s">
        <v>27</v>
      </c>
      <c r="D2634" t="s">
        <v>42</v>
      </c>
      <c r="E2634" t="s">
        <v>43</v>
      </c>
      <c r="F2634" t="s">
        <v>44</v>
      </c>
      <c r="G2634" s="6">
        <v>3912.7</v>
      </c>
      <c r="H2634" s="7">
        <v>0</v>
      </c>
      <c r="I2634" s="6">
        <v>0</v>
      </c>
      <c r="J2634" s="6">
        <v>3912.7</v>
      </c>
      <c r="K2634" t="s">
        <v>5320</v>
      </c>
      <c r="L2634" t="s">
        <v>5321</v>
      </c>
    </row>
    <row r="2635" spans="1:12" ht="15" customHeight="1" x14ac:dyDescent="0.25">
      <c r="A2635">
        <v>2634</v>
      </c>
      <c r="B2635" s="5">
        <v>45702</v>
      </c>
      <c r="C2635" t="s">
        <v>33</v>
      </c>
      <c r="D2635" t="s">
        <v>28</v>
      </c>
      <c r="E2635" t="s">
        <v>29</v>
      </c>
      <c r="F2635" t="s">
        <v>76</v>
      </c>
      <c r="G2635" s="6">
        <v>3283.66</v>
      </c>
      <c r="H2635" s="7">
        <v>2.1000000000000001E-2</v>
      </c>
      <c r="I2635" s="6">
        <v>68.959999999999994</v>
      </c>
      <c r="J2635" s="6">
        <v>3352.62</v>
      </c>
      <c r="K2635" t="s">
        <v>5322</v>
      </c>
      <c r="L2635" t="s">
        <v>5323</v>
      </c>
    </row>
    <row r="2636" spans="1:12" ht="15" customHeight="1" x14ac:dyDescent="0.25">
      <c r="A2636">
        <v>2635</v>
      </c>
      <c r="B2636" s="5">
        <v>45796</v>
      </c>
      <c r="C2636" t="s">
        <v>27</v>
      </c>
      <c r="D2636" t="s">
        <v>172</v>
      </c>
      <c r="E2636" t="s">
        <v>173</v>
      </c>
      <c r="F2636" t="s">
        <v>84</v>
      </c>
      <c r="G2636" s="6">
        <v>179.71</v>
      </c>
      <c r="H2636" s="7">
        <v>0.2</v>
      </c>
      <c r="I2636" s="6">
        <v>35.94</v>
      </c>
      <c r="J2636" s="6">
        <v>215.65</v>
      </c>
      <c r="K2636" t="s">
        <v>5324</v>
      </c>
      <c r="L2636" t="s">
        <v>5325</v>
      </c>
    </row>
    <row r="2637" spans="1:12" ht="15" customHeight="1" x14ac:dyDescent="0.25">
      <c r="A2637">
        <v>2636</v>
      </c>
      <c r="B2637" s="5">
        <v>45736</v>
      </c>
      <c r="C2637" t="s">
        <v>33</v>
      </c>
      <c r="D2637" t="s">
        <v>42</v>
      </c>
      <c r="E2637" t="s">
        <v>43</v>
      </c>
      <c r="F2637" t="s">
        <v>44</v>
      </c>
      <c r="G2637" s="6">
        <v>2754.09</v>
      </c>
      <c r="H2637" s="7">
        <v>0</v>
      </c>
      <c r="I2637" s="6">
        <v>0</v>
      </c>
      <c r="J2637" s="6">
        <v>2754.09</v>
      </c>
      <c r="K2637" t="s">
        <v>5326</v>
      </c>
      <c r="L2637" t="s">
        <v>5327</v>
      </c>
    </row>
    <row r="2638" spans="1:12" ht="15" customHeight="1" x14ac:dyDescent="0.25">
      <c r="A2638">
        <v>2637</v>
      </c>
      <c r="B2638" s="5">
        <v>45896</v>
      </c>
      <c r="C2638" t="s">
        <v>33</v>
      </c>
      <c r="D2638" t="s">
        <v>28</v>
      </c>
      <c r="E2638" t="s">
        <v>29</v>
      </c>
      <c r="F2638" t="s">
        <v>39</v>
      </c>
      <c r="G2638" s="6">
        <v>1902.92</v>
      </c>
      <c r="H2638" s="7">
        <v>2.1000000000000001E-2</v>
      </c>
      <c r="I2638" s="6">
        <v>39.96</v>
      </c>
      <c r="J2638" s="6">
        <v>1942.88</v>
      </c>
      <c r="K2638" t="s">
        <v>5328</v>
      </c>
      <c r="L2638" t="s">
        <v>5329</v>
      </c>
    </row>
    <row r="2639" spans="1:12" ht="15" customHeight="1" x14ac:dyDescent="0.25">
      <c r="A2639">
        <v>2638</v>
      </c>
      <c r="B2639" s="5">
        <v>46021</v>
      </c>
      <c r="C2639" t="s">
        <v>33</v>
      </c>
      <c r="D2639" t="s">
        <v>34</v>
      </c>
      <c r="E2639" t="s">
        <v>35</v>
      </c>
      <c r="F2639" t="s">
        <v>76</v>
      </c>
      <c r="G2639" s="6">
        <v>1324.53</v>
      </c>
      <c r="H2639" s="7">
        <v>0.2</v>
      </c>
      <c r="I2639" s="6">
        <v>264.91000000000003</v>
      </c>
      <c r="J2639" s="6">
        <v>1589.44</v>
      </c>
      <c r="K2639" t="s">
        <v>5330</v>
      </c>
      <c r="L2639" t="s">
        <v>5331</v>
      </c>
    </row>
    <row r="2640" spans="1:12" ht="15" customHeight="1" x14ac:dyDescent="0.25">
      <c r="A2640">
        <v>2639</v>
      </c>
      <c r="B2640" s="5">
        <v>45797</v>
      </c>
      <c r="C2640" t="s">
        <v>47</v>
      </c>
      <c r="D2640" t="s">
        <v>28</v>
      </c>
      <c r="E2640" t="s">
        <v>29</v>
      </c>
      <c r="F2640" t="s">
        <v>71</v>
      </c>
      <c r="G2640" s="6">
        <v>4337.3</v>
      </c>
      <c r="H2640" s="7">
        <v>2.1000000000000001E-2</v>
      </c>
      <c r="I2640" s="6">
        <v>91.08</v>
      </c>
      <c r="J2640" s="6">
        <v>4428.38</v>
      </c>
      <c r="K2640" t="s">
        <v>5332</v>
      </c>
      <c r="L2640" t="s">
        <v>5333</v>
      </c>
    </row>
    <row r="2641" spans="1:13" ht="15" customHeight="1" x14ac:dyDescent="0.25">
      <c r="A2641">
        <v>2640</v>
      </c>
      <c r="B2641" s="5">
        <v>45658</v>
      </c>
      <c r="C2641" t="s">
        <v>27</v>
      </c>
      <c r="D2641" t="s">
        <v>79</v>
      </c>
      <c r="E2641" t="s">
        <v>80</v>
      </c>
      <c r="F2641" t="s">
        <v>65</v>
      </c>
      <c r="G2641" s="6">
        <v>4481.6000000000004</v>
      </c>
      <c r="H2641" s="7">
        <v>0.2</v>
      </c>
      <c r="I2641" s="6">
        <v>896.32</v>
      </c>
      <c r="J2641" s="6">
        <v>5377.92</v>
      </c>
      <c r="K2641" t="s">
        <v>5334</v>
      </c>
      <c r="L2641" t="s">
        <v>5335</v>
      </c>
      <c r="M2641" t="s">
        <v>68</v>
      </c>
    </row>
    <row r="2642" spans="1:13" ht="15" customHeight="1" x14ac:dyDescent="0.25">
      <c r="A2642">
        <v>2641</v>
      </c>
      <c r="B2642" s="5">
        <v>46017</v>
      </c>
      <c r="C2642" t="s">
        <v>47</v>
      </c>
      <c r="D2642" t="s">
        <v>172</v>
      </c>
      <c r="E2642" t="s">
        <v>173</v>
      </c>
      <c r="F2642" t="s">
        <v>71</v>
      </c>
      <c r="G2642" s="6">
        <v>2239.29</v>
      </c>
      <c r="H2642" s="7">
        <v>0.2</v>
      </c>
      <c r="I2642" s="6">
        <v>447.86</v>
      </c>
      <c r="J2642" s="6">
        <v>2687.15</v>
      </c>
      <c r="K2642" t="s">
        <v>5336</v>
      </c>
      <c r="L2642" t="s">
        <v>5337</v>
      </c>
    </row>
    <row r="2643" spans="1:13" ht="15" customHeight="1" x14ac:dyDescent="0.25">
      <c r="A2643">
        <v>2642</v>
      </c>
      <c r="B2643" s="5">
        <v>45964</v>
      </c>
      <c r="C2643" t="s">
        <v>27</v>
      </c>
      <c r="D2643" t="s">
        <v>28</v>
      </c>
      <c r="E2643" t="s">
        <v>29</v>
      </c>
      <c r="F2643" t="s">
        <v>76</v>
      </c>
      <c r="G2643" s="6">
        <v>1703.45</v>
      </c>
      <c r="H2643" s="7">
        <v>2.1000000000000001E-2</v>
      </c>
      <c r="I2643" s="6">
        <v>35.770000000000003</v>
      </c>
      <c r="J2643" s="6">
        <v>1739.22</v>
      </c>
      <c r="K2643" t="s">
        <v>5338</v>
      </c>
      <c r="L2643" t="s">
        <v>5339</v>
      </c>
    </row>
    <row r="2644" spans="1:13" ht="15" customHeight="1" x14ac:dyDescent="0.25">
      <c r="A2644">
        <v>2643</v>
      </c>
      <c r="B2644" s="5">
        <v>45848</v>
      </c>
      <c r="C2644" t="s">
        <v>33</v>
      </c>
      <c r="D2644" t="s">
        <v>63</v>
      </c>
      <c r="E2644" t="s">
        <v>64</v>
      </c>
      <c r="F2644" t="s">
        <v>106</v>
      </c>
      <c r="G2644" s="6">
        <v>7000</v>
      </c>
      <c r="H2644" s="7">
        <v>0.2</v>
      </c>
      <c r="I2644" s="6">
        <v>1400</v>
      </c>
      <c r="J2644" s="6">
        <v>8400</v>
      </c>
      <c r="K2644" t="s">
        <v>5340</v>
      </c>
      <c r="L2644" t="s">
        <v>5341</v>
      </c>
      <c r="M2644" t="s">
        <v>143</v>
      </c>
    </row>
    <row r="2645" spans="1:13" ht="15" customHeight="1" x14ac:dyDescent="0.25">
      <c r="A2645">
        <v>2644</v>
      </c>
      <c r="B2645" s="5">
        <v>45835</v>
      </c>
      <c r="C2645" t="s">
        <v>47</v>
      </c>
      <c r="D2645" t="s">
        <v>42</v>
      </c>
      <c r="E2645" t="s">
        <v>43</v>
      </c>
      <c r="F2645" t="s">
        <v>44</v>
      </c>
      <c r="G2645" s="6">
        <v>3192.51</v>
      </c>
      <c r="H2645" s="7">
        <v>0</v>
      </c>
      <c r="I2645" s="6">
        <v>0</v>
      </c>
      <c r="J2645" s="6">
        <v>3192.51</v>
      </c>
      <c r="K2645" t="s">
        <v>5342</v>
      </c>
      <c r="L2645" t="s">
        <v>5343</v>
      </c>
    </row>
    <row r="2646" spans="1:13" ht="15" customHeight="1" x14ac:dyDescent="0.25">
      <c r="A2646">
        <v>2645</v>
      </c>
      <c r="B2646" s="5">
        <v>45807</v>
      </c>
      <c r="C2646" t="s">
        <v>47</v>
      </c>
      <c r="D2646" t="s">
        <v>94</v>
      </c>
      <c r="E2646" t="s">
        <v>95</v>
      </c>
      <c r="F2646" t="s">
        <v>44</v>
      </c>
      <c r="G2646" s="6">
        <v>2181.64</v>
      </c>
      <c r="H2646" s="7">
        <v>0</v>
      </c>
      <c r="I2646" s="6">
        <v>0</v>
      </c>
      <c r="J2646" s="6">
        <v>2181.64</v>
      </c>
      <c r="K2646" t="s">
        <v>5344</v>
      </c>
      <c r="L2646" t="s">
        <v>5345</v>
      </c>
    </row>
    <row r="2647" spans="1:13" ht="15" customHeight="1" x14ac:dyDescent="0.25">
      <c r="A2647">
        <v>2646</v>
      </c>
      <c r="B2647" s="5">
        <v>45842</v>
      </c>
      <c r="C2647" t="s">
        <v>27</v>
      </c>
      <c r="D2647" t="s">
        <v>172</v>
      </c>
      <c r="E2647" t="s">
        <v>173</v>
      </c>
      <c r="F2647" t="s">
        <v>87</v>
      </c>
      <c r="G2647" s="6">
        <v>4329.33</v>
      </c>
      <c r="H2647" s="7">
        <v>0.2</v>
      </c>
      <c r="I2647" s="6">
        <v>865.87</v>
      </c>
      <c r="J2647" s="6">
        <v>5195.2</v>
      </c>
      <c r="K2647" t="s">
        <v>5346</v>
      </c>
      <c r="L2647" t="s">
        <v>5347</v>
      </c>
    </row>
    <row r="2648" spans="1:13" ht="15" customHeight="1" x14ac:dyDescent="0.25">
      <c r="A2648">
        <v>2647</v>
      </c>
      <c r="B2648" s="5">
        <v>45828</v>
      </c>
      <c r="C2648" t="s">
        <v>47</v>
      </c>
      <c r="D2648" t="s">
        <v>100</v>
      </c>
      <c r="E2648" t="s">
        <v>101</v>
      </c>
      <c r="F2648" t="s">
        <v>44</v>
      </c>
      <c r="G2648" s="6">
        <v>3349.11</v>
      </c>
      <c r="H2648" s="7">
        <v>0</v>
      </c>
      <c r="I2648" s="6">
        <v>0</v>
      </c>
      <c r="J2648" s="6">
        <v>3349.11</v>
      </c>
      <c r="K2648" t="s">
        <v>5348</v>
      </c>
      <c r="L2648" t="s">
        <v>5349</v>
      </c>
    </row>
    <row r="2649" spans="1:13" ht="15" customHeight="1" x14ac:dyDescent="0.25">
      <c r="A2649">
        <v>2648</v>
      </c>
      <c r="B2649" s="5">
        <v>45742</v>
      </c>
      <c r="C2649" t="s">
        <v>27</v>
      </c>
      <c r="D2649" t="s">
        <v>42</v>
      </c>
      <c r="E2649" t="s">
        <v>43</v>
      </c>
      <c r="F2649" t="s">
        <v>44</v>
      </c>
      <c r="G2649" s="6">
        <v>2624.29</v>
      </c>
      <c r="H2649" s="7">
        <v>0</v>
      </c>
      <c r="I2649" s="6">
        <v>0</v>
      </c>
      <c r="J2649" s="6">
        <v>2624.29</v>
      </c>
      <c r="K2649" t="s">
        <v>5350</v>
      </c>
      <c r="L2649" t="s">
        <v>5351</v>
      </c>
    </row>
    <row r="2650" spans="1:13" ht="15" customHeight="1" x14ac:dyDescent="0.25">
      <c r="A2650">
        <v>2649</v>
      </c>
      <c r="B2650" s="5">
        <v>45981</v>
      </c>
      <c r="C2650" t="s">
        <v>33</v>
      </c>
      <c r="D2650" t="s">
        <v>172</v>
      </c>
      <c r="E2650" t="s">
        <v>173</v>
      </c>
      <c r="F2650" t="s">
        <v>30</v>
      </c>
      <c r="G2650" s="6">
        <v>3757.5</v>
      </c>
      <c r="H2650" s="7">
        <v>0.2</v>
      </c>
      <c r="I2650" s="6">
        <v>751.5</v>
      </c>
      <c r="J2650" s="6">
        <v>4509</v>
      </c>
      <c r="K2650" t="s">
        <v>5352</v>
      </c>
      <c r="L2650" t="s">
        <v>5353</v>
      </c>
    </row>
    <row r="2651" spans="1:13" ht="15" customHeight="1" x14ac:dyDescent="0.25">
      <c r="A2651">
        <v>2650</v>
      </c>
      <c r="B2651" s="5">
        <v>45763</v>
      </c>
      <c r="C2651" t="s">
        <v>27</v>
      </c>
      <c r="D2651" t="s">
        <v>28</v>
      </c>
      <c r="E2651" t="s">
        <v>29</v>
      </c>
      <c r="F2651" t="s">
        <v>36</v>
      </c>
      <c r="G2651" s="6">
        <v>3725.11</v>
      </c>
      <c r="H2651" s="7">
        <v>2.1000000000000001E-2</v>
      </c>
      <c r="I2651" s="6">
        <v>78.23</v>
      </c>
      <c r="J2651" s="6">
        <v>3803.34</v>
      </c>
      <c r="K2651" t="s">
        <v>5354</v>
      </c>
      <c r="L2651" t="s">
        <v>5355</v>
      </c>
    </row>
    <row r="2652" spans="1:13" ht="15" customHeight="1" x14ac:dyDescent="0.25">
      <c r="A2652">
        <v>2651</v>
      </c>
      <c r="B2652" s="5">
        <v>45936</v>
      </c>
      <c r="C2652" t="s">
        <v>47</v>
      </c>
      <c r="D2652" t="s">
        <v>100</v>
      </c>
      <c r="E2652" t="s">
        <v>101</v>
      </c>
      <c r="F2652" t="s">
        <v>44</v>
      </c>
      <c r="G2652" s="6">
        <v>2049.16</v>
      </c>
      <c r="H2652" s="7">
        <v>0</v>
      </c>
      <c r="I2652" s="6">
        <v>0</v>
      </c>
      <c r="J2652" s="6">
        <v>2049.16</v>
      </c>
      <c r="K2652" t="s">
        <v>5356</v>
      </c>
      <c r="L2652" t="s">
        <v>5357</v>
      </c>
    </row>
    <row r="2653" spans="1:13" ht="15" customHeight="1" x14ac:dyDescent="0.25">
      <c r="A2653">
        <v>2652</v>
      </c>
      <c r="B2653" s="5">
        <v>45742</v>
      </c>
      <c r="C2653" t="s">
        <v>47</v>
      </c>
      <c r="D2653" t="s">
        <v>100</v>
      </c>
      <c r="E2653" t="s">
        <v>101</v>
      </c>
      <c r="F2653" t="s">
        <v>44</v>
      </c>
      <c r="G2653" s="6">
        <v>3441.63</v>
      </c>
      <c r="H2653" s="7">
        <v>0</v>
      </c>
      <c r="I2653" s="6">
        <v>0</v>
      </c>
      <c r="J2653" s="6">
        <v>3441.63</v>
      </c>
      <c r="K2653" t="s">
        <v>5358</v>
      </c>
      <c r="L2653" t="s">
        <v>5359</v>
      </c>
    </row>
    <row r="2654" spans="1:13" ht="15" customHeight="1" x14ac:dyDescent="0.25">
      <c r="A2654">
        <v>2653</v>
      </c>
      <c r="B2654" s="5">
        <v>45824</v>
      </c>
      <c r="C2654" t="s">
        <v>47</v>
      </c>
      <c r="D2654" t="s">
        <v>79</v>
      </c>
      <c r="E2654" t="s">
        <v>80</v>
      </c>
      <c r="F2654" t="s">
        <v>50</v>
      </c>
      <c r="G2654" s="6">
        <v>3314.8</v>
      </c>
      <c r="H2654" s="7">
        <v>0.2</v>
      </c>
      <c r="I2654" s="6">
        <v>662.96</v>
      </c>
      <c r="J2654" s="6">
        <v>3977.76</v>
      </c>
      <c r="K2654" t="s">
        <v>5360</v>
      </c>
      <c r="L2654" t="s">
        <v>5361</v>
      </c>
    </row>
    <row r="2655" spans="1:13" ht="15" customHeight="1" x14ac:dyDescent="0.25">
      <c r="A2655">
        <v>2654</v>
      </c>
      <c r="B2655" s="5">
        <v>45859</v>
      </c>
      <c r="C2655" t="s">
        <v>47</v>
      </c>
      <c r="D2655" t="s">
        <v>172</v>
      </c>
      <c r="E2655" t="s">
        <v>173</v>
      </c>
      <c r="F2655" t="s">
        <v>50</v>
      </c>
      <c r="G2655" s="6">
        <v>1048.3</v>
      </c>
      <c r="H2655" s="7">
        <v>0.2</v>
      </c>
      <c r="I2655" s="6">
        <v>209.66</v>
      </c>
      <c r="J2655" s="6">
        <v>1257.96</v>
      </c>
      <c r="K2655" t="s">
        <v>5362</v>
      </c>
      <c r="L2655" t="s">
        <v>5363</v>
      </c>
    </row>
    <row r="2656" spans="1:13" ht="15" customHeight="1" x14ac:dyDescent="0.25">
      <c r="A2656">
        <v>2655</v>
      </c>
      <c r="B2656" s="5">
        <v>45712</v>
      </c>
      <c r="C2656" t="s">
        <v>47</v>
      </c>
      <c r="D2656" t="s">
        <v>34</v>
      </c>
      <c r="E2656" t="s">
        <v>35</v>
      </c>
      <c r="F2656" t="s">
        <v>120</v>
      </c>
      <c r="G2656" s="6">
        <v>1078.0999999999999</v>
      </c>
      <c r="H2656" s="7">
        <v>0.2</v>
      </c>
      <c r="I2656" s="6">
        <v>215.62</v>
      </c>
      <c r="J2656" s="6">
        <v>1293.72</v>
      </c>
      <c r="K2656" t="s">
        <v>5364</v>
      </c>
      <c r="L2656" t="s">
        <v>5365</v>
      </c>
    </row>
    <row r="2657" spans="1:12" ht="15" customHeight="1" x14ac:dyDescent="0.25">
      <c r="A2657">
        <v>2656</v>
      </c>
      <c r="B2657" s="5">
        <v>45754</v>
      </c>
      <c r="C2657" t="s">
        <v>33</v>
      </c>
      <c r="D2657" t="s">
        <v>42</v>
      </c>
      <c r="E2657" t="s">
        <v>43</v>
      </c>
      <c r="F2657" t="s">
        <v>44</v>
      </c>
      <c r="G2657" s="6">
        <v>3943.64</v>
      </c>
      <c r="H2657" s="7">
        <v>0</v>
      </c>
      <c r="I2657" s="6">
        <v>0</v>
      </c>
      <c r="J2657" s="6">
        <v>3943.64</v>
      </c>
      <c r="K2657" t="s">
        <v>5366</v>
      </c>
      <c r="L2657" t="s">
        <v>5367</v>
      </c>
    </row>
    <row r="2658" spans="1:12" ht="15" customHeight="1" x14ac:dyDescent="0.25">
      <c r="A2658">
        <v>2657</v>
      </c>
      <c r="B2658" s="5">
        <v>45694</v>
      </c>
      <c r="C2658" t="s">
        <v>33</v>
      </c>
      <c r="D2658" t="s">
        <v>79</v>
      </c>
      <c r="E2658" t="s">
        <v>80</v>
      </c>
      <c r="F2658" t="s">
        <v>174</v>
      </c>
      <c r="G2658" s="6">
        <v>3151.62</v>
      </c>
      <c r="H2658" s="7">
        <v>0.2</v>
      </c>
      <c r="I2658" s="6">
        <v>630.32000000000005</v>
      </c>
      <c r="J2658" s="6">
        <v>3781.94</v>
      </c>
      <c r="K2658" t="s">
        <v>5368</v>
      </c>
      <c r="L2658" t="s">
        <v>5369</v>
      </c>
    </row>
    <row r="2659" spans="1:12" ht="15" customHeight="1" x14ac:dyDescent="0.25">
      <c r="A2659">
        <v>2658</v>
      </c>
      <c r="B2659" s="5">
        <v>45765</v>
      </c>
      <c r="C2659" t="s">
        <v>47</v>
      </c>
      <c r="D2659" t="s">
        <v>55</v>
      </c>
      <c r="E2659" t="s">
        <v>56</v>
      </c>
      <c r="F2659" t="s">
        <v>87</v>
      </c>
      <c r="G2659" s="6">
        <v>2475.4899999999998</v>
      </c>
      <c r="H2659" s="7">
        <v>5.5E-2</v>
      </c>
      <c r="I2659" s="6">
        <v>136.15</v>
      </c>
      <c r="J2659" s="6">
        <v>2611.64</v>
      </c>
      <c r="K2659" t="s">
        <v>5370</v>
      </c>
      <c r="L2659" t="s">
        <v>5371</v>
      </c>
    </row>
    <row r="2660" spans="1:12" ht="15" customHeight="1" x14ac:dyDescent="0.25">
      <c r="A2660">
        <v>2659</v>
      </c>
      <c r="B2660" s="5">
        <v>45673</v>
      </c>
      <c r="C2660" t="s">
        <v>33</v>
      </c>
      <c r="D2660" t="s">
        <v>28</v>
      </c>
      <c r="E2660" t="s">
        <v>29</v>
      </c>
      <c r="F2660" t="s">
        <v>71</v>
      </c>
      <c r="G2660" s="6">
        <v>1387.37</v>
      </c>
      <c r="H2660" s="7">
        <v>2.1000000000000001E-2</v>
      </c>
      <c r="I2660" s="6">
        <v>29.13</v>
      </c>
      <c r="J2660" s="6">
        <v>1416.5</v>
      </c>
      <c r="K2660" t="s">
        <v>5372</v>
      </c>
      <c r="L2660" t="s">
        <v>5373</v>
      </c>
    </row>
    <row r="2661" spans="1:12" ht="15" customHeight="1" x14ac:dyDescent="0.25">
      <c r="A2661">
        <v>2660</v>
      </c>
      <c r="B2661" s="5">
        <v>45889</v>
      </c>
      <c r="C2661" t="s">
        <v>27</v>
      </c>
      <c r="D2661" t="s">
        <v>28</v>
      </c>
      <c r="E2661" t="s">
        <v>29</v>
      </c>
      <c r="F2661" t="s">
        <v>36</v>
      </c>
      <c r="G2661" s="6">
        <v>4283.4799999999996</v>
      </c>
      <c r="H2661" s="7">
        <v>2.1000000000000001E-2</v>
      </c>
      <c r="I2661" s="6">
        <v>89.95</v>
      </c>
      <c r="J2661" s="6">
        <v>4373.43</v>
      </c>
      <c r="K2661" t="s">
        <v>5374</v>
      </c>
      <c r="L2661" t="s">
        <v>5375</v>
      </c>
    </row>
    <row r="2662" spans="1:12" ht="15" customHeight="1" x14ac:dyDescent="0.25">
      <c r="A2662">
        <v>2661</v>
      </c>
      <c r="B2662" s="5">
        <v>46015</v>
      </c>
      <c r="C2662" t="s">
        <v>27</v>
      </c>
      <c r="D2662" t="s">
        <v>63</v>
      </c>
      <c r="E2662" t="s">
        <v>64</v>
      </c>
      <c r="F2662" t="s">
        <v>50</v>
      </c>
      <c r="G2662" s="6">
        <v>2721.22</v>
      </c>
      <c r="H2662" s="7">
        <v>0.2</v>
      </c>
      <c r="I2662" s="6">
        <v>544.24</v>
      </c>
      <c r="J2662" s="6">
        <v>3265.46</v>
      </c>
      <c r="K2662" t="s">
        <v>5376</v>
      </c>
      <c r="L2662" t="s">
        <v>5377</v>
      </c>
    </row>
    <row r="2663" spans="1:12" ht="15" customHeight="1" x14ac:dyDescent="0.25">
      <c r="A2663">
        <v>2662</v>
      </c>
      <c r="B2663" s="5">
        <v>45877</v>
      </c>
      <c r="C2663" t="s">
        <v>47</v>
      </c>
      <c r="D2663" t="s">
        <v>28</v>
      </c>
      <c r="E2663" t="s">
        <v>29</v>
      </c>
      <c r="F2663" t="s">
        <v>76</v>
      </c>
      <c r="G2663" s="6">
        <v>2817.12</v>
      </c>
      <c r="H2663" s="7">
        <v>2.1000000000000001E-2</v>
      </c>
      <c r="I2663" s="6">
        <v>59.16</v>
      </c>
      <c r="J2663" s="6">
        <v>2876.28</v>
      </c>
      <c r="K2663" t="s">
        <v>5378</v>
      </c>
      <c r="L2663" t="s">
        <v>5379</v>
      </c>
    </row>
    <row r="2664" spans="1:12" ht="15" customHeight="1" x14ac:dyDescent="0.25">
      <c r="A2664">
        <v>2663</v>
      </c>
      <c r="B2664" s="5">
        <v>45909</v>
      </c>
      <c r="C2664" t="s">
        <v>27</v>
      </c>
      <c r="D2664" t="s">
        <v>172</v>
      </c>
      <c r="E2664" t="s">
        <v>173</v>
      </c>
      <c r="F2664" t="s">
        <v>76</v>
      </c>
      <c r="G2664" s="6">
        <v>4398.3999999999996</v>
      </c>
      <c r="H2664" s="7">
        <v>0.2</v>
      </c>
      <c r="I2664" s="6">
        <v>879.68</v>
      </c>
      <c r="J2664" s="6">
        <v>5278.08</v>
      </c>
      <c r="K2664" t="s">
        <v>5380</v>
      </c>
      <c r="L2664" t="s">
        <v>5381</v>
      </c>
    </row>
    <row r="2665" spans="1:12" ht="15" customHeight="1" x14ac:dyDescent="0.25">
      <c r="A2665">
        <v>2664</v>
      </c>
      <c r="B2665" s="5">
        <v>46016</v>
      </c>
      <c r="C2665" t="s">
        <v>47</v>
      </c>
      <c r="D2665" t="s">
        <v>28</v>
      </c>
      <c r="E2665" t="s">
        <v>29</v>
      </c>
      <c r="F2665" t="s">
        <v>36</v>
      </c>
      <c r="G2665" s="6">
        <v>2173.3000000000002</v>
      </c>
      <c r="H2665" s="7">
        <v>2.1000000000000001E-2</v>
      </c>
      <c r="I2665" s="6">
        <v>45.64</v>
      </c>
      <c r="J2665" s="6">
        <v>2218.94</v>
      </c>
      <c r="K2665" t="s">
        <v>5382</v>
      </c>
      <c r="L2665" t="s">
        <v>5383</v>
      </c>
    </row>
    <row r="2666" spans="1:12" ht="15" customHeight="1" x14ac:dyDescent="0.25">
      <c r="A2666">
        <v>2665</v>
      </c>
      <c r="B2666" s="5">
        <v>45874</v>
      </c>
      <c r="C2666" t="s">
        <v>27</v>
      </c>
      <c r="D2666" t="s">
        <v>42</v>
      </c>
      <c r="E2666" t="s">
        <v>43</v>
      </c>
      <c r="F2666" t="s">
        <v>44</v>
      </c>
      <c r="G2666" s="6">
        <v>3288.56</v>
      </c>
      <c r="H2666" s="7">
        <v>0</v>
      </c>
      <c r="I2666" s="6">
        <v>0</v>
      </c>
      <c r="J2666" s="6">
        <v>3288.56</v>
      </c>
      <c r="K2666" t="s">
        <v>5384</v>
      </c>
      <c r="L2666" t="s">
        <v>5385</v>
      </c>
    </row>
    <row r="2667" spans="1:12" ht="15" customHeight="1" x14ac:dyDescent="0.25">
      <c r="A2667">
        <v>2666</v>
      </c>
      <c r="B2667" s="5">
        <v>45671</v>
      </c>
      <c r="C2667" t="s">
        <v>27</v>
      </c>
      <c r="D2667" t="s">
        <v>79</v>
      </c>
      <c r="E2667" t="s">
        <v>80</v>
      </c>
      <c r="F2667" t="s">
        <v>76</v>
      </c>
      <c r="G2667" s="6">
        <v>1759.46</v>
      </c>
      <c r="H2667" s="7">
        <v>0.2</v>
      </c>
      <c r="I2667" s="6">
        <v>351.89</v>
      </c>
      <c r="J2667" s="6">
        <v>2111.35</v>
      </c>
      <c r="K2667" t="s">
        <v>5386</v>
      </c>
      <c r="L2667" t="s">
        <v>5387</v>
      </c>
    </row>
    <row r="2668" spans="1:12" ht="15" customHeight="1" x14ac:dyDescent="0.25">
      <c r="A2668">
        <v>2667</v>
      </c>
      <c r="B2668" s="5">
        <v>45936</v>
      </c>
      <c r="C2668" t="s">
        <v>33</v>
      </c>
      <c r="D2668" t="s">
        <v>79</v>
      </c>
      <c r="E2668" t="s">
        <v>80</v>
      </c>
      <c r="F2668" t="s">
        <v>71</v>
      </c>
      <c r="G2668" s="6">
        <v>486.86</v>
      </c>
      <c r="H2668" s="7">
        <v>0.2</v>
      </c>
      <c r="I2668" s="6">
        <v>97.37</v>
      </c>
      <c r="J2668" s="6">
        <v>584.23</v>
      </c>
      <c r="K2668" t="s">
        <v>5388</v>
      </c>
      <c r="L2668" t="s">
        <v>5389</v>
      </c>
    </row>
    <row r="2669" spans="1:12" ht="15" customHeight="1" x14ac:dyDescent="0.25">
      <c r="A2669">
        <v>2668</v>
      </c>
      <c r="B2669" s="5">
        <v>45706</v>
      </c>
      <c r="C2669" t="s">
        <v>27</v>
      </c>
      <c r="D2669" t="s">
        <v>181</v>
      </c>
      <c r="E2669" t="s">
        <v>182</v>
      </c>
      <c r="F2669" t="s">
        <v>81</v>
      </c>
      <c r="G2669" s="6">
        <v>2089.71</v>
      </c>
      <c r="H2669" s="7">
        <v>0.2</v>
      </c>
      <c r="I2669" s="6">
        <v>417.94</v>
      </c>
      <c r="J2669" s="6">
        <v>2507.65</v>
      </c>
      <c r="K2669" t="s">
        <v>5390</v>
      </c>
      <c r="L2669" t="s">
        <v>5391</v>
      </c>
    </row>
    <row r="2670" spans="1:12" ht="15" customHeight="1" x14ac:dyDescent="0.25">
      <c r="A2670">
        <v>2669</v>
      </c>
      <c r="B2670" s="5">
        <v>45898</v>
      </c>
      <c r="C2670" t="s">
        <v>33</v>
      </c>
      <c r="D2670" t="s">
        <v>172</v>
      </c>
      <c r="E2670" t="s">
        <v>173</v>
      </c>
      <c r="F2670" t="s">
        <v>174</v>
      </c>
      <c r="G2670" s="6">
        <v>231.79</v>
      </c>
      <c r="H2670" s="7">
        <v>0.2</v>
      </c>
      <c r="I2670" s="6">
        <v>46.36</v>
      </c>
      <c r="J2670" s="6">
        <v>278.14999999999998</v>
      </c>
      <c r="K2670" t="s">
        <v>5392</v>
      </c>
      <c r="L2670" t="s">
        <v>5393</v>
      </c>
    </row>
    <row r="2671" spans="1:12" ht="15" customHeight="1" x14ac:dyDescent="0.25">
      <c r="A2671">
        <v>2670</v>
      </c>
      <c r="B2671" s="5">
        <v>45768</v>
      </c>
      <c r="C2671" t="s">
        <v>27</v>
      </c>
      <c r="D2671" t="s">
        <v>42</v>
      </c>
      <c r="E2671" t="s">
        <v>43</v>
      </c>
      <c r="F2671" t="s">
        <v>44</v>
      </c>
      <c r="G2671" s="6">
        <v>2027.89</v>
      </c>
      <c r="H2671" s="7">
        <v>0</v>
      </c>
      <c r="I2671" s="6">
        <v>0</v>
      </c>
      <c r="J2671" s="6">
        <v>2027.89</v>
      </c>
      <c r="K2671" t="s">
        <v>5394</v>
      </c>
      <c r="L2671" t="s">
        <v>5395</v>
      </c>
    </row>
    <row r="2672" spans="1:12" ht="15" customHeight="1" x14ac:dyDescent="0.25">
      <c r="A2672">
        <v>2671</v>
      </c>
      <c r="B2672" s="5">
        <v>46003</v>
      </c>
      <c r="C2672" t="s">
        <v>33</v>
      </c>
      <c r="D2672" t="s">
        <v>172</v>
      </c>
      <c r="E2672" t="s">
        <v>173</v>
      </c>
      <c r="F2672" t="s">
        <v>106</v>
      </c>
      <c r="G2672" s="6">
        <v>3531.29</v>
      </c>
      <c r="H2672" s="7">
        <v>0.2</v>
      </c>
      <c r="I2672" s="6">
        <v>706.26</v>
      </c>
      <c r="J2672" s="6">
        <v>4237.55</v>
      </c>
      <c r="K2672" t="s">
        <v>5396</v>
      </c>
      <c r="L2672" t="s">
        <v>5397</v>
      </c>
    </row>
    <row r="2673" spans="1:12" ht="15" customHeight="1" x14ac:dyDescent="0.25">
      <c r="A2673">
        <v>2672</v>
      </c>
      <c r="B2673" s="5">
        <v>45895</v>
      </c>
      <c r="C2673" t="s">
        <v>33</v>
      </c>
      <c r="D2673" t="s">
        <v>79</v>
      </c>
      <c r="E2673" t="s">
        <v>80</v>
      </c>
      <c r="F2673" t="s">
        <v>84</v>
      </c>
      <c r="G2673" s="6">
        <v>1294.3599999999999</v>
      </c>
      <c r="H2673" s="7">
        <v>0.2</v>
      </c>
      <c r="I2673" s="6">
        <v>258.87</v>
      </c>
      <c r="J2673" s="6">
        <v>1553.23</v>
      </c>
      <c r="K2673" t="s">
        <v>5398</v>
      </c>
      <c r="L2673" t="s">
        <v>5399</v>
      </c>
    </row>
    <row r="2674" spans="1:12" ht="15" customHeight="1" x14ac:dyDescent="0.25">
      <c r="A2674">
        <v>2673</v>
      </c>
      <c r="B2674" s="5">
        <v>45957</v>
      </c>
      <c r="C2674" t="s">
        <v>27</v>
      </c>
      <c r="D2674" t="s">
        <v>34</v>
      </c>
      <c r="E2674" t="s">
        <v>35</v>
      </c>
      <c r="F2674" t="s">
        <v>106</v>
      </c>
      <c r="G2674" s="6">
        <v>600.1</v>
      </c>
      <c r="H2674" s="7">
        <v>0.2</v>
      </c>
      <c r="I2674" s="6">
        <v>120.02</v>
      </c>
      <c r="J2674" s="6">
        <v>720.12</v>
      </c>
      <c r="K2674" t="s">
        <v>5400</v>
      </c>
      <c r="L2674" t="s">
        <v>5401</v>
      </c>
    </row>
    <row r="2675" spans="1:12" ht="15" customHeight="1" x14ac:dyDescent="0.25">
      <c r="A2675">
        <v>2674</v>
      </c>
      <c r="B2675" s="5">
        <v>45741</v>
      </c>
      <c r="C2675" t="s">
        <v>33</v>
      </c>
      <c r="D2675" t="s">
        <v>100</v>
      </c>
      <c r="E2675" t="s">
        <v>101</v>
      </c>
      <c r="F2675" t="s">
        <v>44</v>
      </c>
      <c r="G2675" s="6">
        <v>3242.69</v>
      </c>
      <c r="H2675" s="7">
        <v>0</v>
      </c>
      <c r="I2675" s="6">
        <v>0</v>
      </c>
      <c r="J2675" s="6">
        <v>3242.69</v>
      </c>
      <c r="K2675" t="s">
        <v>5402</v>
      </c>
      <c r="L2675" t="s">
        <v>5403</v>
      </c>
    </row>
    <row r="2676" spans="1:12" ht="15" customHeight="1" x14ac:dyDescent="0.25">
      <c r="A2676">
        <v>2675</v>
      </c>
      <c r="B2676" s="5">
        <v>45904</v>
      </c>
      <c r="C2676" t="s">
        <v>33</v>
      </c>
      <c r="D2676" t="s">
        <v>34</v>
      </c>
      <c r="E2676" t="s">
        <v>35</v>
      </c>
      <c r="F2676" t="s">
        <v>39</v>
      </c>
      <c r="G2676" s="6">
        <v>2229.21</v>
      </c>
      <c r="H2676" s="7">
        <v>0.2</v>
      </c>
      <c r="I2676" s="6">
        <v>445.84</v>
      </c>
      <c r="J2676" s="6">
        <v>2675.05</v>
      </c>
      <c r="K2676" t="s">
        <v>5404</v>
      </c>
      <c r="L2676" t="s">
        <v>5405</v>
      </c>
    </row>
    <row r="2677" spans="1:12" ht="15" customHeight="1" x14ac:dyDescent="0.25">
      <c r="A2677">
        <v>2676</v>
      </c>
      <c r="B2677" s="5">
        <v>45748</v>
      </c>
      <c r="C2677" t="s">
        <v>27</v>
      </c>
      <c r="D2677" t="s">
        <v>42</v>
      </c>
      <c r="E2677" t="s">
        <v>43</v>
      </c>
      <c r="F2677" t="s">
        <v>44</v>
      </c>
      <c r="G2677" s="6">
        <v>1905.3</v>
      </c>
      <c r="H2677" s="7">
        <v>0</v>
      </c>
      <c r="I2677" s="6">
        <v>0</v>
      </c>
      <c r="J2677" s="6">
        <v>1905.3</v>
      </c>
      <c r="K2677" t="s">
        <v>5406</v>
      </c>
      <c r="L2677" t="s">
        <v>5407</v>
      </c>
    </row>
    <row r="2678" spans="1:12" ht="15" customHeight="1" x14ac:dyDescent="0.25">
      <c r="A2678">
        <v>2677</v>
      </c>
      <c r="B2678" s="5">
        <v>46007</v>
      </c>
      <c r="C2678" t="s">
        <v>33</v>
      </c>
      <c r="D2678" t="s">
        <v>55</v>
      </c>
      <c r="E2678" t="s">
        <v>56</v>
      </c>
      <c r="F2678" t="s">
        <v>76</v>
      </c>
      <c r="G2678" s="6">
        <v>2659.38</v>
      </c>
      <c r="H2678" s="7">
        <v>5.5E-2</v>
      </c>
      <c r="I2678" s="6">
        <v>146.27000000000001</v>
      </c>
      <c r="J2678" s="6">
        <v>2805.65</v>
      </c>
      <c r="K2678" t="s">
        <v>5408</v>
      </c>
      <c r="L2678" t="s">
        <v>5409</v>
      </c>
    </row>
    <row r="2679" spans="1:12" ht="15" customHeight="1" x14ac:dyDescent="0.25">
      <c r="A2679">
        <v>2678</v>
      </c>
      <c r="B2679" s="5">
        <v>46016</v>
      </c>
      <c r="C2679" t="s">
        <v>27</v>
      </c>
      <c r="D2679" t="s">
        <v>79</v>
      </c>
      <c r="E2679" t="s">
        <v>80</v>
      </c>
      <c r="F2679" t="s">
        <v>87</v>
      </c>
      <c r="G2679" s="6">
        <v>4270.34</v>
      </c>
      <c r="H2679" s="7">
        <v>0.2</v>
      </c>
      <c r="I2679" s="6">
        <v>854.07</v>
      </c>
      <c r="J2679" s="6">
        <v>5124.41</v>
      </c>
      <c r="K2679" t="s">
        <v>5410</v>
      </c>
      <c r="L2679" t="s">
        <v>5411</v>
      </c>
    </row>
    <row r="2680" spans="1:12" ht="15" customHeight="1" x14ac:dyDescent="0.25">
      <c r="A2680">
        <v>2679</v>
      </c>
      <c r="B2680" s="5">
        <v>45967</v>
      </c>
      <c r="C2680" t="s">
        <v>33</v>
      </c>
      <c r="D2680" t="s">
        <v>28</v>
      </c>
      <c r="E2680" t="s">
        <v>29</v>
      </c>
      <c r="F2680" t="s">
        <v>76</v>
      </c>
      <c r="G2680" s="6">
        <v>2567.4499999999998</v>
      </c>
      <c r="H2680" s="7">
        <v>2.1000000000000001E-2</v>
      </c>
      <c r="I2680" s="6">
        <v>53.92</v>
      </c>
      <c r="J2680" s="6">
        <v>2621.37</v>
      </c>
      <c r="K2680" t="s">
        <v>5412</v>
      </c>
      <c r="L2680" t="s">
        <v>5413</v>
      </c>
    </row>
    <row r="2681" spans="1:12" ht="15" customHeight="1" x14ac:dyDescent="0.25">
      <c r="A2681">
        <v>2680</v>
      </c>
      <c r="B2681" s="5">
        <v>46020</v>
      </c>
      <c r="C2681" t="s">
        <v>47</v>
      </c>
      <c r="D2681" t="s">
        <v>42</v>
      </c>
      <c r="E2681" t="s">
        <v>43</v>
      </c>
      <c r="F2681" t="s">
        <v>44</v>
      </c>
      <c r="G2681" s="6">
        <v>3465.15</v>
      </c>
      <c r="H2681" s="7">
        <v>0</v>
      </c>
      <c r="I2681" s="6">
        <v>0</v>
      </c>
      <c r="J2681" s="6">
        <v>3465.15</v>
      </c>
      <c r="K2681" t="s">
        <v>5414</v>
      </c>
      <c r="L2681" t="s">
        <v>5415</v>
      </c>
    </row>
    <row r="2682" spans="1:12" ht="15" customHeight="1" x14ac:dyDescent="0.25">
      <c r="A2682">
        <v>2681</v>
      </c>
      <c r="B2682" s="5">
        <v>45800</v>
      </c>
      <c r="C2682" t="s">
        <v>27</v>
      </c>
      <c r="D2682" t="s">
        <v>28</v>
      </c>
      <c r="E2682" t="s">
        <v>29</v>
      </c>
      <c r="F2682" t="s">
        <v>81</v>
      </c>
      <c r="G2682" s="6">
        <v>2008.41</v>
      </c>
      <c r="H2682" s="7">
        <v>2.1000000000000001E-2</v>
      </c>
      <c r="I2682" s="6">
        <v>42.18</v>
      </c>
      <c r="J2682" s="6">
        <v>2050.59</v>
      </c>
      <c r="K2682" t="s">
        <v>5416</v>
      </c>
      <c r="L2682" t="s">
        <v>5417</v>
      </c>
    </row>
    <row r="2683" spans="1:12" ht="15" customHeight="1" x14ac:dyDescent="0.25">
      <c r="A2683">
        <v>2682</v>
      </c>
      <c r="B2683" s="5">
        <v>45792</v>
      </c>
      <c r="C2683" t="s">
        <v>33</v>
      </c>
      <c r="D2683" t="s">
        <v>28</v>
      </c>
      <c r="E2683" t="s">
        <v>29</v>
      </c>
      <c r="F2683" t="s">
        <v>120</v>
      </c>
      <c r="G2683" s="6">
        <v>3959.79</v>
      </c>
      <c r="H2683" s="7">
        <v>2.1000000000000001E-2</v>
      </c>
      <c r="I2683" s="6">
        <v>83.16</v>
      </c>
      <c r="J2683" s="6">
        <v>4042.95</v>
      </c>
      <c r="K2683" t="s">
        <v>5418</v>
      </c>
      <c r="L2683" t="s">
        <v>5419</v>
      </c>
    </row>
    <row r="2684" spans="1:12" ht="15" customHeight="1" x14ac:dyDescent="0.25">
      <c r="A2684">
        <v>2683</v>
      </c>
      <c r="B2684" s="5">
        <v>45782</v>
      </c>
      <c r="C2684" t="s">
        <v>47</v>
      </c>
      <c r="D2684" t="s">
        <v>63</v>
      </c>
      <c r="E2684" t="s">
        <v>64</v>
      </c>
      <c r="F2684" t="s">
        <v>30</v>
      </c>
      <c r="G2684" s="6">
        <v>4087.24</v>
      </c>
      <c r="H2684" s="7">
        <v>0.2</v>
      </c>
      <c r="I2684" s="6">
        <v>817.45</v>
      </c>
      <c r="J2684" s="6">
        <v>4904.6899999999996</v>
      </c>
      <c r="K2684" t="s">
        <v>5420</v>
      </c>
      <c r="L2684" t="s">
        <v>5421</v>
      </c>
    </row>
    <row r="2685" spans="1:12" ht="15" customHeight="1" x14ac:dyDescent="0.25">
      <c r="A2685">
        <v>2684</v>
      </c>
      <c r="B2685" s="5">
        <v>45950</v>
      </c>
      <c r="C2685" t="s">
        <v>33</v>
      </c>
      <c r="D2685" t="s">
        <v>28</v>
      </c>
      <c r="E2685" t="s">
        <v>29</v>
      </c>
      <c r="F2685" t="s">
        <v>71</v>
      </c>
      <c r="G2685" s="6">
        <v>905.61</v>
      </c>
      <c r="H2685" s="7">
        <v>2.1000000000000001E-2</v>
      </c>
      <c r="I2685" s="6">
        <v>19.02</v>
      </c>
      <c r="J2685" s="6">
        <v>924.63</v>
      </c>
      <c r="K2685" t="s">
        <v>5422</v>
      </c>
      <c r="L2685" t="s">
        <v>5423</v>
      </c>
    </row>
    <row r="2686" spans="1:12" ht="15" customHeight="1" x14ac:dyDescent="0.25">
      <c r="A2686">
        <v>2685</v>
      </c>
      <c r="B2686" s="5">
        <v>45849</v>
      </c>
      <c r="C2686" t="s">
        <v>27</v>
      </c>
      <c r="D2686" t="s">
        <v>94</v>
      </c>
      <c r="E2686" t="s">
        <v>95</v>
      </c>
      <c r="F2686" t="s">
        <v>44</v>
      </c>
      <c r="G2686" s="6">
        <v>1694.7</v>
      </c>
      <c r="H2686" s="7">
        <v>0</v>
      </c>
      <c r="I2686" s="6">
        <v>0</v>
      </c>
      <c r="J2686" s="6">
        <v>1694.7</v>
      </c>
      <c r="K2686" t="s">
        <v>5424</v>
      </c>
      <c r="L2686" t="s">
        <v>5425</v>
      </c>
    </row>
    <row r="2687" spans="1:12" ht="15" customHeight="1" x14ac:dyDescent="0.25">
      <c r="A2687">
        <v>2686</v>
      </c>
      <c r="B2687" s="5">
        <v>45869</v>
      </c>
      <c r="C2687" t="s">
        <v>27</v>
      </c>
      <c r="D2687" t="s">
        <v>28</v>
      </c>
      <c r="E2687" t="s">
        <v>29</v>
      </c>
      <c r="F2687" t="s">
        <v>39</v>
      </c>
      <c r="G2687" s="6">
        <v>592.05999999999995</v>
      </c>
      <c r="H2687" s="7">
        <v>2.1000000000000001E-2</v>
      </c>
      <c r="I2687" s="6">
        <v>12.43</v>
      </c>
      <c r="J2687" s="6">
        <v>604.49</v>
      </c>
      <c r="K2687" t="s">
        <v>5426</v>
      </c>
      <c r="L2687" t="s">
        <v>5427</v>
      </c>
    </row>
    <row r="2688" spans="1:12" ht="15" customHeight="1" x14ac:dyDescent="0.25">
      <c r="A2688">
        <v>2687</v>
      </c>
      <c r="B2688" s="5">
        <v>45726</v>
      </c>
      <c r="C2688" t="s">
        <v>33</v>
      </c>
      <c r="D2688" t="s">
        <v>28</v>
      </c>
      <c r="E2688" t="s">
        <v>29</v>
      </c>
      <c r="F2688" t="s">
        <v>36</v>
      </c>
      <c r="G2688" s="6">
        <v>3380.16</v>
      </c>
      <c r="H2688" s="7">
        <v>2.1000000000000001E-2</v>
      </c>
      <c r="I2688" s="6">
        <v>70.98</v>
      </c>
      <c r="J2688" s="6">
        <v>3451.14</v>
      </c>
      <c r="K2688" t="s">
        <v>5428</v>
      </c>
      <c r="L2688" t="s">
        <v>5429</v>
      </c>
    </row>
    <row r="2689" spans="1:13" ht="15" customHeight="1" x14ac:dyDescent="0.25">
      <c r="A2689">
        <v>2688</v>
      </c>
      <c r="B2689" s="5">
        <v>45664</v>
      </c>
      <c r="C2689" t="s">
        <v>47</v>
      </c>
      <c r="D2689" t="s">
        <v>28</v>
      </c>
      <c r="E2689" t="s">
        <v>29</v>
      </c>
      <c r="F2689" t="s">
        <v>120</v>
      </c>
      <c r="G2689" s="6">
        <v>578.37</v>
      </c>
      <c r="H2689" s="7">
        <v>2.1000000000000001E-2</v>
      </c>
      <c r="I2689" s="6">
        <v>12.15</v>
      </c>
      <c r="J2689" s="6">
        <v>590.52</v>
      </c>
      <c r="K2689" t="s">
        <v>5430</v>
      </c>
      <c r="L2689" t="s">
        <v>5431</v>
      </c>
    </row>
    <row r="2690" spans="1:13" ht="15" customHeight="1" x14ac:dyDescent="0.25">
      <c r="A2690">
        <v>2689</v>
      </c>
      <c r="B2690" s="5">
        <v>45813</v>
      </c>
      <c r="C2690" t="s">
        <v>27</v>
      </c>
      <c r="D2690" t="s">
        <v>172</v>
      </c>
      <c r="E2690" t="s">
        <v>173</v>
      </c>
      <c r="F2690" t="s">
        <v>30</v>
      </c>
      <c r="G2690" s="6">
        <v>3971.3</v>
      </c>
      <c r="H2690" s="7">
        <v>0.2</v>
      </c>
      <c r="I2690" s="6">
        <v>794.26</v>
      </c>
      <c r="J2690" s="6">
        <v>4765.5600000000004</v>
      </c>
      <c r="K2690" t="s">
        <v>5432</v>
      </c>
      <c r="L2690" t="s">
        <v>5433</v>
      </c>
    </row>
    <row r="2691" spans="1:13" ht="15" customHeight="1" x14ac:dyDescent="0.25">
      <c r="A2691">
        <v>2690</v>
      </c>
      <c r="B2691" s="5">
        <v>45754</v>
      </c>
      <c r="C2691" t="s">
        <v>33</v>
      </c>
      <c r="D2691" t="s">
        <v>42</v>
      </c>
      <c r="E2691" t="s">
        <v>43</v>
      </c>
      <c r="F2691" t="s">
        <v>44</v>
      </c>
      <c r="G2691" s="6">
        <v>2947.86</v>
      </c>
      <c r="H2691" s="7">
        <v>0</v>
      </c>
      <c r="I2691" s="6">
        <v>0</v>
      </c>
      <c r="J2691" s="6">
        <v>2947.86</v>
      </c>
      <c r="K2691" t="s">
        <v>5434</v>
      </c>
      <c r="L2691" t="s">
        <v>5435</v>
      </c>
    </row>
    <row r="2692" spans="1:13" ht="15" customHeight="1" x14ac:dyDescent="0.25">
      <c r="A2692">
        <v>2691</v>
      </c>
      <c r="B2692" s="5">
        <v>45982</v>
      </c>
      <c r="C2692" t="s">
        <v>33</v>
      </c>
      <c r="D2692" t="s">
        <v>28</v>
      </c>
      <c r="E2692" t="s">
        <v>29</v>
      </c>
      <c r="F2692" t="s">
        <v>87</v>
      </c>
      <c r="G2692" s="6">
        <v>2851.47</v>
      </c>
      <c r="H2692" s="7">
        <v>2.1000000000000001E-2</v>
      </c>
      <c r="I2692" s="6">
        <v>59.88</v>
      </c>
      <c r="J2692" s="6">
        <v>2911.35</v>
      </c>
      <c r="K2692" t="s">
        <v>5436</v>
      </c>
      <c r="L2692" t="s">
        <v>5437</v>
      </c>
    </row>
    <row r="2693" spans="1:13" ht="15" customHeight="1" x14ac:dyDescent="0.25">
      <c r="A2693">
        <v>2692</v>
      </c>
      <c r="B2693" s="5">
        <v>45919</v>
      </c>
      <c r="C2693" t="s">
        <v>27</v>
      </c>
      <c r="D2693" t="s">
        <v>28</v>
      </c>
      <c r="E2693" t="s">
        <v>29</v>
      </c>
      <c r="F2693" t="s">
        <v>87</v>
      </c>
      <c r="G2693" s="6">
        <v>722.68</v>
      </c>
      <c r="H2693" s="7">
        <v>2.1000000000000001E-2</v>
      </c>
      <c r="I2693" s="6">
        <v>15.18</v>
      </c>
      <c r="J2693" s="6">
        <v>737.86</v>
      </c>
      <c r="K2693" t="s">
        <v>5438</v>
      </c>
      <c r="L2693" t="s">
        <v>5439</v>
      </c>
    </row>
    <row r="2694" spans="1:13" ht="15" customHeight="1" x14ac:dyDescent="0.25">
      <c r="A2694">
        <v>2693</v>
      </c>
      <c r="B2694" s="5">
        <v>45695</v>
      </c>
      <c r="C2694" t="s">
        <v>27</v>
      </c>
      <c r="D2694" t="s">
        <v>94</v>
      </c>
      <c r="E2694" t="s">
        <v>95</v>
      </c>
      <c r="F2694" t="s">
        <v>44</v>
      </c>
      <c r="G2694" s="6">
        <v>1117.67</v>
      </c>
      <c r="H2694" s="7">
        <v>0</v>
      </c>
      <c r="I2694" s="6">
        <v>0</v>
      </c>
      <c r="J2694" s="6">
        <v>1117.67</v>
      </c>
      <c r="K2694" t="s">
        <v>5440</v>
      </c>
      <c r="L2694" t="s">
        <v>5441</v>
      </c>
    </row>
    <row r="2695" spans="1:13" ht="15" customHeight="1" x14ac:dyDescent="0.25">
      <c r="A2695">
        <v>2694</v>
      </c>
      <c r="B2695" s="5">
        <v>45792</v>
      </c>
      <c r="C2695" t="s">
        <v>47</v>
      </c>
      <c r="D2695" t="s">
        <v>42</v>
      </c>
      <c r="E2695" t="s">
        <v>43</v>
      </c>
      <c r="F2695" t="s">
        <v>44</v>
      </c>
      <c r="G2695" s="6">
        <v>3605.69</v>
      </c>
      <c r="H2695" s="7">
        <v>0</v>
      </c>
      <c r="I2695" s="6">
        <v>0</v>
      </c>
      <c r="J2695" s="6">
        <v>3605.69</v>
      </c>
      <c r="K2695" t="s">
        <v>5442</v>
      </c>
      <c r="L2695" t="s">
        <v>5443</v>
      </c>
    </row>
    <row r="2696" spans="1:13" ht="15" customHeight="1" x14ac:dyDescent="0.25">
      <c r="A2696">
        <v>2695</v>
      </c>
      <c r="B2696" s="5">
        <v>45672</v>
      </c>
      <c r="C2696" t="s">
        <v>47</v>
      </c>
      <c r="D2696" t="s">
        <v>42</v>
      </c>
      <c r="E2696" t="s">
        <v>43</v>
      </c>
      <c r="F2696" t="s">
        <v>44</v>
      </c>
      <c r="G2696" s="6">
        <v>3543.59</v>
      </c>
      <c r="H2696" s="7">
        <v>0</v>
      </c>
      <c r="I2696" s="6">
        <v>0</v>
      </c>
      <c r="J2696" s="6">
        <v>3543.59</v>
      </c>
      <c r="K2696" t="s">
        <v>5444</v>
      </c>
      <c r="L2696" t="s">
        <v>5445</v>
      </c>
    </row>
    <row r="2697" spans="1:13" ht="15" customHeight="1" x14ac:dyDescent="0.25">
      <c r="A2697">
        <v>2696</v>
      </c>
      <c r="B2697" s="5">
        <v>45723</v>
      </c>
      <c r="C2697" t="s">
        <v>47</v>
      </c>
      <c r="D2697" t="s">
        <v>79</v>
      </c>
      <c r="E2697" t="s">
        <v>80</v>
      </c>
      <c r="F2697" t="s">
        <v>106</v>
      </c>
      <c r="G2697" s="6">
        <v>2198.8000000000002</v>
      </c>
      <c r="H2697" s="7">
        <v>0.2</v>
      </c>
      <c r="I2697" s="6">
        <v>439.76</v>
      </c>
      <c r="J2697" s="6">
        <v>2638.56</v>
      </c>
      <c r="K2697" t="s">
        <v>5446</v>
      </c>
      <c r="L2697" t="s">
        <v>5447</v>
      </c>
    </row>
    <row r="2698" spans="1:13" ht="15" customHeight="1" x14ac:dyDescent="0.25">
      <c r="A2698">
        <v>2697</v>
      </c>
      <c r="B2698" s="5">
        <v>45964</v>
      </c>
      <c r="C2698" t="s">
        <v>27</v>
      </c>
      <c r="D2698" t="s">
        <v>100</v>
      </c>
      <c r="E2698" t="s">
        <v>101</v>
      </c>
      <c r="F2698" t="s">
        <v>44</v>
      </c>
      <c r="G2698" s="6">
        <v>2993.12</v>
      </c>
      <c r="H2698" s="7">
        <v>0</v>
      </c>
      <c r="I2698" s="6">
        <v>0</v>
      </c>
      <c r="J2698" s="6">
        <v>2993.12</v>
      </c>
      <c r="K2698" t="s">
        <v>5448</v>
      </c>
      <c r="L2698" t="s">
        <v>5449</v>
      </c>
    </row>
    <row r="2699" spans="1:13" ht="15" customHeight="1" x14ac:dyDescent="0.25">
      <c r="A2699">
        <v>2698</v>
      </c>
      <c r="B2699" s="5">
        <v>45691</v>
      </c>
      <c r="C2699" t="s">
        <v>47</v>
      </c>
      <c r="D2699" t="s">
        <v>172</v>
      </c>
      <c r="E2699" t="s">
        <v>173</v>
      </c>
      <c r="F2699" t="s">
        <v>81</v>
      </c>
      <c r="G2699" s="6">
        <v>2562.66</v>
      </c>
      <c r="H2699" s="7">
        <v>0</v>
      </c>
      <c r="I2699" s="6">
        <v>0</v>
      </c>
      <c r="J2699" s="6">
        <v>2562.66</v>
      </c>
      <c r="K2699" t="s">
        <v>5450</v>
      </c>
      <c r="L2699" t="s">
        <v>5451</v>
      </c>
      <c r="M2699" t="s">
        <v>447</v>
      </c>
    </row>
    <row r="2700" spans="1:13" ht="15" customHeight="1" x14ac:dyDescent="0.25">
      <c r="A2700">
        <v>2699</v>
      </c>
      <c r="B2700" s="5">
        <v>45678</v>
      </c>
      <c r="C2700" t="s">
        <v>33</v>
      </c>
      <c r="D2700" t="s">
        <v>42</v>
      </c>
      <c r="E2700" t="s">
        <v>43</v>
      </c>
      <c r="F2700" t="s">
        <v>44</v>
      </c>
      <c r="G2700" s="6">
        <v>2743.84</v>
      </c>
      <c r="H2700" s="7">
        <v>0</v>
      </c>
      <c r="I2700" s="6">
        <v>0</v>
      </c>
      <c r="J2700" s="6">
        <v>2743.84</v>
      </c>
      <c r="K2700" t="s">
        <v>5452</v>
      </c>
      <c r="L2700" t="s">
        <v>5453</v>
      </c>
    </row>
    <row r="2701" spans="1:13" ht="15" customHeight="1" x14ac:dyDescent="0.25">
      <c r="A2701">
        <v>2700</v>
      </c>
      <c r="B2701" s="5">
        <v>45832</v>
      </c>
      <c r="C2701" t="s">
        <v>27</v>
      </c>
      <c r="D2701" t="s">
        <v>42</v>
      </c>
      <c r="E2701" t="s">
        <v>43</v>
      </c>
      <c r="F2701" t="s">
        <v>44</v>
      </c>
      <c r="G2701" s="6">
        <v>3084.7</v>
      </c>
      <c r="H2701" s="7">
        <v>0</v>
      </c>
      <c r="I2701" s="6">
        <v>0</v>
      </c>
      <c r="J2701" s="6">
        <v>3084.7</v>
      </c>
      <c r="K2701" t="s">
        <v>5454</v>
      </c>
      <c r="L2701" t="s">
        <v>5455</v>
      </c>
    </row>
    <row r="2702" spans="1:13" ht="15" customHeight="1" x14ac:dyDescent="0.25">
      <c r="A2702">
        <v>2701</v>
      </c>
      <c r="B2702" s="5">
        <v>45898</v>
      </c>
      <c r="C2702" t="s">
        <v>47</v>
      </c>
      <c r="D2702" t="s">
        <v>42</v>
      </c>
      <c r="E2702" t="s">
        <v>43</v>
      </c>
      <c r="F2702" t="s">
        <v>44</v>
      </c>
      <c r="G2702" s="6">
        <v>2726.63</v>
      </c>
      <c r="H2702" s="7">
        <v>0</v>
      </c>
      <c r="I2702" s="6">
        <v>0</v>
      </c>
      <c r="J2702" s="6">
        <v>2726.63</v>
      </c>
      <c r="K2702" t="s">
        <v>5456</v>
      </c>
      <c r="L2702" t="s">
        <v>5457</v>
      </c>
    </row>
    <row r="2703" spans="1:13" ht="15" customHeight="1" x14ac:dyDescent="0.25">
      <c r="A2703">
        <v>2702</v>
      </c>
      <c r="B2703" s="5">
        <v>45944</v>
      </c>
      <c r="C2703" t="s">
        <v>27</v>
      </c>
      <c r="D2703" t="s">
        <v>172</v>
      </c>
      <c r="E2703" t="s">
        <v>173</v>
      </c>
      <c r="F2703" t="s">
        <v>84</v>
      </c>
      <c r="G2703" s="6">
        <v>4161.67</v>
      </c>
      <c r="H2703" s="7">
        <v>0.2</v>
      </c>
      <c r="I2703" s="6">
        <v>832.33</v>
      </c>
      <c r="J2703" s="6">
        <v>4994</v>
      </c>
      <c r="K2703" t="s">
        <v>5458</v>
      </c>
      <c r="L2703" t="s">
        <v>5459</v>
      </c>
    </row>
    <row r="2704" spans="1:13" ht="15" customHeight="1" x14ac:dyDescent="0.25">
      <c r="A2704">
        <v>2703</v>
      </c>
      <c r="B2704" s="5">
        <v>45728</v>
      </c>
      <c r="C2704" t="s">
        <v>27</v>
      </c>
      <c r="D2704" t="s">
        <v>42</v>
      </c>
      <c r="E2704" t="s">
        <v>43</v>
      </c>
      <c r="F2704" t="s">
        <v>44</v>
      </c>
      <c r="G2704" s="6">
        <v>2018.37</v>
      </c>
      <c r="H2704" s="7">
        <v>0</v>
      </c>
      <c r="I2704" s="6">
        <v>0</v>
      </c>
      <c r="J2704" s="6">
        <v>2018.37</v>
      </c>
      <c r="K2704" t="s">
        <v>5460</v>
      </c>
      <c r="L2704" t="s">
        <v>5461</v>
      </c>
    </row>
    <row r="2705" spans="1:13" ht="15" customHeight="1" x14ac:dyDescent="0.25">
      <c r="A2705">
        <v>2704</v>
      </c>
      <c r="B2705" s="5">
        <v>45973</v>
      </c>
      <c r="C2705" t="s">
        <v>47</v>
      </c>
      <c r="D2705" t="s">
        <v>172</v>
      </c>
      <c r="E2705" t="s">
        <v>173</v>
      </c>
      <c r="F2705" t="s">
        <v>174</v>
      </c>
      <c r="G2705" s="6">
        <v>2870.64</v>
      </c>
      <c r="H2705" s="7">
        <v>0.2</v>
      </c>
      <c r="I2705" s="6">
        <v>574.13</v>
      </c>
      <c r="J2705" s="6">
        <v>3444.77</v>
      </c>
      <c r="K2705" t="s">
        <v>5462</v>
      </c>
      <c r="L2705" t="s">
        <v>5463</v>
      </c>
    </row>
    <row r="2706" spans="1:13" ht="15" customHeight="1" x14ac:dyDescent="0.25">
      <c r="A2706">
        <v>2705</v>
      </c>
      <c r="B2706" s="5">
        <v>45805</v>
      </c>
      <c r="C2706" t="s">
        <v>47</v>
      </c>
      <c r="D2706" t="s">
        <v>100</v>
      </c>
      <c r="E2706" t="s">
        <v>101</v>
      </c>
      <c r="F2706" t="s">
        <v>44</v>
      </c>
      <c r="G2706" s="6">
        <v>2346.8200000000002</v>
      </c>
      <c r="H2706" s="7">
        <v>0</v>
      </c>
      <c r="I2706" s="6">
        <v>0</v>
      </c>
      <c r="J2706" s="6">
        <v>2346.8200000000002</v>
      </c>
      <c r="K2706" t="s">
        <v>5464</v>
      </c>
      <c r="L2706" t="s">
        <v>5465</v>
      </c>
    </row>
    <row r="2707" spans="1:13" ht="15" customHeight="1" x14ac:dyDescent="0.25">
      <c r="A2707">
        <v>2706</v>
      </c>
      <c r="B2707" s="5">
        <v>45814</v>
      </c>
      <c r="C2707" t="s">
        <v>33</v>
      </c>
      <c r="D2707" t="s">
        <v>172</v>
      </c>
      <c r="E2707" t="s">
        <v>173</v>
      </c>
      <c r="F2707" t="s">
        <v>50</v>
      </c>
      <c r="G2707" s="6">
        <v>927.96</v>
      </c>
      <c r="H2707" s="7">
        <v>0.2</v>
      </c>
      <c r="I2707" s="6">
        <v>185.59</v>
      </c>
      <c r="J2707" s="6">
        <v>1113.55</v>
      </c>
      <c r="K2707" t="s">
        <v>5466</v>
      </c>
      <c r="L2707" t="s">
        <v>5467</v>
      </c>
    </row>
    <row r="2708" spans="1:13" ht="15" customHeight="1" x14ac:dyDescent="0.25">
      <c r="A2708">
        <v>2707</v>
      </c>
      <c r="B2708" s="5">
        <v>45794</v>
      </c>
      <c r="C2708" t="s">
        <v>27</v>
      </c>
      <c r="D2708" t="s">
        <v>63</v>
      </c>
      <c r="E2708" t="s">
        <v>64</v>
      </c>
      <c r="F2708" t="s">
        <v>120</v>
      </c>
      <c r="G2708" s="6">
        <v>2722.1</v>
      </c>
      <c r="H2708" s="7">
        <v>0.2</v>
      </c>
      <c r="I2708" s="6">
        <v>544.41999999999996</v>
      </c>
      <c r="J2708" s="6">
        <v>3266.52</v>
      </c>
      <c r="K2708" t="s">
        <v>5468</v>
      </c>
      <c r="L2708" t="s">
        <v>5469</v>
      </c>
      <c r="M2708" t="s">
        <v>472</v>
      </c>
    </row>
    <row r="2709" spans="1:13" ht="15" customHeight="1" x14ac:dyDescent="0.25">
      <c r="A2709">
        <v>2708</v>
      </c>
      <c r="B2709" s="5">
        <v>45729</v>
      </c>
      <c r="C2709" t="s">
        <v>33</v>
      </c>
      <c r="D2709" t="s">
        <v>42</v>
      </c>
      <c r="E2709" t="s">
        <v>43</v>
      </c>
      <c r="F2709" t="s">
        <v>44</v>
      </c>
      <c r="G2709" s="6">
        <v>3452</v>
      </c>
      <c r="H2709" s="7">
        <v>0</v>
      </c>
      <c r="I2709" s="6">
        <v>0</v>
      </c>
      <c r="J2709" s="6">
        <v>3452</v>
      </c>
      <c r="K2709" t="s">
        <v>5470</v>
      </c>
      <c r="L2709" t="s">
        <v>5471</v>
      </c>
    </row>
    <row r="2710" spans="1:13" ht="15" customHeight="1" x14ac:dyDescent="0.25">
      <c r="A2710">
        <v>2709</v>
      </c>
      <c r="B2710" s="5">
        <v>46022</v>
      </c>
      <c r="C2710" t="s">
        <v>27</v>
      </c>
      <c r="D2710" t="s">
        <v>34</v>
      </c>
      <c r="E2710" t="s">
        <v>35</v>
      </c>
      <c r="F2710" t="s">
        <v>50</v>
      </c>
      <c r="G2710" s="6">
        <v>2479.0700000000002</v>
      </c>
      <c r="H2710" s="7">
        <v>0.2</v>
      </c>
      <c r="I2710" s="6">
        <v>495.81</v>
      </c>
      <c r="J2710" s="6">
        <v>2974.88</v>
      </c>
      <c r="K2710" t="s">
        <v>5472</v>
      </c>
      <c r="L2710" t="s">
        <v>5473</v>
      </c>
    </row>
    <row r="2711" spans="1:13" ht="15" customHeight="1" x14ac:dyDescent="0.25">
      <c r="A2711">
        <v>2710</v>
      </c>
      <c r="B2711" s="5">
        <v>45807</v>
      </c>
      <c r="C2711" t="s">
        <v>47</v>
      </c>
      <c r="D2711" t="s">
        <v>172</v>
      </c>
      <c r="E2711" t="s">
        <v>173</v>
      </c>
      <c r="F2711" t="s">
        <v>71</v>
      </c>
      <c r="G2711" s="6">
        <v>2902.59</v>
      </c>
      <c r="H2711" s="7">
        <v>0.2</v>
      </c>
      <c r="I2711" s="6">
        <v>580.52</v>
      </c>
      <c r="J2711" s="6">
        <v>3483.11</v>
      </c>
      <c r="K2711" t="s">
        <v>5474</v>
      </c>
      <c r="M2711" t="s">
        <v>186</v>
      </c>
    </row>
    <row r="2712" spans="1:13" ht="15" customHeight="1" x14ac:dyDescent="0.25">
      <c r="A2712">
        <v>2711</v>
      </c>
      <c r="B2712" s="5">
        <v>45751</v>
      </c>
      <c r="C2712" t="s">
        <v>27</v>
      </c>
      <c r="D2712" t="s">
        <v>42</v>
      </c>
      <c r="E2712" t="s">
        <v>43</v>
      </c>
      <c r="F2712" t="s">
        <v>44</v>
      </c>
      <c r="G2712" s="6">
        <v>3742.99</v>
      </c>
      <c r="H2712" s="7">
        <v>0</v>
      </c>
      <c r="I2712" s="6">
        <v>0</v>
      </c>
      <c r="J2712" s="6">
        <v>3742.99</v>
      </c>
      <c r="K2712" t="s">
        <v>5475</v>
      </c>
      <c r="L2712" t="s">
        <v>5476</v>
      </c>
    </row>
    <row r="2713" spans="1:13" ht="15" customHeight="1" x14ac:dyDescent="0.25">
      <c r="A2713">
        <v>2712</v>
      </c>
      <c r="B2713" s="5">
        <v>45796</v>
      </c>
      <c r="C2713" t="s">
        <v>33</v>
      </c>
      <c r="D2713" t="s">
        <v>63</v>
      </c>
      <c r="E2713" t="s">
        <v>64</v>
      </c>
      <c r="F2713" t="s">
        <v>76</v>
      </c>
      <c r="G2713" s="6">
        <v>4201.58</v>
      </c>
      <c r="H2713" s="7">
        <v>0.2</v>
      </c>
      <c r="I2713" s="6">
        <v>840.32</v>
      </c>
      <c r="J2713" s="6">
        <v>5041.8999999999996</v>
      </c>
      <c r="K2713" t="s">
        <v>5477</v>
      </c>
      <c r="L2713" t="s">
        <v>5478</v>
      </c>
    </row>
    <row r="2714" spans="1:13" ht="15" customHeight="1" x14ac:dyDescent="0.25">
      <c r="A2714">
        <v>2713</v>
      </c>
      <c r="B2714" s="5">
        <v>45968</v>
      </c>
      <c r="C2714" t="s">
        <v>47</v>
      </c>
      <c r="D2714" t="s">
        <v>28</v>
      </c>
      <c r="E2714" t="s">
        <v>29</v>
      </c>
      <c r="F2714" t="s">
        <v>87</v>
      </c>
      <c r="G2714" s="6">
        <v>398.46</v>
      </c>
      <c r="H2714" s="7">
        <v>2.1000000000000001E-2</v>
      </c>
      <c r="I2714" s="6">
        <v>8.3699999999999992</v>
      </c>
      <c r="J2714" s="6">
        <v>406.83</v>
      </c>
      <c r="K2714" t="s">
        <v>5479</v>
      </c>
      <c r="L2714" t="s">
        <v>5480</v>
      </c>
    </row>
    <row r="2715" spans="1:13" ht="15" customHeight="1" x14ac:dyDescent="0.25">
      <c r="A2715">
        <v>2714</v>
      </c>
      <c r="B2715" s="5">
        <v>45659</v>
      </c>
      <c r="C2715" t="s">
        <v>27</v>
      </c>
      <c r="D2715" t="s">
        <v>94</v>
      </c>
      <c r="E2715" t="s">
        <v>95</v>
      </c>
      <c r="F2715" t="s">
        <v>44</v>
      </c>
      <c r="G2715" s="6">
        <v>2529.98</v>
      </c>
      <c r="H2715" s="7">
        <v>0</v>
      </c>
      <c r="I2715" s="6">
        <v>0</v>
      </c>
      <c r="J2715" s="6">
        <v>2529.98</v>
      </c>
      <c r="K2715" t="s">
        <v>5481</v>
      </c>
      <c r="L2715" t="s">
        <v>5482</v>
      </c>
    </row>
    <row r="2716" spans="1:13" ht="15" customHeight="1" x14ac:dyDescent="0.25">
      <c r="A2716">
        <v>2715</v>
      </c>
      <c r="B2716" s="5">
        <v>45939</v>
      </c>
      <c r="C2716" t="s">
        <v>47</v>
      </c>
      <c r="D2716" t="s">
        <v>79</v>
      </c>
      <c r="E2716" t="s">
        <v>80</v>
      </c>
      <c r="F2716" t="s">
        <v>174</v>
      </c>
      <c r="G2716" s="6">
        <v>2659.44</v>
      </c>
      <c r="H2716" s="7">
        <v>0.2</v>
      </c>
      <c r="I2716" s="6">
        <v>531.89</v>
      </c>
      <c r="J2716" s="6">
        <v>3191.33</v>
      </c>
      <c r="K2716" t="s">
        <v>5483</v>
      </c>
      <c r="L2716" t="s">
        <v>5484</v>
      </c>
    </row>
    <row r="2717" spans="1:13" ht="15" customHeight="1" x14ac:dyDescent="0.25">
      <c r="A2717">
        <v>2716</v>
      </c>
      <c r="B2717" s="5">
        <v>45684</v>
      </c>
      <c r="C2717" t="s">
        <v>27</v>
      </c>
      <c r="D2717" t="s">
        <v>63</v>
      </c>
      <c r="E2717" t="s">
        <v>64</v>
      </c>
      <c r="F2717" t="s">
        <v>120</v>
      </c>
      <c r="G2717" s="6">
        <v>4418.57</v>
      </c>
      <c r="H2717" s="7">
        <v>0.2</v>
      </c>
      <c r="I2717" s="6">
        <v>883.71</v>
      </c>
      <c r="J2717" s="6">
        <v>5302.28</v>
      </c>
      <c r="K2717" t="s">
        <v>5485</v>
      </c>
      <c r="L2717" t="s">
        <v>5486</v>
      </c>
    </row>
    <row r="2718" spans="1:13" ht="15" customHeight="1" x14ac:dyDescent="0.25">
      <c r="A2718">
        <v>2717</v>
      </c>
      <c r="B2718" s="5">
        <v>45881</v>
      </c>
      <c r="C2718" t="s">
        <v>27</v>
      </c>
      <c r="D2718" t="s">
        <v>28</v>
      </c>
      <c r="E2718" t="s">
        <v>29</v>
      </c>
      <c r="F2718" t="s">
        <v>87</v>
      </c>
      <c r="G2718" s="6">
        <v>1790.03</v>
      </c>
      <c r="H2718" s="7">
        <v>2.1000000000000001E-2</v>
      </c>
      <c r="I2718" s="6">
        <v>37.590000000000003</v>
      </c>
      <c r="J2718" s="6">
        <v>1827.62</v>
      </c>
      <c r="K2718" t="s">
        <v>5487</v>
      </c>
      <c r="L2718" t="s">
        <v>5488</v>
      </c>
    </row>
    <row r="2719" spans="1:13" ht="15" customHeight="1" x14ac:dyDescent="0.25">
      <c r="A2719">
        <v>2718</v>
      </c>
      <c r="B2719" s="5">
        <v>45685</v>
      </c>
      <c r="C2719" t="s">
        <v>33</v>
      </c>
      <c r="D2719" t="s">
        <v>28</v>
      </c>
      <c r="E2719" t="s">
        <v>29</v>
      </c>
      <c r="F2719" t="s">
        <v>87</v>
      </c>
      <c r="G2719" s="6">
        <v>261.37</v>
      </c>
      <c r="H2719" s="7">
        <v>2.1000000000000001E-2</v>
      </c>
      <c r="I2719" s="6">
        <v>5.49</v>
      </c>
      <c r="J2719" s="6">
        <v>266.86</v>
      </c>
      <c r="K2719" t="s">
        <v>5489</v>
      </c>
      <c r="L2719" t="s">
        <v>5490</v>
      </c>
    </row>
    <row r="2720" spans="1:13" ht="15" customHeight="1" x14ac:dyDescent="0.25">
      <c r="A2720">
        <v>2719</v>
      </c>
      <c r="B2720" s="5">
        <v>45723</v>
      </c>
      <c r="C2720" t="s">
        <v>33</v>
      </c>
      <c r="D2720" t="s">
        <v>172</v>
      </c>
      <c r="E2720" t="s">
        <v>173</v>
      </c>
      <c r="F2720" t="s">
        <v>81</v>
      </c>
      <c r="G2720" s="6">
        <v>3544.71</v>
      </c>
      <c r="H2720" s="7">
        <v>0.2</v>
      </c>
      <c r="I2720" s="6">
        <v>708.94</v>
      </c>
      <c r="J2720" s="6">
        <v>4253.6499999999996</v>
      </c>
      <c r="K2720" t="s">
        <v>5491</v>
      </c>
      <c r="L2720" t="s">
        <v>5492</v>
      </c>
    </row>
    <row r="2721" spans="1:12" ht="15" customHeight="1" x14ac:dyDescent="0.25">
      <c r="A2721">
        <v>2720</v>
      </c>
      <c r="B2721" s="5">
        <v>45996</v>
      </c>
      <c r="C2721" t="s">
        <v>47</v>
      </c>
      <c r="D2721" t="s">
        <v>28</v>
      </c>
      <c r="E2721" t="s">
        <v>29</v>
      </c>
      <c r="F2721" t="s">
        <v>39</v>
      </c>
      <c r="G2721" s="6">
        <v>2584.23</v>
      </c>
      <c r="H2721" s="7">
        <v>2.1000000000000001E-2</v>
      </c>
      <c r="I2721" s="6">
        <v>54.27</v>
      </c>
      <c r="J2721" s="6">
        <v>2638.5</v>
      </c>
      <c r="K2721" t="s">
        <v>5493</v>
      </c>
      <c r="L2721" t="s">
        <v>5494</v>
      </c>
    </row>
    <row r="2722" spans="1:12" ht="15" customHeight="1" x14ac:dyDescent="0.25">
      <c r="A2722">
        <v>2721</v>
      </c>
      <c r="B2722" s="5">
        <v>45799</v>
      </c>
      <c r="C2722" t="s">
        <v>47</v>
      </c>
      <c r="D2722" t="s">
        <v>94</v>
      </c>
      <c r="E2722" t="s">
        <v>95</v>
      </c>
      <c r="F2722" t="s">
        <v>44</v>
      </c>
      <c r="G2722" s="6">
        <v>1101.7</v>
      </c>
      <c r="H2722" s="7">
        <v>0</v>
      </c>
      <c r="I2722" s="6">
        <v>0</v>
      </c>
      <c r="J2722" s="6">
        <v>1101.7</v>
      </c>
      <c r="K2722" t="s">
        <v>5495</v>
      </c>
      <c r="L2722" t="s">
        <v>5496</v>
      </c>
    </row>
    <row r="2723" spans="1:12" ht="15" customHeight="1" x14ac:dyDescent="0.25">
      <c r="A2723">
        <v>2722</v>
      </c>
      <c r="B2723" s="5">
        <v>45940</v>
      </c>
      <c r="C2723" t="s">
        <v>27</v>
      </c>
      <c r="D2723" t="s">
        <v>172</v>
      </c>
      <c r="E2723" t="s">
        <v>173</v>
      </c>
      <c r="F2723" t="s">
        <v>71</v>
      </c>
      <c r="G2723" s="6">
        <v>1642.7</v>
      </c>
      <c r="H2723" s="7">
        <v>0.2</v>
      </c>
      <c r="I2723" s="6">
        <v>328.54</v>
      </c>
      <c r="J2723" s="6">
        <v>1971.24</v>
      </c>
      <c r="K2723" t="s">
        <v>5497</v>
      </c>
      <c r="L2723" t="s">
        <v>5498</v>
      </c>
    </row>
    <row r="2724" spans="1:12" ht="15" customHeight="1" x14ac:dyDescent="0.25">
      <c r="A2724">
        <v>2723</v>
      </c>
      <c r="B2724" s="5">
        <v>45820</v>
      </c>
      <c r="C2724" t="s">
        <v>33</v>
      </c>
      <c r="D2724" t="s">
        <v>172</v>
      </c>
      <c r="E2724" t="s">
        <v>173</v>
      </c>
      <c r="F2724" t="s">
        <v>30</v>
      </c>
      <c r="G2724" s="6">
        <v>3449.59</v>
      </c>
      <c r="H2724" s="7">
        <v>0.2</v>
      </c>
      <c r="I2724" s="6">
        <v>689.92</v>
      </c>
      <c r="J2724" s="6">
        <v>4139.51</v>
      </c>
      <c r="K2724" t="s">
        <v>5499</v>
      </c>
      <c r="L2724" t="s">
        <v>5500</v>
      </c>
    </row>
    <row r="2725" spans="1:12" ht="15" customHeight="1" x14ac:dyDescent="0.25">
      <c r="A2725">
        <v>2724</v>
      </c>
      <c r="B2725" s="5">
        <v>45973</v>
      </c>
      <c r="C2725" t="s">
        <v>47</v>
      </c>
      <c r="D2725" t="s">
        <v>28</v>
      </c>
      <c r="E2725" t="s">
        <v>29</v>
      </c>
      <c r="F2725" t="s">
        <v>30</v>
      </c>
      <c r="G2725" s="6">
        <v>157.09</v>
      </c>
      <c r="H2725" s="7">
        <v>2.1000000000000001E-2</v>
      </c>
      <c r="I2725" s="6">
        <v>3.3</v>
      </c>
      <c r="J2725" s="6">
        <v>160.38999999999999</v>
      </c>
      <c r="K2725" t="s">
        <v>5501</v>
      </c>
      <c r="L2725" t="s">
        <v>5502</v>
      </c>
    </row>
    <row r="2726" spans="1:12" ht="15" customHeight="1" x14ac:dyDescent="0.25">
      <c r="A2726">
        <v>2725</v>
      </c>
      <c r="B2726" s="5">
        <v>45796</v>
      </c>
      <c r="C2726" t="s">
        <v>27</v>
      </c>
      <c r="D2726" t="s">
        <v>42</v>
      </c>
      <c r="E2726" t="s">
        <v>43</v>
      </c>
      <c r="F2726" t="s">
        <v>44</v>
      </c>
      <c r="G2726" s="6">
        <v>2098.9499999999998</v>
      </c>
      <c r="H2726" s="7">
        <v>0</v>
      </c>
      <c r="I2726" s="6">
        <v>0</v>
      </c>
      <c r="J2726" s="6">
        <v>2098.9499999999998</v>
      </c>
      <c r="K2726" t="s">
        <v>5503</v>
      </c>
      <c r="L2726" t="s">
        <v>5504</v>
      </c>
    </row>
    <row r="2727" spans="1:12" ht="15" customHeight="1" x14ac:dyDescent="0.25">
      <c r="A2727">
        <v>2726</v>
      </c>
      <c r="B2727" s="5">
        <v>45742</v>
      </c>
      <c r="C2727" t="s">
        <v>47</v>
      </c>
      <c r="D2727" t="s">
        <v>55</v>
      </c>
      <c r="E2727" t="s">
        <v>56</v>
      </c>
      <c r="F2727" t="s">
        <v>71</v>
      </c>
      <c r="G2727" s="6">
        <v>4022.13</v>
      </c>
      <c r="H2727" s="7">
        <v>5.5E-2</v>
      </c>
      <c r="I2727" s="6">
        <v>221.22</v>
      </c>
      <c r="J2727" s="6">
        <v>4243.3500000000004</v>
      </c>
      <c r="K2727" t="s">
        <v>5505</v>
      </c>
      <c r="L2727" t="s">
        <v>5506</v>
      </c>
    </row>
    <row r="2728" spans="1:12" ht="15" customHeight="1" x14ac:dyDescent="0.25">
      <c r="A2728">
        <v>2727</v>
      </c>
      <c r="B2728" s="5">
        <v>46001</v>
      </c>
      <c r="C2728" t="s">
        <v>33</v>
      </c>
      <c r="D2728" t="s">
        <v>28</v>
      </c>
      <c r="E2728" t="s">
        <v>29</v>
      </c>
      <c r="F2728" t="s">
        <v>84</v>
      </c>
      <c r="G2728" s="6">
        <v>1443.54</v>
      </c>
      <c r="H2728" s="7">
        <v>2.1000000000000001E-2</v>
      </c>
      <c r="I2728" s="6">
        <v>30.31</v>
      </c>
      <c r="J2728" s="6">
        <v>1473.85</v>
      </c>
      <c r="K2728" t="s">
        <v>5507</v>
      </c>
      <c r="L2728" t="s">
        <v>5508</v>
      </c>
    </row>
    <row r="2729" spans="1:12" ht="15" customHeight="1" x14ac:dyDescent="0.25">
      <c r="A2729">
        <v>2728</v>
      </c>
      <c r="B2729" s="5">
        <v>45776</v>
      </c>
      <c r="C2729" t="s">
        <v>47</v>
      </c>
      <c r="D2729" t="s">
        <v>79</v>
      </c>
      <c r="E2729" t="s">
        <v>80</v>
      </c>
      <c r="F2729" t="s">
        <v>87</v>
      </c>
      <c r="G2729" s="6">
        <v>523.62</v>
      </c>
      <c r="H2729" s="7">
        <v>0.2</v>
      </c>
      <c r="I2729" s="6">
        <v>104.72</v>
      </c>
      <c r="J2729" s="6">
        <v>628.34</v>
      </c>
      <c r="K2729" t="s">
        <v>5509</v>
      </c>
      <c r="L2729" t="s">
        <v>5510</v>
      </c>
    </row>
    <row r="2730" spans="1:12" ht="15" customHeight="1" x14ac:dyDescent="0.25">
      <c r="A2730">
        <v>2729</v>
      </c>
      <c r="B2730" s="5">
        <v>45734</v>
      </c>
      <c r="C2730" t="s">
        <v>27</v>
      </c>
      <c r="D2730" t="s">
        <v>79</v>
      </c>
      <c r="E2730" t="s">
        <v>80</v>
      </c>
      <c r="F2730" t="s">
        <v>36</v>
      </c>
      <c r="G2730" s="6">
        <v>3347.11</v>
      </c>
      <c r="H2730" s="7">
        <v>0.2</v>
      </c>
      <c r="I2730" s="6">
        <v>669.42</v>
      </c>
      <c r="J2730" s="6">
        <v>4016.53</v>
      </c>
      <c r="K2730" t="s">
        <v>5511</v>
      </c>
      <c r="L2730" t="s">
        <v>5512</v>
      </c>
    </row>
    <row r="2731" spans="1:12" ht="15" customHeight="1" x14ac:dyDescent="0.25">
      <c r="A2731">
        <v>2730</v>
      </c>
      <c r="B2731" s="5">
        <v>45797</v>
      </c>
      <c r="C2731" t="s">
        <v>27</v>
      </c>
      <c r="D2731" t="s">
        <v>42</v>
      </c>
      <c r="E2731" t="s">
        <v>43</v>
      </c>
      <c r="F2731" t="s">
        <v>44</v>
      </c>
      <c r="G2731" s="6">
        <v>3415.95</v>
      </c>
      <c r="H2731" s="7">
        <v>0</v>
      </c>
      <c r="I2731" s="6">
        <v>0</v>
      </c>
      <c r="J2731" s="6">
        <v>3415.95</v>
      </c>
      <c r="K2731" t="s">
        <v>5513</v>
      </c>
      <c r="L2731" t="s">
        <v>5514</v>
      </c>
    </row>
    <row r="2732" spans="1:12" ht="15" customHeight="1" x14ac:dyDescent="0.25">
      <c r="A2732">
        <v>2731</v>
      </c>
      <c r="B2732" s="5">
        <v>45917</v>
      </c>
      <c r="C2732" t="s">
        <v>27</v>
      </c>
      <c r="D2732" t="s">
        <v>55</v>
      </c>
      <c r="E2732" t="s">
        <v>56</v>
      </c>
      <c r="F2732" t="s">
        <v>76</v>
      </c>
      <c r="G2732" s="6">
        <v>2801.12</v>
      </c>
      <c r="H2732" s="7">
        <v>5.5E-2</v>
      </c>
      <c r="I2732" s="6">
        <v>154.06</v>
      </c>
      <c r="J2732" s="6">
        <v>2955.18</v>
      </c>
      <c r="K2732" t="s">
        <v>5515</v>
      </c>
      <c r="L2732" t="s">
        <v>5516</v>
      </c>
    </row>
    <row r="2733" spans="1:12" ht="15" customHeight="1" x14ac:dyDescent="0.25">
      <c r="A2733">
        <v>2732</v>
      </c>
      <c r="B2733" s="5">
        <v>45965</v>
      </c>
      <c r="C2733" t="s">
        <v>33</v>
      </c>
      <c r="D2733" t="s">
        <v>63</v>
      </c>
      <c r="E2733" t="s">
        <v>64</v>
      </c>
      <c r="F2733" t="s">
        <v>120</v>
      </c>
      <c r="G2733" s="6">
        <v>3779.27</v>
      </c>
      <c r="H2733" s="7">
        <v>0.2</v>
      </c>
      <c r="I2733" s="6">
        <v>755.85</v>
      </c>
      <c r="J2733" s="6">
        <v>4535.12</v>
      </c>
      <c r="K2733" t="s">
        <v>5517</v>
      </c>
      <c r="L2733" t="s">
        <v>5518</v>
      </c>
    </row>
    <row r="2734" spans="1:12" ht="15" customHeight="1" x14ac:dyDescent="0.25">
      <c r="A2734">
        <v>2733</v>
      </c>
      <c r="B2734" s="5">
        <v>45764</v>
      </c>
      <c r="C2734" t="s">
        <v>33</v>
      </c>
      <c r="D2734" t="s">
        <v>42</v>
      </c>
      <c r="E2734" t="s">
        <v>43</v>
      </c>
      <c r="F2734" t="s">
        <v>44</v>
      </c>
      <c r="G2734" s="6">
        <v>2647.84</v>
      </c>
      <c r="H2734" s="7">
        <v>0</v>
      </c>
      <c r="I2734" s="6">
        <v>0</v>
      </c>
      <c r="J2734" s="6">
        <v>2647.84</v>
      </c>
      <c r="K2734" t="s">
        <v>5519</v>
      </c>
      <c r="L2734" t="s">
        <v>5520</v>
      </c>
    </row>
    <row r="2735" spans="1:12" ht="15" customHeight="1" x14ac:dyDescent="0.25">
      <c r="A2735">
        <v>2734</v>
      </c>
      <c r="B2735" s="5">
        <v>45776</v>
      </c>
      <c r="C2735" t="s">
        <v>33</v>
      </c>
      <c r="D2735" t="s">
        <v>42</v>
      </c>
      <c r="E2735" t="s">
        <v>43</v>
      </c>
      <c r="F2735" t="s">
        <v>44</v>
      </c>
      <c r="G2735" s="6">
        <v>3906.55</v>
      </c>
      <c r="H2735" s="7">
        <v>0</v>
      </c>
      <c r="I2735" s="6">
        <v>0</v>
      </c>
      <c r="J2735" s="6">
        <v>3906.55</v>
      </c>
      <c r="K2735" t="s">
        <v>5521</v>
      </c>
      <c r="L2735" t="s">
        <v>5522</v>
      </c>
    </row>
    <row r="2736" spans="1:12" ht="15" customHeight="1" x14ac:dyDescent="0.25">
      <c r="A2736">
        <v>2735</v>
      </c>
      <c r="B2736" s="5">
        <v>45782</v>
      </c>
      <c r="C2736" t="s">
        <v>27</v>
      </c>
      <c r="D2736" t="s">
        <v>100</v>
      </c>
      <c r="E2736" t="s">
        <v>101</v>
      </c>
      <c r="F2736" t="s">
        <v>44</v>
      </c>
      <c r="G2736" s="6">
        <v>1955.27</v>
      </c>
      <c r="H2736" s="7">
        <v>0</v>
      </c>
      <c r="I2736" s="6">
        <v>0</v>
      </c>
      <c r="J2736" s="6">
        <v>1955.27</v>
      </c>
      <c r="K2736" t="s">
        <v>5523</v>
      </c>
      <c r="L2736" t="s">
        <v>5524</v>
      </c>
    </row>
    <row r="2737" spans="1:13" ht="15" customHeight="1" x14ac:dyDescent="0.25">
      <c r="A2737">
        <v>2736</v>
      </c>
      <c r="B2737" s="5">
        <v>45834</v>
      </c>
      <c r="C2737" t="s">
        <v>33</v>
      </c>
      <c r="D2737" t="s">
        <v>63</v>
      </c>
      <c r="E2737" t="s">
        <v>64</v>
      </c>
      <c r="F2737" t="s">
        <v>39</v>
      </c>
      <c r="G2737" s="6">
        <v>1669.08</v>
      </c>
      <c r="H2737" s="7">
        <v>0.2</v>
      </c>
      <c r="I2737" s="6">
        <v>333.82</v>
      </c>
      <c r="J2737" s="6">
        <v>2002.9</v>
      </c>
      <c r="K2737" t="s">
        <v>5525</v>
      </c>
      <c r="L2737" t="s">
        <v>5526</v>
      </c>
    </row>
    <row r="2738" spans="1:13" ht="15" customHeight="1" x14ac:dyDescent="0.25">
      <c r="A2738">
        <v>2737</v>
      </c>
      <c r="B2738" s="5">
        <v>45875</v>
      </c>
      <c r="C2738" t="s">
        <v>47</v>
      </c>
      <c r="D2738" t="s">
        <v>42</v>
      </c>
      <c r="E2738" t="s">
        <v>43</v>
      </c>
      <c r="F2738" t="s">
        <v>44</v>
      </c>
      <c r="G2738" s="6">
        <v>2411.8200000000002</v>
      </c>
      <c r="H2738" s="7">
        <v>0</v>
      </c>
      <c r="I2738" s="6">
        <v>0</v>
      </c>
      <c r="J2738" s="6">
        <v>2411.8200000000002</v>
      </c>
      <c r="K2738" t="s">
        <v>5527</v>
      </c>
      <c r="L2738" t="s">
        <v>5528</v>
      </c>
    </row>
    <row r="2739" spans="1:13" ht="15" customHeight="1" x14ac:dyDescent="0.25">
      <c r="A2739">
        <v>2738</v>
      </c>
      <c r="B2739" s="5">
        <v>45791</v>
      </c>
      <c r="C2739" t="s">
        <v>47</v>
      </c>
      <c r="D2739" t="s">
        <v>55</v>
      </c>
      <c r="E2739" t="s">
        <v>56</v>
      </c>
      <c r="F2739" t="s">
        <v>30</v>
      </c>
      <c r="G2739" s="6">
        <v>2195.11</v>
      </c>
      <c r="H2739" s="7">
        <v>5.5E-2</v>
      </c>
      <c r="I2739" s="6">
        <v>120.73</v>
      </c>
      <c r="J2739" s="6">
        <v>2315.84</v>
      </c>
      <c r="K2739" t="s">
        <v>5529</v>
      </c>
      <c r="L2739" t="s">
        <v>5530</v>
      </c>
    </row>
    <row r="2740" spans="1:13" ht="15" customHeight="1" x14ac:dyDescent="0.25">
      <c r="A2740">
        <v>2739</v>
      </c>
      <c r="B2740" s="5">
        <v>45964</v>
      </c>
      <c r="C2740" t="s">
        <v>27</v>
      </c>
      <c r="D2740" t="s">
        <v>181</v>
      </c>
      <c r="E2740" t="s">
        <v>182</v>
      </c>
      <c r="F2740" t="s">
        <v>71</v>
      </c>
      <c r="G2740" s="6">
        <v>2426.7399999999998</v>
      </c>
      <c r="H2740" s="7">
        <v>0.2</v>
      </c>
      <c r="I2740" s="6">
        <v>485.35</v>
      </c>
      <c r="J2740" s="6">
        <v>2912.09</v>
      </c>
      <c r="K2740" t="s">
        <v>5531</v>
      </c>
      <c r="L2740" t="s">
        <v>5532</v>
      </c>
    </row>
    <row r="2741" spans="1:13" ht="15" customHeight="1" x14ac:dyDescent="0.25">
      <c r="A2741">
        <v>2740</v>
      </c>
      <c r="B2741" s="5">
        <v>45775</v>
      </c>
      <c r="C2741" t="s">
        <v>33</v>
      </c>
      <c r="D2741" t="s">
        <v>94</v>
      </c>
      <c r="E2741" t="s">
        <v>95</v>
      </c>
      <c r="F2741" t="s">
        <v>44</v>
      </c>
      <c r="G2741" s="6">
        <v>2789.62</v>
      </c>
      <c r="H2741" s="7">
        <v>0</v>
      </c>
      <c r="I2741" s="6">
        <v>0</v>
      </c>
      <c r="J2741" s="6">
        <v>2789.62</v>
      </c>
      <c r="K2741" t="s">
        <v>5533</v>
      </c>
      <c r="L2741" t="s">
        <v>5534</v>
      </c>
    </row>
    <row r="2742" spans="1:13" ht="15" customHeight="1" x14ac:dyDescent="0.25">
      <c r="A2742">
        <v>2741</v>
      </c>
      <c r="B2742" s="5">
        <v>45786</v>
      </c>
      <c r="C2742" t="s">
        <v>27</v>
      </c>
      <c r="D2742" t="s">
        <v>42</v>
      </c>
      <c r="E2742" t="s">
        <v>43</v>
      </c>
      <c r="F2742" t="s">
        <v>44</v>
      </c>
      <c r="G2742" s="6">
        <v>4036.82</v>
      </c>
      <c r="H2742" s="7">
        <v>0</v>
      </c>
      <c r="I2742" s="6">
        <v>0</v>
      </c>
      <c r="J2742" s="6">
        <v>4036.82</v>
      </c>
      <c r="K2742" t="s">
        <v>5535</v>
      </c>
      <c r="L2742" t="s">
        <v>5536</v>
      </c>
    </row>
    <row r="2743" spans="1:13" ht="15" customHeight="1" x14ac:dyDescent="0.25">
      <c r="A2743">
        <v>2742</v>
      </c>
      <c r="B2743" s="5">
        <v>45881</v>
      </c>
      <c r="C2743" t="s">
        <v>33</v>
      </c>
      <c r="D2743" t="s">
        <v>55</v>
      </c>
      <c r="E2743" t="s">
        <v>56</v>
      </c>
      <c r="F2743" t="s">
        <v>30</v>
      </c>
      <c r="G2743" s="6">
        <v>1311.03</v>
      </c>
      <c r="H2743" s="7">
        <v>5.5E-2</v>
      </c>
      <c r="I2743" s="6">
        <v>72.11</v>
      </c>
      <c r="J2743" s="6">
        <v>1383.14</v>
      </c>
      <c r="K2743" t="s">
        <v>5537</v>
      </c>
      <c r="L2743" t="s">
        <v>5538</v>
      </c>
    </row>
    <row r="2744" spans="1:13" ht="15" customHeight="1" x14ac:dyDescent="0.25">
      <c r="A2744">
        <v>2743</v>
      </c>
      <c r="B2744" s="5">
        <v>45924</v>
      </c>
      <c r="C2744" t="s">
        <v>47</v>
      </c>
      <c r="D2744" t="s">
        <v>55</v>
      </c>
      <c r="E2744" t="s">
        <v>56</v>
      </c>
      <c r="F2744" t="s">
        <v>87</v>
      </c>
      <c r="G2744" s="6">
        <v>375.16</v>
      </c>
      <c r="H2744" s="7">
        <v>5.5E-2</v>
      </c>
      <c r="I2744" s="6">
        <v>20.63</v>
      </c>
      <c r="J2744" s="6">
        <v>395.79</v>
      </c>
      <c r="K2744" t="s">
        <v>5539</v>
      </c>
      <c r="L2744" t="s">
        <v>5540</v>
      </c>
    </row>
    <row r="2745" spans="1:13" ht="15" customHeight="1" x14ac:dyDescent="0.25">
      <c r="A2745">
        <v>2744</v>
      </c>
      <c r="B2745" s="5">
        <v>45748</v>
      </c>
      <c r="C2745" t="s">
        <v>33</v>
      </c>
      <c r="D2745" t="s">
        <v>172</v>
      </c>
      <c r="E2745" t="s">
        <v>173</v>
      </c>
      <c r="F2745" t="s">
        <v>76</v>
      </c>
      <c r="G2745" s="6">
        <v>1354.03</v>
      </c>
      <c r="H2745" s="7">
        <v>0.2</v>
      </c>
      <c r="I2745" s="6">
        <v>270.81</v>
      </c>
      <c r="J2745" s="6">
        <v>1624.84</v>
      </c>
      <c r="K2745" t="s">
        <v>5541</v>
      </c>
      <c r="L2745" t="s">
        <v>5542</v>
      </c>
    </row>
    <row r="2746" spans="1:13" ht="15" customHeight="1" x14ac:dyDescent="0.25">
      <c r="A2746">
        <v>2745</v>
      </c>
      <c r="B2746" s="5">
        <v>45758</v>
      </c>
      <c r="C2746" t="s">
        <v>33</v>
      </c>
      <c r="D2746" t="s">
        <v>55</v>
      </c>
      <c r="E2746" t="s">
        <v>56</v>
      </c>
      <c r="F2746" t="s">
        <v>87</v>
      </c>
      <c r="G2746" s="6">
        <v>2743.64</v>
      </c>
      <c r="H2746" s="7">
        <v>5.5E-2</v>
      </c>
      <c r="I2746" s="6">
        <v>150.9</v>
      </c>
      <c r="J2746" s="6">
        <v>2894.54</v>
      </c>
      <c r="K2746" t="s">
        <v>5543</v>
      </c>
      <c r="L2746" t="s">
        <v>5544</v>
      </c>
    </row>
    <row r="2747" spans="1:13" ht="15" customHeight="1" x14ac:dyDescent="0.25">
      <c r="A2747">
        <v>2746</v>
      </c>
      <c r="B2747" s="5">
        <v>45749</v>
      </c>
      <c r="C2747" t="s">
        <v>33</v>
      </c>
      <c r="D2747" t="s">
        <v>55</v>
      </c>
      <c r="E2747" t="s">
        <v>56</v>
      </c>
      <c r="F2747" t="s">
        <v>76</v>
      </c>
      <c r="G2747" s="6">
        <v>2440.0700000000002</v>
      </c>
      <c r="H2747" s="7">
        <v>5.5E-2</v>
      </c>
      <c r="I2747" s="6">
        <v>134.19999999999999</v>
      </c>
      <c r="J2747" s="6">
        <v>2574.27</v>
      </c>
      <c r="K2747" t="s">
        <v>5545</v>
      </c>
      <c r="L2747" t="s">
        <v>5546</v>
      </c>
    </row>
    <row r="2748" spans="1:13" ht="15" customHeight="1" x14ac:dyDescent="0.25">
      <c r="A2748">
        <v>2747</v>
      </c>
      <c r="B2748" s="5">
        <v>45736</v>
      </c>
      <c r="C2748" t="s">
        <v>47</v>
      </c>
      <c r="D2748" t="s">
        <v>42</v>
      </c>
      <c r="E2748" t="s">
        <v>43</v>
      </c>
      <c r="F2748" t="s">
        <v>44</v>
      </c>
      <c r="G2748" s="6">
        <v>2248.34</v>
      </c>
      <c r="H2748" s="7">
        <v>0</v>
      </c>
      <c r="I2748" s="6">
        <v>0</v>
      </c>
      <c r="J2748" s="6">
        <v>2248.34</v>
      </c>
      <c r="K2748" t="s">
        <v>5547</v>
      </c>
      <c r="L2748" t="s">
        <v>5548</v>
      </c>
    </row>
    <row r="2749" spans="1:13" ht="15" customHeight="1" x14ac:dyDescent="0.25">
      <c r="A2749">
        <v>2748</v>
      </c>
      <c r="B2749" s="5">
        <v>45797</v>
      </c>
      <c r="C2749" t="s">
        <v>33</v>
      </c>
      <c r="D2749" t="s">
        <v>55</v>
      </c>
      <c r="E2749" t="s">
        <v>56</v>
      </c>
      <c r="F2749" t="s">
        <v>39</v>
      </c>
      <c r="G2749" s="6">
        <v>2348.5500000000002</v>
      </c>
      <c r="H2749" s="7">
        <v>5.5E-2</v>
      </c>
      <c r="I2749" s="6">
        <v>129.16999999999999</v>
      </c>
      <c r="J2749" s="6">
        <v>2477.7199999999998</v>
      </c>
      <c r="K2749" t="s">
        <v>5549</v>
      </c>
      <c r="L2749" t="s">
        <v>5550</v>
      </c>
    </row>
    <row r="2750" spans="1:13" ht="15" customHeight="1" x14ac:dyDescent="0.25">
      <c r="A2750">
        <v>2749</v>
      </c>
      <c r="B2750" s="5">
        <v>45859</v>
      </c>
      <c r="C2750" t="s">
        <v>27</v>
      </c>
      <c r="D2750" t="s">
        <v>100</v>
      </c>
      <c r="E2750" t="s">
        <v>101</v>
      </c>
      <c r="F2750" t="s">
        <v>44</v>
      </c>
      <c r="G2750" s="6">
        <v>1916.03</v>
      </c>
      <c r="H2750" s="7">
        <v>0</v>
      </c>
      <c r="I2750" s="6">
        <v>0</v>
      </c>
      <c r="J2750" s="6">
        <v>1916.03</v>
      </c>
      <c r="K2750" t="s">
        <v>5551</v>
      </c>
      <c r="L2750" t="s">
        <v>5552</v>
      </c>
    </row>
    <row r="2751" spans="1:13" ht="15" customHeight="1" x14ac:dyDescent="0.25">
      <c r="A2751">
        <v>2750</v>
      </c>
      <c r="B2751" s="5">
        <v>45850</v>
      </c>
      <c r="C2751" t="s">
        <v>33</v>
      </c>
      <c r="D2751" t="s">
        <v>55</v>
      </c>
      <c r="E2751" t="s">
        <v>56</v>
      </c>
      <c r="F2751" t="s">
        <v>174</v>
      </c>
      <c r="G2751" s="6">
        <v>2616.48</v>
      </c>
      <c r="H2751" s="7">
        <v>5.5E-2</v>
      </c>
      <c r="I2751" s="6">
        <v>143.91</v>
      </c>
      <c r="J2751" s="6">
        <v>2760.39</v>
      </c>
      <c r="K2751" t="s">
        <v>5553</v>
      </c>
      <c r="L2751" t="s">
        <v>5554</v>
      </c>
      <c r="M2751" t="s">
        <v>472</v>
      </c>
    </row>
    <row r="2752" spans="1:13" ht="15" customHeight="1" x14ac:dyDescent="0.25">
      <c r="A2752">
        <v>2751</v>
      </c>
      <c r="B2752" s="5">
        <v>46021</v>
      </c>
      <c r="C2752" t="s">
        <v>33</v>
      </c>
      <c r="D2752" t="s">
        <v>79</v>
      </c>
      <c r="E2752" t="s">
        <v>80</v>
      </c>
      <c r="F2752" t="s">
        <v>71</v>
      </c>
      <c r="G2752" s="6">
        <v>565.65</v>
      </c>
      <c r="H2752" s="7">
        <v>0.2</v>
      </c>
      <c r="I2752" s="6">
        <v>113.13</v>
      </c>
      <c r="J2752" s="6">
        <v>678.78</v>
      </c>
      <c r="K2752" t="s">
        <v>5555</v>
      </c>
      <c r="L2752" t="s">
        <v>5556</v>
      </c>
    </row>
    <row r="2753" spans="1:13" ht="15" customHeight="1" x14ac:dyDescent="0.25">
      <c r="A2753">
        <v>2752</v>
      </c>
      <c r="B2753" s="5">
        <v>45679</v>
      </c>
      <c r="C2753" t="s">
        <v>27</v>
      </c>
      <c r="D2753" t="s">
        <v>172</v>
      </c>
      <c r="E2753" t="s">
        <v>173</v>
      </c>
      <c r="F2753" t="s">
        <v>36</v>
      </c>
      <c r="G2753" s="6">
        <v>376.47</v>
      </c>
      <c r="H2753" s="7">
        <v>0.2</v>
      </c>
      <c r="I2753" s="6">
        <v>75.290000000000006</v>
      </c>
      <c r="J2753" s="6">
        <v>451.76</v>
      </c>
      <c r="K2753" t="s">
        <v>5557</v>
      </c>
      <c r="L2753" t="s">
        <v>5558</v>
      </c>
    </row>
    <row r="2754" spans="1:13" ht="15" customHeight="1" x14ac:dyDescent="0.25">
      <c r="A2754">
        <v>2753</v>
      </c>
      <c r="B2754" s="5">
        <v>45908</v>
      </c>
      <c r="C2754" t="s">
        <v>33</v>
      </c>
      <c r="D2754" t="s">
        <v>55</v>
      </c>
      <c r="E2754" t="s">
        <v>56</v>
      </c>
      <c r="F2754" t="s">
        <v>36</v>
      </c>
      <c r="G2754" s="6">
        <v>3074.66</v>
      </c>
      <c r="H2754" s="7">
        <v>5.5E-2</v>
      </c>
      <c r="I2754" s="6">
        <v>169.11</v>
      </c>
      <c r="J2754" s="6">
        <v>3243.77</v>
      </c>
      <c r="K2754" t="s">
        <v>5559</v>
      </c>
      <c r="L2754" t="s">
        <v>5560</v>
      </c>
    </row>
    <row r="2755" spans="1:13" ht="15" customHeight="1" x14ac:dyDescent="0.25">
      <c r="A2755">
        <v>2754</v>
      </c>
      <c r="B2755" s="5">
        <v>45926</v>
      </c>
      <c r="C2755" t="s">
        <v>27</v>
      </c>
      <c r="D2755" t="s">
        <v>42</v>
      </c>
      <c r="E2755" t="s">
        <v>43</v>
      </c>
      <c r="F2755" t="s">
        <v>44</v>
      </c>
      <c r="G2755" s="6">
        <v>3353.65</v>
      </c>
      <c r="H2755" s="7">
        <v>0</v>
      </c>
      <c r="I2755" s="6">
        <v>0</v>
      </c>
      <c r="J2755" s="6">
        <v>3353.65</v>
      </c>
      <c r="K2755" t="s">
        <v>5561</v>
      </c>
      <c r="L2755" t="s">
        <v>5562</v>
      </c>
    </row>
    <row r="2756" spans="1:13" ht="15" customHeight="1" x14ac:dyDescent="0.25">
      <c r="A2756">
        <v>2755</v>
      </c>
      <c r="B2756" s="5">
        <v>45953</v>
      </c>
      <c r="C2756" t="s">
        <v>47</v>
      </c>
      <c r="D2756" t="s">
        <v>42</v>
      </c>
      <c r="E2756" t="s">
        <v>43</v>
      </c>
      <c r="F2756" t="s">
        <v>44</v>
      </c>
      <c r="G2756" s="6">
        <v>3598.42</v>
      </c>
      <c r="H2756" s="7">
        <v>0</v>
      </c>
      <c r="I2756" s="6">
        <v>0</v>
      </c>
      <c r="J2756" s="6">
        <v>3598.42</v>
      </c>
      <c r="K2756" t="s">
        <v>5563</v>
      </c>
      <c r="L2756" t="s">
        <v>5564</v>
      </c>
    </row>
    <row r="2757" spans="1:13" ht="15" customHeight="1" x14ac:dyDescent="0.25">
      <c r="A2757">
        <v>2756</v>
      </c>
      <c r="B2757" s="5">
        <v>45866</v>
      </c>
      <c r="C2757" t="s">
        <v>47</v>
      </c>
      <c r="D2757" t="s">
        <v>172</v>
      </c>
      <c r="E2757" t="s">
        <v>173</v>
      </c>
      <c r="F2757" t="s">
        <v>76</v>
      </c>
      <c r="G2757" s="6">
        <v>817.68</v>
      </c>
      <c r="H2757" s="7">
        <v>0.2</v>
      </c>
      <c r="I2757" s="6">
        <v>163.54</v>
      </c>
      <c r="J2757" s="6">
        <v>981.22</v>
      </c>
      <c r="K2757" t="s">
        <v>5565</v>
      </c>
      <c r="L2757" t="s">
        <v>5566</v>
      </c>
    </row>
    <row r="2758" spans="1:13" ht="15" customHeight="1" x14ac:dyDescent="0.25">
      <c r="A2758">
        <v>2757</v>
      </c>
      <c r="B2758" s="5">
        <v>45965</v>
      </c>
      <c r="C2758" t="s">
        <v>33</v>
      </c>
      <c r="D2758" t="s">
        <v>28</v>
      </c>
      <c r="E2758" t="s">
        <v>29</v>
      </c>
      <c r="F2758" t="s">
        <v>174</v>
      </c>
      <c r="G2758" s="6">
        <v>4476.6400000000003</v>
      </c>
      <c r="H2758" s="7">
        <v>2.1000000000000001E-2</v>
      </c>
      <c r="I2758" s="6">
        <v>94.01</v>
      </c>
      <c r="J2758" s="6">
        <v>4570.6499999999996</v>
      </c>
      <c r="K2758" t="s">
        <v>5567</v>
      </c>
      <c r="L2758" t="s">
        <v>5568</v>
      </c>
    </row>
    <row r="2759" spans="1:13" ht="15" customHeight="1" x14ac:dyDescent="0.25">
      <c r="A2759">
        <v>2758</v>
      </c>
      <c r="B2759" s="5">
        <v>45853</v>
      </c>
      <c r="C2759" t="s">
        <v>27</v>
      </c>
      <c r="D2759" t="s">
        <v>100</v>
      </c>
      <c r="E2759" t="s">
        <v>101</v>
      </c>
      <c r="F2759" t="s">
        <v>44</v>
      </c>
      <c r="G2759" s="6">
        <v>2696.7</v>
      </c>
      <c r="H2759" s="7">
        <v>0</v>
      </c>
      <c r="I2759" s="6">
        <v>0</v>
      </c>
      <c r="J2759" s="6">
        <v>2696.7</v>
      </c>
      <c r="K2759" t="s">
        <v>5569</v>
      </c>
      <c r="L2759" t="s">
        <v>5570</v>
      </c>
    </row>
    <row r="2760" spans="1:13" ht="15" customHeight="1" x14ac:dyDescent="0.25">
      <c r="A2760">
        <v>2759</v>
      </c>
      <c r="B2760" s="5">
        <v>45666</v>
      </c>
      <c r="C2760" t="s">
        <v>47</v>
      </c>
      <c r="D2760" t="s">
        <v>28</v>
      </c>
      <c r="E2760" t="s">
        <v>29</v>
      </c>
      <c r="F2760" t="s">
        <v>120</v>
      </c>
      <c r="G2760" s="6">
        <v>1032.82</v>
      </c>
      <c r="H2760" s="7">
        <v>2.1000000000000001E-2</v>
      </c>
      <c r="I2760" s="6">
        <v>21.69</v>
      </c>
      <c r="J2760" s="6">
        <v>1054.51</v>
      </c>
      <c r="K2760" t="s">
        <v>5571</v>
      </c>
      <c r="L2760" t="s">
        <v>5572</v>
      </c>
    </row>
    <row r="2761" spans="1:13" ht="15" customHeight="1" x14ac:dyDescent="0.25">
      <c r="A2761">
        <v>2760</v>
      </c>
      <c r="B2761" s="5">
        <v>45960</v>
      </c>
      <c r="C2761" t="s">
        <v>33</v>
      </c>
      <c r="D2761" t="s">
        <v>79</v>
      </c>
      <c r="E2761" t="s">
        <v>80</v>
      </c>
      <c r="F2761" t="s">
        <v>81</v>
      </c>
      <c r="G2761" s="6">
        <v>3574.12</v>
      </c>
      <c r="H2761" s="7">
        <v>0.2</v>
      </c>
      <c r="I2761" s="6">
        <v>714.82</v>
      </c>
      <c r="J2761" s="6">
        <v>4288.9399999999996</v>
      </c>
      <c r="K2761" t="s">
        <v>5573</v>
      </c>
      <c r="L2761" t="s">
        <v>5574</v>
      </c>
    </row>
    <row r="2762" spans="1:13" ht="15" customHeight="1" x14ac:dyDescent="0.25">
      <c r="A2762">
        <v>2761</v>
      </c>
      <c r="B2762" s="5">
        <v>45860</v>
      </c>
      <c r="C2762" t="s">
        <v>27</v>
      </c>
      <c r="D2762" t="s">
        <v>42</v>
      </c>
      <c r="E2762" t="s">
        <v>43</v>
      </c>
      <c r="F2762" t="s">
        <v>44</v>
      </c>
      <c r="G2762" s="6">
        <v>1839.31</v>
      </c>
      <c r="H2762" s="7">
        <v>0</v>
      </c>
      <c r="I2762" s="6">
        <v>0</v>
      </c>
      <c r="J2762" s="6">
        <v>1839.31</v>
      </c>
      <c r="K2762" t="s">
        <v>5575</v>
      </c>
      <c r="L2762" t="s">
        <v>5576</v>
      </c>
    </row>
    <row r="2763" spans="1:13" ht="15" customHeight="1" x14ac:dyDescent="0.25">
      <c r="A2763">
        <v>2762</v>
      </c>
      <c r="B2763" s="5">
        <v>45862</v>
      </c>
      <c r="C2763" t="s">
        <v>47</v>
      </c>
      <c r="D2763" t="s">
        <v>55</v>
      </c>
      <c r="E2763" t="s">
        <v>56</v>
      </c>
      <c r="F2763" t="s">
        <v>76</v>
      </c>
      <c r="G2763" s="6">
        <v>22478.41</v>
      </c>
      <c r="H2763" s="7">
        <v>5.5E-2</v>
      </c>
      <c r="I2763" s="6">
        <v>1236.31</v>
      </c>
      <c r="J2763" s="6">
        <v>23714.720000000001</v>
      </c>
      <c r="K2763" t="s">
        <v>5577</v>
      </c>
      <c r="L2763" t="s">
        <v>5578</v>
      </c>
      <c r="M2763" t="s">
        <v>580</v>
      </c>
    </row>
    <row r="2764" spans="1:13" ht="15" customHeight="1" x14ac:dyDescent="0.25">
      <c r="A2764">
        <v>2763</v>
      </c>
      <c r="B2764" s="5">
        <v>45870</v>
      </c>
      <c r="C2764" t="s">
        <v>33</v>
      </c>
      <c r="D2764" t="s">
        <v>115</v>
      </c>
      <c r="E2764" t="s">
        <v>116</v>
      </c>
      <c r="F2764" t="s">
        <v>71</v>
      </c>
      <c r="G2764" s="6">
        <v>4321.51</v>
      </c>
      <c r="H2764" s="7">
        <v>0.2</v>
      </c>
      <c r="I2764" s="6">
        <v>864.3</v>
      </c>
      <c r="J2764" s="6">
        <v>5185.8100000000004</v>
      </c>
      <c r="K2764" t="s">
        <v>5579</v>
      </c>
      <c r="L2764" t="s">
        <v>5580</v>
      </c>
      <c r="M2764" t="s">
        <v>119</v>
      </c>
    </row>
    <row r="2765" spans="1:13" ht="15" customHeight="1" x14ac:dyDescent="0.25">
      <c r="A2765">
        <v>2764</v>
      </c>
      <c r="B2765" s="5">
        <v>45849</v>
      </c>
      <c r="C2765" t="s">
        <v>27</v>
      </c>
      <c r="D2765" t="s">
        <v>100</v>
      </c>
      <c r="E2765" t="s">
        <v>101</v>
      </c>
      <c r="F2765" t="s">
        <v>44</v>
      </c>
      <c r="G2765" s="6">
        <v>2916.21</v>
      </c>
      <c r="H2765" s="7">
        <v>0</v>
      </c>
      <c r="I2765" s="6">
        <v>0</v>
      </c>
      <c r="J2765" s="6">
        <v>2916.21</v>
      </c>
      <c r="K2765" t="s">
        <v>5581</v>
      </c>
      <c r="L2765" t="s">
        <v>5582</v>
      </c>
    </row>
    <row r="2766" spans="1:13" ht="15" customHeight="1" x14ac:dyDescent="0.25">
      <c r="A2766">
        <v>2765</v>
      </c>
      <c r="B2766" s="5">
        <v>45964</v>
      </c>
      <c r="C2766" t="s">
        <v>27</v>
      </c>
      <c r="D2766" t="s">
        <v>100</v>
      </c>
      <c r="E2766" t="s">
        <v>101</v>
      </c>
      <c r="F2766" t="s">
        <v>44</v>
      </c>
      <c r="G2766" s="6">
        <v>3770.63</v>
      </c>
      <c r="H2766" s="7">
        <v>0</v>
      </c>
      <c r="I2766" s="6">
        <v>0</v>
      </c>
      <c r="J2766" s="6">
        <v>3770.63</v>
      </c>
      <c r="K2766" t="s">
        <v>5583</v>
      </c>
      <c r="L2766" t="s">
        <v>5584</v>
      </c>
    </row>
    <row r="2767" spans="1:13" ht="15" customHeight="1" x14ac:dyDescent="0.25">
      <c r="A2767">
        <v>2766</v>
      </c>
      <c r="B2767" s="5">
        <v>45903</v>
      </c>
      <c r="C2767" t="s">
        <v>47</v>
      </c>
      <c r="D2767" t="s">
        <v>28</v>
      </c>
      <c r="E2767" t="s">
        <v>29</v>
      </c>
      <c r="F2767" t="s">
        <v>50</v>
      </c>
      <c r="G2767" s="6">
        <v>379.48</v>
      </c>
      <c r="H2767" s="7">
        <v>2.1000000000000001E-2</v>
      </c>
      <c r="I2767" s="6">
        <v>7.97</v>
      </c>
      <c r="J2767" s="6">
        <v>387.45</v>
      </c>
      <c r="K2767" t="s">
        <v>5585</v>
      </c>
      <c r="L2767" t="s">
        <v>5586</v>
      </c>
    </row>
    <row r="2768" spans="1:13" ht="15" customHeight="1" x14ac:dyDescent="0.25">
      <c r="A2768">
        <v>2767</v>
      </c>
      <c r="B2768" s="5">
        <v>45742</v>
      </c>
      <c r="C2768" t="s">
        <v>47</v>
      </c>
      <c r="D2768" t="s">
        <v>100</v>
      </c>
      <c r="E2768" t="s">
        <v>101</v>
      </c>
      <c r="F2768" t="s">
        <v>44</v>
      </c>
      <c r="G2768" s="6">
        <v>2043.13</v>
      </c>
      <c r="H2768" s="7">
        <v>0</v>
      </c>
      <c r="I2768" s="6">
        <v>0</v>
      </c>
      <c r="J2768" s="6">
        <v>2043.13</v>
      </c>
      <c r="K2768" t="s">
        <v>5587</v>
      </c>
      <c r="L2768" t="s">
        <v>5588</v>
      </c>
    </row>
    <row r="2769" spans="1:12" ht="15" customHeight="1" x14ac:dyDescent="0.25">
      <c r="A2769">
        <v>2768</v>
      </c>
      <c r="B2769" s="5">
        <v>45688</v>
      </c>
      <c r="C2769" t="s">
        <v>27</v>
      </c>
      <c r="D2769" t="s">
        <v>172</v>
      </c>
      <c r="E2769" t="s">
        <v>173</v>
      </c>
      <c r="F2769" t="s">
        <v>71</v>
      </c>
      <c r="G2769" s="6">
        <v>189.1</v>
      </c>
      <c r="H2769" s="7">
        <v>0.2</v>
      </c>
      <c r="I2769" s="6">
        <v>37.82</v>
      </c>
      <c r="J2769" s="6">
        <v>226.92</v>
      </c>
      <c r="K2769" t="s">
        <v>5589</v>
      </c>
      <c r="L2769" t="s">
        <v>5590</v>
      </c>
    </row>
    <row r="2770" spans="1:12" ht="15" customHeight="1" x14ac:dyDescent="0.25">
      <c r="A2770">
        <v>2769</v>
      </c>
      <c r="B2770" s="5">
        <v>45887</v>
      </c>
      <c r="C2770" t="s">
        <v>27</v>
      </c>
      <c r="D2770" t="s">
        <v>63</v>
      </c>
      <c r="E2770" t="s">
        <v>64</v>
      </c>
      <c r="F2770" t="s">
        <v>84</v>
      </c>
      <c r="G2770" s="6">
        <v>1863.08</v>
      </c>
      <c r="H2770" s="7">
        <v>0.2</v>
      </c>
      <c r="I2770" s="6">
        <v>372.62</v>
      </c>
      <c r="J2770" s="6">
        <v>2235.6999999999998</v>
      </c>
      <c r="K2770" t="s">
        <v>5591</v>
      </c>
      <c r="L2770" t="s">
        <v>5592</v>
      </c>
    </row>
    <row r="2771" spans="1:12" ht="15" customHeight="1" x14ac:dyDescent="0.25">
      <c r="A2771">
        <v>2770</v>
      </c>
      <c r="B2771" s="5">
        <v>45803</v>
      </c>
      <c r="C2771" t="s">
        <v>47</v>
      </c>
      <c r="D2771" t="s">
        <v>181</v>
      </c>
      <c r="E2771" t="s">
        <v>182</v>
      </c>
      <c r="F2771" t="s">
        <v>106</v>
      </c>
      <c r="G2771" s="6">
        <v>1706.42</v>
      </c>
      <c r="H2771" s="7">
        <v>0.2</v>
      </c>
      <c r="I2771" s="6">
        <v>341.28</v>
      </c>
      <c r="J2771" s="6">
        <v>2047.7</v>
      </c>
      <c r="K2771" t="s">
        <v>5593</v>
      </c>
      <c r="L2771" t="s">
        <v>5594</v>
      </c>
    </row>
    <row r="2772" spans="1:12" ht="15" customHeight="1" x14ac:dyDescent="0.25">
      <c r="A2772">
        <v>2771</v>
      </c>
      <c r="B2772" s="5">
        <v>45999</v>
      </c>
      <c r="C2772" t="s">
        <v>33</v>
      </c>
      <c r="D2772" t="s">
        <v>100</v>
      </c>
      <c r="E2772" t="s">
        <v>101</v>
      </c>
      <c r="F2772" t="s">
        <v>44</v>
      </c>
      <c r="G2772" s="6">
        <v>3548.79</v>
      </c>
      <c r="H2772" s="7">
        <v>0</v>
      </c>
      <c r="I2772" s="6">
        <v>0</v>
      </c>
      <c r="J2772" s="6">
        <v>3548.79</v>
      </c>
      <c r="K2772" t="s">
        <v>5595</v>
      </c>
      <c r="L2772" t="s">
        <v>5596</v>
      </c>
    </row>
    <row r="2773" spans="1:12" ht="15" customHeight="1" x14ac:dyDescent="0.25">
      <c r="A2773">
        <v>2772</v>
      </c>
      <c r="B2773" s="5">
        <v>45736</v>
      </c>
      <c r="C2773" t="s">
        <v>27</v>
      </c>
      <c r="D2773" t="s">
        <v>28</v>
      </c>
      <c r="E2773" t="s">
        <v>29</v>
      </c>
      <c r="F2773" t="s">
        <v>36</v>
      </c>
      <c r="G2773" s="6">
        <v>4203.63</v>
      </c>
      <c r="H2773" s="7">
        <v>2.1000000000000001E-2</v>
      </c>
      <c r="I2773" s="6">
        <v>88.28</v>
      </c>
      <c r="J2773" s="6">
        <v>4291.91</v>
      </c>
      <c r="K2773" t="s">
        <v>5597</v>
      </c>
      <c r="L2773" t="s">
        <v>5598</v>
      </c>
    </row>
    <row r="2774" spans="1:12" ht="15" customHeight="1" x14ac:dyDescent="0.25">
      <c r="A2774">
        <v>2773</v>
      </c>
      <c r="B2774" s="5">
        <v>45730</v>
      </c>
      <c r="C2774" t="s">
        <v>27</v>
      </c>
      <c r="D2774" t="s">
        <v>42</v>
      </c>
      <c r="E2774" t="s">
        <v>43</v>
      </c>
      <c r="F2774" t="s">
        <v>44</v>
      </c>
      <c r="G2774" s="6">
        <v>2271.1999999999998</v>
      </c>
      <c r="H2774" s="7">
        <v>0</v>
      </c>
      <c r="I2774" s="6">
        <v>0</v>
      </c>
      <c r="J2774" s="6">
        <v>2271.1999999999998</v>
      </c>
      <c r="K2774" t="s">
        <v>5599</v>
      </c>
      <c r="L2774" t="s">
        <v>5600</v>
      </c>
    </row>
    <row r="2775" spans="1:12" ht="15" customHeight="1" x14ac:dyDescent="0.25">
      <c r="A2775">
        <v>2774</v>
      </c>
      <c r="B2775" s="5">
        <v>45770</v>
      </c>
      <c r="C2775" t="s">
        <v>47</v>
      </c>
      <c r="D2775" t="s">
        <v>55</v>
      </c>
      <c r="E2775" t="s">
        <v>56</v>
      </c>
      <c r="F2775" t="s">
        <v>174</v>
      </c>
      <c r="G2775" s="6">
        <v>265.16000000000003</v>
      </c>
      <c r="H2775" s="7">
        <v>5.5E-2</v>
      </c>
      <c r="I2775" s="6">
        <v>14.58</v>
      </c>
      <c r="J2775" s="6">
        <v>279.74</v>
      </c>
      <c r="K2775" t="s">
        <v>5601</v>
      </c>
      <c r="L2775" t="s">
        <v>5602</v>
      </c>
    </row>
    <row r="2776" spans="1:12" ht="15" customHeight="1" x14ac:dyDescent="0.25">
      <c r="A2776">
        <v>2775</v>
      </c>
      <c r="B2776" s="5">
        <v>45757</v>
      </c>
      <c r="C2776" t="s">
        <v>33</v>
      </c>
      <c r="D2776" t="s">
        <v>28</v>
      </c>
      <c r="E2776" t="s">
        <v>29</v>
      </c>
      <c r="F2776" t="s">
        <v>30</v>
      </c>
      <c r="G2776" s="6">
        <v>1925.74</v>
      </c>
      <c r="H2776" s="7">
        <v>2.1000000000000001E-2</v>
      </c>
      <c r="I2776" s="6">
        <v>40.44</v>
      </c>
      <c r="J2776" s="6">
        <v>1966.18</v>
      </c>
      <c r="K2776" t="s">
        <v>5603</v>
      </c>
      <c r="L2776" t="s">
        <v>5604</v>
      </c>
    </row>
    <row r="2777" spans="1:12" ht="15" customHeight="1" x14ac:dyDescent="0.25">
      <c r="A2777">
        <v>2776</v>
      </c>
      <c r="B2777" s="5">
        <v>45765</v>
      </c>
      <c r="C2777" t="s">
        <v>27</v>
      </c>
      <c r="D2777" t="s">
        <v>172</v>
      </c>
      <c r="E2777" t="s">
        <v>173</v>
      </c>
      <c r="F2777" t="s">
        <v>87</v>
      </c>
      <c r="G2777" s="6">
        <v>82.51</v>
      </c>
      <c r="H2777" s="7">
        <v>0.2</v>
      </c>
      <c r="I2777" s="6">
        <v>16.5</v>
      </c>
      <c r="J2777" s="6">
        <v>99.01</v>
      </c>
      <c r="K2777" t="s">
        <v>5605</v>
      </c>
      <c r="L2777" t="s">
        <v>5606</v>
      </c>
    </row>
    <row r="2778" spans="1:12" ht="15" customHeight="1" x14ac:dyDescent="0.25">
      <c r="A2778">
        <v>2777</v>
      </c>
      <c r="B2778" s="5">
        <v>45905</v>
      </c>
      <c r="C2778" t="s">
        <v>33</v>
      </c>
      <c r="D2778" t="s">
        <v>55</v>
      </c>
      <c r="E2778" t="s">
        <v>56</v>
      </c>
      <c r="F2778" t="s">
        <v>71</v>
      </c>
      <c r="G2778" s="6">
        <v>3558.59</v>
      </c>
      <c r="H2778" s="7">
        <v>5.5E-2</v>
      </c>
      <c r="I2778" s="6">
        <v>195.72</v>
      </c>
      <c r="J2778" s="6">
        <v>3754.31</v>
      </c>
      <c r="K2778" t="s">
        <v>5607</v>
      </c>
      <c r="L2778" t="s">
        <v>5608</v>
      </c>
    </row>
    <row r="2779" spans="1:12" ht="15" customHeight="1" x14ac:dyDescent="0.25">
      <c r="A2779">
        <v>2778</v>
      </c>
      <c r="B2779" s="5">
        <v>45910</v>
      </c>
      <c r="C2779" t="s">
        <v>33</v>
      </c>
      <c r="D2779" t="s">
        <v>100</v>
      </c>
      <c r="E2779" t="s">
        <v>101</v>
      </c>
      <c r="F2779" t="s">
        <v>44</v>
      </c>
      <c r="G2779" s="6">
        <v>3406.6</v>
      </c>
      <c r="H2779" s="7">
        <v>0</v>
      </c>
      <c r="I2779" s="6">
        <v>0</v>
      </c>
      <c r="J2779" s="6">
        <v>3406.6</v>
      </c>
      <c r="K2779" t="s">
        <v>5609</v>
      </c>
      <c r="L2779" t="s">
        <v>5610</v>
      </c>
    </row>
    <row r="2780" spans="1:12" ht="15" customHeight="1" x14ac:dyDescent="0.25">
      <c r="A2780">
        <v>2779</v>
      </c>
      <c r="B2780" s="5">
        <v>45848</v>
      </c>
      <c r="C2780" t="s">
        <v>47</v>
      </c>
      <c r="D2780" t="s">
        <v>181</v>
      </c>
      <c r="E2780" t="s">
        <v>182</v>
      </c>
      <c r="F2780" t="s">
        <v>174</v>
      </c>
      <c r="G2780" s="6">
        <v>3839.62</v>
      </c>
      <c r="H2780" s="7">
        <v>0.2</v>
      </c>
      <c r="I2780" s="6">
        <v>767.92</v>
      </c>
      <c r="J2780" s="6">
        <v>4607.54</v>
      </c>
      <c r="K2780" t="s">
        <v>5611</v>
      </c>
      <c r="L2780" t="s">
        <v>5612</v>
      </c>
    </row>
    <row r="2781" spans="1:12" ht="15" customHeight="1" x14ac:dyDescent="0.25">
      <c r="A2781">
        <v>2780</v>
      </c>
      <c r="B2781" s="5">
        <v>45827</v>
      </c>
      <c r="C2781" t="s">
        <v>27</v>
      </c>
      <c r="D2781" t="s">
        <v>172</v>
      </c>
      <c r="E2781" t="s">
        <v>173</v>
      </c>
      <c r="F2781" t="s">
        <v>50</v>
      </c>
      <c r="G2781" s="6">
        <v>2871.34</v>
      </c>
      <c r="H2781" s="7">
        <v>0.2</v>
      </c>
      <c r="I2781" s="6">
        <v>574.27</v>
      </c>
      <c r="J2781" s="6">
        <v>3445.61</v>
      </c>
      <c r="K2781" t="s">
        <v>5613</v>
      </c>
      <c r="L2781" t="s">
        <v>5614</v>
      </c>
    </row>
    <row r="2782" spans="1:12" ht="15" customHeight="1" x14ac:dyDescent="0.25">
      <c r="A2782">
        <v>2781</v>
      </c>
      <c r="B2782" s="5">
        <v>45959</v>
      </c>
      <c r="C2782" t="s">
        <v>33</v>
      </c>
      <c r="D2782" t="s">
        <v>34</v>
      </c>
      <c r="E2782" t="s">
        <v>35</v>
      </c>
      <c r="F2782" t="s">
        <v>174</v>
      </c>
      <c r="G2782" s="6">
        <v>2378.61</v>
      </c>
      <c r="H2782" s="7">
        <v>0.2</v>
      </c>
      <c r="I2782" s="6">
        <v>475.72</v>
      </c>
      <c r="J2782" s="6">
        <v>2854.33</v>
      </c>
      <c r="K2782" t="s">
        <v>5615</v>
      </c>
      <c r="L2782" t="s">
        <v>5616</v>
      </c>
    </row>
    <row r="2783" spans="1:12" ht="15" customHeight="1" x14ac:dyDescent="0.25">
      <c r="A2783">
        <v>2782</v>
      </c>
      <c r="B2783" s="5">
        <v>45783</v>
      </c>
      <c r="C2783" t="s">
        <v>27</v>
      </c>
      <c r="D2783" t="s">
        <v>42</v>
      </c>
      <c r="E2783" t="s">
        <v>43</v>
      </c>
      <c r="F2783" t="s">
        <v>44</v>
      </c>
      <c r="G2783" s="6">
        <v>1853.34</v>
      </c>
      <c r="H2783" s="7">
        <v>0</v>
      </c>
      <c r="I2783" s="6">
        <v>0</v>
      </c>
      <c r="J2783" s="6">
        <v>1853.34</v>
      </c>
      <c r="K2783" t="s">
        <v>5617</v>
      </c>
      <c r="L2783" t="s">
        <v>5618</v>
      </c>
    </row>
    <row r="2784" spans="1:12" ht="15" customHeight="1" x14ac:dyDescent="0.25">
      <c r="A2784">
        <v>2783</v>
      </c>
      <c r="B2784" s="5">
        <v>45918</v>
      </c>
      <c r="C2784" t="s">
        <v>47</v>
      </c>
      <c r="D2784" t="s">
        <v>55</v>
      </c>
      <c r="E2784" t="s">
        <v>56</v>
      </c>
      <c r="F2784" t="s">
        <v>81</v>
      </c>
      <c r="G2784" s="6">
        <v>1408.51</v>
      </c>
      <c r="H2784" s="7">
        <v>5.5E-2</v>
      </c>
      <c r="I2784" s="6">
        <v>77.47</v>
      </c>
      <c r="J2784" s="6">
        <v>1485.98</v>
      </c>
      <c r="K2784" t="s">
        <v>5619</v>
      </c>
      <c r="L2784" t="s">
        <v>5620</v>
      </c>
    </row>
    <row r="2785" spans="1:12" ht="15" customHeight="1" x14ac:dyDescent="0.25">
      <c r="A2785">
        <v>2784</v>
      </c>
      <c r="B2785" s="5">
        <v>45811</v>
      </c>
      <c r="C2785" t="s">
        <v>33</v>
      </c>
      <c r="D2785" t="s">
        <v>100</v>
      </c>
      <c r="E2785" t="s">
        <v>101</v>
      </c>
      <c r="F2785" t="s">
        <v>44</v>
      </c>
      <c r="G2785" s="6">
        <v>2418.34</v>
      </c>
      <c r="H2785" s="7">
        <v>0</v>
      </c>
      <c r="I2785" s="6">
        <v>0</v>
      </c>
      <c r="J2785" s="6">
        <v>2418.34</v>
      </c>
      <c r="K2785" t="s">
        <v>5621</v>
      </c>
      <c r="L2785" t="s">
        <v>3924</v>
      </c>
    </row>
    <row r="2786" spans="1:12" ht="15" customHeight="1" x14ac:dyDescent="0.25">
      <c r="A2786">
        <v>2785</v>
      </c>
      <c r="B2786" s="5">
        <v>45770</v>
      </c>
      <c r="C2786" t="s">
        <v>33</v>
      </c>
      <c r="D2786" t="s">
        <v>172</v>
      </c>
      <c r="E2786" t="s">
        <v>173</v>
      </c>
      <c r="F2786" t="s">
        <v>71</v>
      </c>
      <c r="G2786" s="6">
        <v>3972.9</v>
      </c>
      <c r="H2786" s="7">
        <v>0.2</v>
      </c>
      <c r="I2786" s="6">
        <v>794.58</v>
      </c>
      <c r="J2786" s="6">
        <v>4767.4799999999996</v>
      </c>
      <c r="K2786" t="s">
        <v>5622</v>
      </c>
      <c r="L2786" t="s">
        <v>5623</v>
      </c>
    </row>
    <row r="2787" spans="1:12" ht="15" customHeight="1" x14ac:dyDescent="0.25">
      <c r="A2787">
        <v>2786</v>
      </c>
      <c r="B2787" s="5">
        <v>46015</v>
      </c>
      <c r="C2787" t="s">
        <v>33</v>
      </c>
      <c r="D2787" t="s">
        <v>100</v>
      </c>
      <c r="E2787" t="s">
        <v>101</v>
      </c>
      <c r="F2787" t="s">
        <v>44</v>
      </c>
      <c r="G2787" s="6">
        <v>2671.18</v>
      </c>
      <c r="H2787" s="7">
        <v>0</v>
      </c>
      <c r="I2787" s="6">
        <v>0</v>
      </c>
      <c r="J2787" s="6">
        <v>2671.18</v>
      </c>
      <c r="K2787" t="s">
        <v>5624</v>
      </c>
      <c r="L2787" t="s">
        <v>5625</v>
      </c>
    </row>
    <row r="2788" spans="1:12" ht="15" customHeight="1" x14ac:dyDescent="0.25">
      <c r="A2788">
        <v>2787</v>
      </c>
      <c r="B2788" s="5">
        <v>45827</v>
      </c>
      <c r="C2788" t="s">
        <v>47</v>
      </c>
      <c r="D2788" t="s">
        <v>63</v>
      </c>
      <c r="E2788" t="s">
        <v>64</v>
      </c>
      <c r="F2788" t="s">
        <v>71</v>
      </c>
      <c r="G2788" s="6">
        <v>1401.95</v>
      </c>
      <c r="H2788" s="7">
        <v>0.2</v>
      </c>
      <c r="I2788" s="6">
        <v>280.39</v>
      </c>
      <c r="J2788" s="6">
        <v>1682.34</v>
      </c>
      <c r="K2788" t="s">
        <v>5626</v>
      </c>
      <c r="L2788" t="s">
        <v>5627</v>
      </c>
    </row>
    <row r="2789" spans="1:12" ht="15" customHeight="1" x14ac:dyDescent="0.25">
      <c r="A2789">
        <v>2788</v>
      </c>
      <c r="B2789" s="5">
        <v>45691</v>
      </c>
      <c r="C2789" t="s">
        <v>27</v>
      </c>
      <c r="D2789" t="s">
        <v>79</v>
      </c>
      <c r="E2789" t="s">
        <v>80</v>
      </c>
      <c r="F2789" t="s">
        <v>39</v>
      </c>
      <c r="G2789" s="6">
        <v>3505.35</v>
      </c>
      <c r="H2789" s="7">
        <v>0.2</v>
      </c>
      <c r="I2789" s="6">
        <v>701.07</v>
      </c>
      <c r="J2789" s="6">
        <v>4206.42</v>
      </c>
      <c r="K2789" t="s">
        <v>5628</v>
      </c>
      <c r="L2789" t="s">
        <v>5629</v>
      </c>
    </row>
    <row r="2790" spans="1:12" ht="15" customHeight="1" x14ac:dyDescent="0.25">
      <c r="A2790">
        <v>2789</v>
      </c>
      <c r="B2790" s="5">
        <v>45736</v>
      </c>
      <c r="C2790" t="s">
        <v>47</v>
      </c>
      <c r="D2790" t="s">
        <v>42</v>
      </c>
      <c r="E2790" t="s">
        <v>43</v>
      </c>
      <c r="F2790" t="s">
        <v>44</v>
      </c>
      <c r="G2790" s="6">
        <v>4148.0600000000004</v>
      </c>
      <c r="H2790" s="7">
        <v>0</v>
      </c>
      <c r="I2790" s="6">
        <v>0</v>
      </c>
      <c r="J2790" s="6">
        <v>4148.0600000000004</v>
      </c>
      <c r="K2790" t="s">
        <v>5630</v>
      </c>
      <c r="L2790" t="s">
        <v>5631</v>
      </c>
    </row>
    <row r="2791" spans="1:12" ht="15" customHeight="1" x14ac:dyDescent="0.25">
      <c r="A2791">
        <v>2790</v>
      </c>
      <c r="B2791" s="5">
        <v>45778</v>
      </c>
      <c r="C2791" t="s">
        <v>47</v>
      </c>
      <c r="D2791" t="s">
        <v>28</v>
      </c>
      <c r="E2791" t="s">
        <v>29</v>
      </c>
      <c r="F2791" t="s">
        <v>76</v>
      </c>
      <c r="G2791" s="6">
        <v>2230.42</v>
      </c>
      <c r="H2791" s="7">
        <v>2.1000000000000001E-2</v>
      </c>
      <c r="I2791" s="6">
        <v>46.84</v>
      </c>
      <c r="J2791" s="6">
        <v>2277.2600000000002</v>
      </c>
      <c r="K2791" t="s">
        <v>5632</v>
      </c>
      <c r="L2791" t="s">
        <v>5633</v>
      </c>
    </row>
    <row r="2792" spans="1:12" ht="15" customHeight="1" x14ac:dyDescent="0.25">
      <c r="A2792">
        <v>2791</v>
      </c>
      <c r="B2792" s="5">
        <v>45778</v>
      </c>
      <c r="C2792" t="s">
        <v>27</v>
      </c>
      <c r="D2792" t="s">
        <v>28</v>
      </c>
      <c r="E2792" t="s">
        <v>29</v>
      </c>
      <c r="F2792" t="s">
        <v>84</v>
      </c>
      <c r="G2792" s="6">
        <v>1346.19</v>
      </c>
      <c r="H2792" s="7">
        <v>2.1000000000000001E-2</v>
      </c>
      <c r="I2792" s="6">
        <v>28.27</v>
      </c>
      <c r="J2792" s="6">
        <v>1374.46</v>
      </c>
      <c r="K2792" t="s">
        <v>5634</v>
      </c>
      <c r="L2792" t="s">
        <v>5635</v>
      </c>
    </row>
    <row r="2793" spans="1:12" ht="15" customHeight="1" x14ac:dyDescent="0.25">
      <c r="A2793">
        <v>2792</v>
      </c>
      <c r="B2793" s="5">
        <v>45964</v>
      </c>
      <c r="C2793" t="s">
        <v>33</v>
      </c>
      <c r="D2793" t="s">
        <v>55</v>
      </c>
      <c r="E2793" t="s">
        <v>56</v>
      </c>
      <c r="F2793" t="s">
        <v>36</v>
      </c>
      <c r="G2793" s="6">
        <v>1525.97</v>
      </c>
      <c r="H2793" s="7">
        <v>5.5E-2</v>
      </c>
      <c r="I2793" s="6">
        <v>83.93</v>
      </c>
      <c r="J2793" s="6">
        <v>1609.9</v>
      </c>
      <c r="K2793" t="s">
        <v>5636</v>
      </c>
      <c r="L2793" t="s">
        <v>5637</v>
      </c>
    </row>
    <row r="2794" spans="1:12" ht="15" customHeight="1" x14ac:dyDescent="0.25">
      <c r="A2794">
        <v>2793</v>
      </c>
      <c r="B2794" s="5">
        <v>45700</v>
      </c>
      <c r="C2794" t="s">
        <v>33</v>
      </c>
      <c r="D2794" t="s">
        <v>28</v>
      </c>
      <c r="E2794" t="s">
        <v>29</v>
      </c>
      <c r="F2794" t="s">
        <v>39</v>
      </c>
      <c r="G2794" s="6">
        <v>3599.18</v>
      </c>
      <c r="H2794" s="7">
        <v>2.1000000000000001E-2</v>
      </c>
      <c r="I2794" s="6">
        <v>75.58</v>
      </c>
      <c r="J2794" s="6">
        <v>3674.76</v>
      </c>
      <c r="K2794" t="s">
        <v>5638</v>
      </c>
      <c r="L2794" t="s">
        <v>5639</v>
      </c>
    </row>
    <row r="2795" spans="1:12" ht="15" customHeight="1" x14ac:dyDescent="0.25">
      <c r="A2795">
        <v>2794</v>
      </c>
      <c r="B2795" s="5">
        <v>45705</v>
      </c>
      <c r="C2795" t="s">
        <v>27</v>
      </c>
      <c r="D2795" t="s">
        <v>63</v>
      </c>
      <c r="E2795" t="s">
        <v>64</v>
      </c>
      <c r="F2795" t="s">
        <v>81</v>
      </c>
      <c r="G2795" s="6">
        <v>4209.93</v>
      </c>
      <c r="H2795" s="7">
        <v>0.2</v>
      </c>
      <c r="I2795" s="6">
        <v>841.99</v>
      </c>
      <c r="J2795" s="6">
        <v>5051.92</v>
      </c>
      <c r="K2795" t="s">
        <v>5640</v>
      </c>
      <c r="L2795" t="s">
        <v>1027</v>
      </c>
    </row>
    <row r="2796" spans="1:12" ht="15" customHeight="1" x14ac:dyDescent="0.25">
      <c r="A2796">
        <v>2795</v>
      </c>
      <c r="B2796" s="5">
        <v>45659</v>
      </c>
      <c r="C2796" t="s">
        <v>33</v>
      </c>
      <c r="D2796" t="s">
        <v>94</v>
      </c>
      <c r="E2796" t="s">
        <v>95</v>
      </c>
      <c r="F2796" t="s">
        <v>44</v>
      </c>
      <c r="G2796" s="6">
        <v>581.71</v>
      </c>
      <c r="H2796" s="7">
        <v>0</v>
      </c>
      <c r="I2796" s="6">
        <v>0</v>
      </c>
      <c r="J2796" s="6">
        <v>581.71</v>
      </c>
      <c r="K2796" t="s">
        <v>5641</v>
      </c>
      <c r="L2796" t="s">
        <v>5642</v>
      </c>
    </row>
    <row r="2797" spans="1:12" ht="15" customHeight="1" x14ac:dyDescent="0.25">
      <c r="A2797">
        <v>2796</v>
      </c>
      <c r="B2797" s="5">
        <v>46016</v>
      </c>
      <c r="C2797" t="s">
        <v>47</v>
      </c>
      <c r="D2797" t="s">
        <v>34</v>
      </c>
      <c r="E2797" t="s">
        <v>35</v>
      </c>
      <c r="F2797" t="s">
        <v>84</v>
      </c>
      <c r="G2797" s="6">
        <v>1659.05</v>
      </c>
      <c r="H2797" s="7">
        <v>0.2</v>
      </c>
      <c r="I2797" s="6">
        <v>331.81</v>
      </c>
      <c r="J2797" s="6">
        <v>1990.86</v>
      </c>
      <c r="K2797" t="s">
        <v>5643</v>
      </c>
      <c r="L2797" t="s">
        <v>5644</v>
      </c>
    </row>
    <row r="2798" spans="1:12" ht="15" customHeight="1" x14ac:dyDescent="0.25">
      <c r="A2798">
        <v>2797</v>
      </c>
      <c r="B2798" s="5">
        <v>45827</v>
      </c>
      <c r="C2798" t="s">
        <v>33</v>
      </c>
      <c r="D2798" t="s">
        <v>28</v>
      </c>
      <c r="E2798" t="s">
        <v>29</v>
      </c>
      <c r="F2798" t="s">
        <v>84</v>
      </c>
      <c r="G2798" s="6">
        <v>521.87</v>
      </c>
      <c r="H2798" s="7">
        <v>2.1000000000000001E-2</v>
      </c>
      <c r="I2798" s="6">
        <v>10.96</v>
      </c>
      <c r="J2798" s="6">
        <v>532.83000000000004</v>
      </c>
      <c r="K2798" t="s">
        <v>5645</v>
      </c>
      <c r="L2798" t="s">
        <v>5646</v>
      </c>
    </row>
    <row r="2799" spans="1:12" ht="15" customHeight="1" x14ac:dyDescent="0.25">
      <c r="A2799">
        <v>2798</v>
      </c>
      <c r="B2799" s="5">
        <v>45756</v>
      </c>
      <c r="C2799" t="s">
        <v>33</v>
      </c>
      <c r="D2799" t="s">
        <v>181</v>
      </c>
      <c r="E2799" t="s">
        <v>182</v>
      </c>
      <c r="F2799" t="s">
        <v>36</v>
      </c>
      <c r="G2799" s="6">
        <v>3569.78</v>
      </c>
      <c r="H2799" s="7">
        <v>0.2</v>
      </c>
      <c r="I2799" s="6">
        <v>713.96</v>
      </c>
      <c r="J2799" s="6">
        <v>4283.74</v>
      </c>
      <c r="K2799" t="s">
        <v>5647</v>
      </c>
      <c r="L2799" t="s">
        <v>5648</v>
      </c>
    </row>
    <row r="2800" spans="1:12" ht="15" customHeight="1" x14ac:dyDescent="0.25">
      <c r="A2800">
        <v>2799</v>
      </c>
      <c r="B2800" s="5">
        <v>45961</v>
      </c>
      <c r="C2800" t="s">
        <v>47</v>
      </c>
      <c r="D2800" t="s">
        <v>28</v>
      </c>
      <c r="E2800" t="s">
        <v>29</v>
      </c>
      <c r="F2800" t="s">
        <v>106</v>
      </c>
      <c r="G2800" s="6">
        <v>1368.11</v>
      </c>
      <c r="H2800" s="7">
        <v>2.1000000000000001E-2</v>
      </c>
      <c r="I2800" s="6">
        <v>28.73</v>
      </c>
      <c r="J2800" s="6">
        <v>1396.84</v>
      </c>
      <c r="K2800" t="s">
        <v>5649</v>
      </c>
      <c r="L2800" t="s">
        <v>5650</v>
      </c>
    </row>
    <row r="2801" spans="1:13" ht="15" customHeight="1" x14ac:dyDescent="0.25">
      <c r="A2801">
        <v>2800</v>
      </c>
      <c r="B2801" s="5">
        <v>45691</v>
      </c>
      <c r="C2801" t="s">
        <v>27</v>
      </c>
      <c r="D2801" t="s">
        <v>55</v>
      </c>
      <c r="E2801" t="s">
        <v>56</v>
      </c>
      <c r="F2801" t="s">
        <v>174</v>
      </c>
      <c r="G2801" s="6">
        <v>2123.5300000000002</v>
      </c>
      <c r="H2801" s="7">
        <v>0.2</v>
      </c>
      <c r="I2801" s="6">
        <v>424.71</v>
      </c>
      <c r="J2801" s="6">
        <v>2548.2399999999998</v>
      </c>
      <c r="K2801" t="s">
        <v>5651</v>
      </c>
      <c r="L2801" t="s">
        <v>5652</v>
      </c>
      <c r="M2801" t="s">
        <v>447</v>
      </c>
    </row>
    <row r="2802" spans="1:13" ht="15" customHeight="1" x14ac:dyDescent="0.25">
      <c r="A2802">
        <v>2801</v>
      </c>
      <c r="B2802" s="5">
        <v>45707</v>
      </c>
      <c r="C2802" t="s">
        <v>27</v>
      </c>
      <c r="D2802" t="s">
        <v>42</v>
      </c>
      <c r="E2802" t="s">
        <v>43</v>
      </c>
      <c r="F2802" t="s">
        <v>44</v>
      </c>
      <c r="G2802" s="6">
        <v>2337.1</v>
      </c>
      <c r="H2802" s="7">
        <v>0</v>
      </c>
      <c r="I2802" s="6">
        <v>0</v>
      </c>
      <c r="J2802" s="6">
        <v>2337.1</v>
      </c>
      <c r="K2802" t="s">
        <v>5653</v>
      </c>
      <c r="L2802" t="s">
        <v>5654</v>
      </c>
    </row>
    <row r="2803" spans="1:13" ht="15" customHeight="1" x14ac:dyDescent="0.25">
      <c r="A2803">
        <v>2802</v>
      </c>
      <c r="B2803" s="5">
        <v>45831</v>
      </c>
      <c r="C2803" t="s">
        <v>33</v>
      </c>
      <c r="D2803" t="s">
        <v>63</v>
      </c>
      <c r="E2803" t="s">
        <v>64</v>
      </c>
      <c r="F2803" t="s">
        <v>81</v>
      </c>
      <c r="G2803" s="6">
        <v>3019.34</v>
      </c>
      <c r="H2803" s="7">
        <v>0.2</v>
      </c>
      <c r="I2803" s="6">
        <v>603.87</v>
      </c>
      <c r="J2803" s="6">
        <v>3623.21</v>
      </c>
      <c r="K2803" t="s">
        <v>5655</v>
      </c>
      <c r="L2803" t="s">
        <v>5656</v>
      </c>
    </row>
    <row r="2804" spans="1:13" ht="15" customHeight="1" x14ac:dyDescent="0.25">
      <c r="A2804">
        <v>2803</v>
      </c>
      <c r="B2804" s="5">
        <v>45918</v>
      </c>
      <c r="C2804" t="s">
        <v>47</v>
      </c>
      <c r="D2804" t="s">
        <v>55</v>
      </c>
      <c r="E2804" t="s">
        <v>56</v>
      </c>
      <c r="F2804" t="s">
        <v>120</v>
      </c>
      <c r="G2804" s="6">
        <v>1434.28</v>
      </c>
      <c r="H2804" s="7">
        <v>5.5E-2</v>
      </c>
      <c r="I2804" s="6">
        <v>78.89</v>
      </c>
      <c r="J2804" s="6">
        <v>1513.17</v>
      </c>
      <c r="K2804" t="s">
        <v>5657</v>
      </c>
      <c r="L2804" t="s">
        <v>5658</v>
      </c>
    </row>
    <row r="2805" spans="1:13" ht="15" customHeight="1" x14ac:dyDescent="0.25">
      <c r="A2805">
        <v>2804</v>
      </c>
      <c r="B2805" s="5">
        <v>45778</v>
      </c>
      <c r="C2805" t="s">
        <v>47</v>
      </c>
      <c r="D2805" t="s">
        <v>63</v>
      </c>
      <c r="E2805" t="s">
        <v>64</v>
      </c>
      <c r="F2805" t="s">
        <v>174</v>
      </c>
      <c r="G2805" s="6">
        <v>3590.62</v>
      </c>
      <c r="H2805" s="7">
        <v>0.2</v>
      </c>
      <c r="I2805" s="6">
        <v>718.12</v>
      </c>
      <c r="J2805" s="6">
        <v>4308.74</v>
      </c>
      <c r="K2805" t="s">
        <v>5659</v>
      </c>
      <c r="L2805" t="s">
        <v>5660</v>
      </c>
    </row>
    <row r="2806" spans="1:13" ht="15" customHeight="1" x14ac:dyDescent="0.25">
      <c r="A2806">
        <v>2805</v>
      </c>
      <c r="B2806" s="5">
        <v>45894</v>
      </c>
      <c r="C2806" t="s">
        <v>47</v>
      </c>
      <c r="D2806" t="s">
        <v>28</v>
      </c>
      <c r="E2806" t="s">
        <v>29</v>
      </c>
      <c r="F2806" t="s">
        <v>30</v>
      </c>
      <c r="G2806" s="6">
        <v>737.35</v>
      </c>
      <c r="H2806" s="7">
        <v>2.1000000000000001E-2</v>
      </c>
      <c r="I2806" s="6">
        <v>15.48</v>
      </c>
      <c r="J2806" s="6">
        <v>752.83</v>
      </c>
      <c r="K2806" t="s">
        <v>5661</v>
      </c>
      <c r="L2806" t="s">
        <v>5662</v>
      </c>
    </row>
    <row r="2807" spans="1:13" ht="15" customHeight="1" x14ac:dyDescent="0.25">
      <c r="A2807">
        <v>2806</v>
      </c>
      <c r="B2807" s="5">
        <v>45733</v>
      </c>
      <c r="C2807" t="s">
        <v>33</v>
      </c>
      <c r="D2807" t="s">
        <v>28</v>
      </c>
      <c r="E2807" t="s">
        <v>29</v>
      </c>
      <c r="F2807" t="s">
        <v>76</v>
      </c>
      <c r="G2807" s="6">
        <v>555.91999999999996</v>
      </c>
      <c r="H2807" s="7">
        <v>2.1000000000000001E-2</v>
      </c>
      <c r="I2807" s="6">
        <v>11.67</v>
      </c>
      <c r="J2807" s="6">
        <v>567.59</v>
      </c>
      <c r="K2807" t="s">
        <v>5663</v>
      </c>
      <c r="L2807" t="s">
        <v>5664</v>
      </c>
    </row>
    <row r="2808" spans="1:13" ht="15" customHeight="1" x14ac:dyDescent="0.25">
      <c r="A2808">
        <v>2807</v>
      </c>
      <c r="B2808" s="5">
        <v>45828</v>
      </c>
      <c r="C2808" t="s">
        <v>33</v>
      </c>
      <c r="D2808" t="s">
        <v>42</v>
      </c>
      <c r="E2808" t="s">
        <v>43</v>
      </c>
      <c r="F2808" t="s">
        <v>44</v>
      </c>
      <c r="G2808" s="6">
        <v>3190.25</v>
      </c>
      <c r="H2808" s="7">
        <v>0</v>
      </c>
      <c r="I2808" s="6">
        <v>0</v>
      </c>
      <c r="J2808" s="6">
        <v>3190.25</v>
      </c>
      <c r="K2808" t="s">
        <v>5665</v>
      </c>
      <c r="L2808" t="s">
        <v>5666</v>
      </c>
    </row>
    <row r="2809" spans="1:13" ht="15" customHeight="1" x14ac:dyDescent="0.25">
      <c r="A2809">
        <v>2808</v>
      </c>
      <c r="B2809" s="5">
        <v>45720</v>
      </c>
      <c r="C2809" t="s">
        <v>47</v>
      </c>
      <c r="D2809" t="s">
        <v>79</v>
      </c>
      <c r="E2809" t="s">
        <v>80</v>
      </c>
      <c r="F2809" t="s">
        <v>120</v>
      </c>
      <c r="G2809" s="6">
        <v>4190.04</v>
      </c>
      <c r="H2809" s="7">
        <v>0.2</v>
      </c>
      <c r="I2809" s="6">
        <v>838.01</v>
      </c>
      <c r="J2809" s="6">
        <v>5028.05</v>
      </c>
      <c r="K2809" t="s">
        <v>5667</v>
      </c>
      <c r="L2809" t="s">
        <v>5668</v>
      </c>
    </row>
    <row r="2810" spans="1:13" ht="15" customHeight="1" x14ac:dyDescent="0.25">
      <c r="A2810">
        <v>2809</v>
      </c>
      <c r="B2810" s="5">
        <v>45812</v>
      </c>
      <c r="C2810" t="s">
        <v>27</v>
      </c>
      <c r="D2810" t="s">
        <v>42</v>
      </c>
      <c r="E2810" t="s">
        <v>43</v>
      </c>
      <c r="F2810" t="s">
        <v>44</v>
      </c>
      <c r="G2810" s="6">
        <v>2303.4499999999998</v>
      </c>
      <c r="H2810" s="7">
        <v>0</v>
      </c>
      <c r="I2810" s="6">
        <v>0</v>
      </c>
      <c r="J2810" s="6">
        <v>2303.4499999999998</v>
      </c>
      <c r="K2810" t="s">
        <v>5669</v>
      </c>
      <c r="L2810" t="s">
        <v>5670</v>
      </c>
    </row>
    <row r="2811" spans="1:13" ht="15" customHeight="1" x14ac:dyDescent="0.25">
      <c r="A2811">
        <v>2810</v>
      </c>
      <c r="B2811" s="5">
        <v>45756</v>
      </c>
      <c r="C2811" t="s">
        <v>27</v>
      </c>
      <c r="D2811" t="s">
        <v>28</v>
      </c>
      <c r="E2811" t="s">
        <v>29</v>
      </c>
      <c r="F2811" t="s">
        <v>39</v>
      </c>
      <c r="G2811" s="6">
        <v>1605.28</v>
      </c>
      <c r="H2811" s="7">
        <v>2.1000000000000001E-2</v>
      </c>
      <c r="I2811" s="6">
        <v>33.71</v>
      </c>
      <c r="J2811" s="6">
        <v>1638.99</v>
      </c>
      <c r="K2811" t="s">
        <v>5671</v>
      </c>
      <c r="M2811" t="s">
        <v>186</v>
      </c>
    </row>
    <row r="2812" spans="1:13" ht="15" customHeight="1" x14ac:dyDescent="0.25">
      <c r="A2812">
        <v>2811</v>
      </c>
      <c r="B2812" s="5">
        <v>45912</v>
      </c>
      <c r="C2812" t="s">
        <v>47</v>
      </c>
      <c r="D2812" t="s">
        <v>63</v>
      </c>
      <c r="E2812" t="s">
        <v>64</v>
      </c>
      <c r="F2812" t="s">
        <v>36</v>
      </c>
      <c r="G2812" s="6">
        <v>2128.69</v>
      </c>
      <c r="H2812" s="7">
        <v>0.2</v>
      </c>
      <c r="I2812" s="6">
        <v>425.74</v>
      </c>
      <c r="J2812" s="6">
        <v>2554.4299999999998</v>
      </c>
      <c r="K2812" t="s">
        <v>5672</v>
      </c>
      <c r="L2812" t="s">
        <v>5673</v>
      </c>
    </row>
    <row r="2813" spans="1:13" ht="15" customHeight="1" x14ac:dyDescent="0.25">
      <c r="A2813">
        <v>2812</v>
      </c>
      <c r="B2813" s="5">
        <v>45888</v>
      </c>
      <c r="C2813" t="s">
        <v>27</v>
      </c>
      <c r="D2813" t="s">
        <v>42</v>
      </c>
      <c r="E2813" t="s">
        <v>43</v>
      </c>
      <c r="F2813" t="s">
        <v>44</v>
      </c>
      <c r="G2813" s="6">
        <v>2584.58</v>
      </c>
      <c r="H2813" s="7">
        <v>0</v>
      </c>
      <c r="I2813" s="6">
        <v>0</v>
      </c>
      <c r="J2813" s="6">
        <v>2584.58</v>
      </c>
      <c r="K2813" t="s">
        <v>5674</v>
      </c>
      <c r="L2813" t="s">
        <v>5675</v>
      </c>
    </row>
    <row r="2814" spans="1:13" ht="15" customHeight="1" x14ac:dyDescent="0.25">
      <c r="A2814">
        <v>2813</v>
      </c>
      <c r="B2814" s="5">
        <v>46016</v>
      </c>
      <c r="C2814" t="s">
        <v>47</v>
      </c>
      <c r="D2814" t="s">
        <v>34</v>
      </c>
      <c r="E2814" t="s">
        <v>35</v>
      </c>
      <c r="F2814" t="s">
        <v>30</v>
      </c>
      <c r="G2814" s="6">
        <v>893.11</v>
      </c>
      <c r="H2814" s="7">
        <v>0.2</v>
      </c>
      <c r="I2814" s="6">
        <v>178.62</v>
      </c>
      <c r="J2814" s="6">
        <v>1071.73</v>
      </c>
      <c r="K2814" t="s">
        <v>5676</v>
      </c>
      <c r="L2814" t="s">
        <v>5677</v>
      </c>
    </row>
    <row r="2815" spans="1:13" ht="15" customHeight="1" x14ac:dyDescent="0.25">
      <c r="A2815">
        <v>2814</v>
      </c>
      <c r="B2815" s="5">
        <v>45733</v>
      </c>
      <c r="C2815" t="s">
        <v>47</v>
      </c>
      <c r="D2815" t="s">
        <v>28</v>
      </c>
      <c r="E2815" t="s">
        <v>29</v>
      </c>
      <c r="F2815" t="s">
        <v>30</v>
      </c>
      <c r="G2815" s="6">
        <v>265.75</v>
      </c>
      <c r="H2815" s="7">
        <v>2.1000000000000001E-2</v>
      </c>
      <c r="I2815" s="6">
        <v>5.58</v>
      </c>
      <c r="J2815" s="6">
        <v>271.33</v>
      </c>
      <c r="K2815" t="s">
        <v>5678</v>
      </c>
      <c r="L2815" t="s">
        <v>5679</v>
      </c>
    </row>
    <row r="2816" spans="1:13" ht="15" customHeight="1" x14ac:dyDescent="0.25">
      <c r="A2816">
        <v>2815</v>
      </c>
      <c r="B2816" s="5">
        <v>45800</v>
      </c>
      <c r="C2816" t="s">
        <v>27</v>
      </c>
      <c r="D2816" t="s">
        <v>172</v>
      </c>
      <c r="E2816" t="s">
        <v>173</v>
      </c>
      <c r="F2816" t="s">
        <v>81</v>
      </c>
      <c r="G2816" s="6">
        <v>4090.3</v>
      </c>
      <c r="H2816" s="7">
        <v>0.2</v>
      </c>
      <c r="I2816" s="6">
        <v>818.06</v>
      </c>
      <c r="J2816" s="6">
        <v>4908.3599999999997</v>
      </c>
      <c r="K2816" t="s">
        <v>5680</v>
      </c>
      <c r="L2816" t="s">
        <v>5681</v>
      </c>
    </row>
    <row r="2817" spans="1:12" ht="15" customHeight="1" x14ac:dyDescent="0.25">
      <c r="A2817">
        <v>2816</v>
      </c>
      <c r="B2817" s="5">
        <v>45981</v>
      </c>
      <c r="C2817" t="s">
        <v>47</v>
      </c>
      <c r="D2817" t="s">
        <v>28</v>
      </c>
      <c r="E2817" t="s">
        <v>29</v>
      </c>
      <c r="F2817" t="s">
        <v>50</v>
      </c>
      <c r="G2817" s="6">
        <v>1674.42</v>
      </c>
      <c r="H2817" s="7">
        <v>2.1000000000000001E-2</v>
      </c>
      <c r="I2817" s="6">
        <v>35.159999999999997</v>
      </c>
      <c r="J2817" s="6">
        <v>1709.58</v>
      </c>
      <c r="K2817" t="s">
        <v>5682</v>
      </c>
      <c r="L2817" t="s">
        <v>5683</v>
      </c>
    </row>
    <row r="2818" spans="1:12" ht="15" customHeight="1" x14ac:dyDescent="0.25">
      <c r="A2818">
        <v>2817</v>
      </c>
      <c r="B2818" s="5">
        <v>45659</v>
      </c>
      <c r="C2818" t="s">
        <v>27</v>
      </c>
      <c r="D2818" t="s">
        <v>63</v>
      </c>
      <c r="E2818" t="s">
        <v>64</v>
      </c>
      <c r="F2818" t="s">
        <v>106</v>
      </c>
      <c r="G2818" s="6">
        <v>542.32000000000005</v>
      </c>
      <c r="H2818" s="7">
        <v>0.2</v>
      </c>
      <c r="I2818" s="6">
        <v>108.46</v>
      </c>
      <c r="J2818" s="6">
        <v>650.78</v>
      </c>
      <c r="K2818" t="s">
        <v>5684</v>
      </c>
      <c r="L2818" t="s">
        <v>5685</v>
      </c>
    </row>
    <row r="2819" spans="1:12" ht="15" customHeight="1" x14ac:dyDescent="0.25">
      <c r="A2819">
        <v>2818</v>
      </c>
      <c r="B2819" s="5">
        <v>46006</v>
      </c>
      <c r="C2819" t="s">
        <v>33</v>
      </c>
      <c r="D2819" t="s">
        <v>28</v>
      </c>
      <c r="E2819" t="s">
        <v>29</v>
      </c>
      <c r="F2819" t="s">
        <v>81</v>
      </c>
      <c r="G2819" s="6">
        <v>2991.3</v>
      </c>
      <c r="H2819" s="7">
        <v>2.1000000000000001E-2</v>
      </c>
      <c r="I2819" s="6">
        <v>62.82</v>
      </c>
      <c r="J2819" s="6">
        <v>3054.12</v>
      </c>
      <c r="K2819" t="s">
        <v>5686</v>
      </c>
      <c r="L2819" t="s">
        <v>5687</v>
      </c>
    </row>
    <row r="2820" spans="1:12" ht="15" customHeight="1" x14ac:dyDescent="0.25">
      <c r="A2820">
        <v>2819</v>
      </c>
      <c r="B2820" s="5">
        <v>45960</v>
      </c>
      <c r="C2820" t="s">
        <v>27</v>
      </c>
      <c r="D2820" t="s">
        <v>55</v>
      </c>
      <c r="E2820" t="s">
        <v>56</v>
      </c>
      <c r="F2820" t="s">
        <v>84</v>
      </c>
      <c r="G2820" s="6">
        <v>2787.09</v>
      </c>
      <c r="H2820" s="7">
        <v>5.5E-2</v>
      </c>
      <c r="I2820" s="6">
        <v>153.29</v>
      </c>
      <c r="J2820" s="6">
        <v>2940.38</v>
      </c>
      <c r="K2820" t="s">
        <v>5688</v>
      </c>
      <c r="L2820" t="s">
        <v>5689</v>
      </c>
    </row>
    <row r="2821" spans="1:12" ht="15" customHeight="1" x14ac:dyDescent="0.25">
      <c r="A2821">
        <v>2820</v>
      </c>
      <c r="B2821" s="5">
        <v>45678</v>
      </c>
      <c r="C2821" t="s">
        <v>47</v>
      </c>
      <c r="D2821" t="s">
        <v>42</v>
      </c>
      <c r="E2821" t="s">
        <v>43</v>
      </c>
      <c r="F2821" t="s">
        <v>44</v>
      </c>
      <c r="G2821" s="6">
        <v>3525.86</v>
      </c>
      <c r="H2821" s="7">
        <v>0</v>
      </c>
      <c r="I2821" s="6">
        <v>0</v>
      </c>
      <c r="J2821" s="6">
        <v>3525.86</v>
      </c>
      <c r="K2821" t="s">
        <v>5690</v>
      </c>
      <c r="L2821" t="s">
        <v>5691</v>
      </c>
    </row>
    <row r="2822" spans="1:12" ht="15" customHeight="1" x14ac:dyDescent="0.25">
      <c r="A2822">
        <v>2821</v>
      </c>
      <c r="B2822" s="5">
        <v>45891</v>
      </c>
      <c r="C2822" t="s">
        <v>47</v>
      </c>
      <c r="D2822" t="s">
        <v>172</v>
      </c>
      <c r="E2822" t="s">
        <v>173</v>
      </c>
      <c r="F2822" t="s">
        <v>50</v>
      </c>
      <c r="G2822" s="6">
        <v>276.75</v>
      </c>
      <c r="H2822" s="7">
        <v>0.2</v>
      </c>
      <c r="I2822" s="6">
        <v>55.35</v>
      </c>
      <c r="J2822" s="6">
        <v>332.1</v>
      </c>
      <c r="K2822" t="s">
        <v>5692</v>
      </c>
      <c r="L2822" t="s">
        <v>5693</v>
      </c>
    </row>
    <row r="2823" spans="1:12" ht="15" customHeight="1" x14ac:dyDescent="0.25">
      <c r="A2823">
        <v>2822</v>
      </c>
      <c r="B2823" s="5">
        <v>45895</v>
      </c>
      <c r="C2823" t="s">
        <v>47</v>
      </c>
      <c r="D2823" t="s">
        <v>172</v>
      </c>
      <c r="E2823" t="s">
        <v>173</v>
      </c>
      <c r="F2823" t="s">
        <v>84</v>
      </c>
      <c r="G2823" s="6">
        <v>4120.3500000000004</v>
      </c>
      <c r="H2823" s="7">
        <v>0.2</v>
      </c>
      <c r="I2823" s="6">
        <v>824.07</v>
      </c>
      <c r="J2823" s="6">
        <v>4944.42</v>
      </c>
      <c r="K2823" t="s">
        <v>5694</v>
      </c>
      <c r="L2823" t="s">
        <v>5695</v>
      </c>
    </row>
    <row r="2824" spans="1:12" ht="15" customHeight="1" x14ac:dyDescent="0.25">
      <c r="A2824">
        <v>2823</v>
      </c>
      <c r="B2824" s="5">
        <v>45960</v>
      </c>
      <c r="C2824" t="s">
        <v>33</v>
      </c>
      <c r="D2824" t="s">
        <v>100</v>
      </c>
      <c r="E2824" t="s">
        <v>101</v>
      </c>
      <c r="F2824" t="s">
        <v>44</v>
      </c>
      <c r="G2824" s="6">
        <v>2435.2800000000002</v>
      </c>
      <c r="H2824" s="7">
        <v>0</v>
      </c>
      <c r="I2824" s="6">
        <v>0</v>
      </c>
      <c r="J2824" s="6">
        <v>2435.2800000000002</v>
      </c>
      <c r="K2824" t="s">
        <v>5696</v>
      </c>
      <c r="L2824" t="s">
        <v>5697</v>
      </c>
    </row>
    <row r="2825" spans="1:12" ht="15" customHeight="1" x14ac:dyDescent="0.25">
      <c r="A2825">
        <v>2824</v>
      </c>
      <c r="B2825" s="5">
        <v>46000</v>
      </c>
      <c r="C2825" t="s">
        <v>33</v>
      </c>
      <c r="D2825" t="s">
        <v>42</v>
      </c>
      <c r="E2825" t="s">
        <v>43</v>
      </c>
      <c r="F2825" t="s">
        <v>44</v>
      </c>
      <c r="G2825" s="6">
        <v>2409.94</v>
      </c>
      <c r="H2825" s="7">
        <v>0</v>
      </c>
      <c r="I2825" s="6">
        <v>0</v>
      </c>
      <c r="J2825" s="6">
        <v>2409.94</v>
      </c>
      <c r="K2825" t="s">
        <v>5698</v>
      </c>
      <c r="L2825" t="s">
        <v>5699</v>
      </c>
    </row>
    <row r="2826" spans="1:12" ht="15" customHeight="1" x14ac:dyDescent="0.25">
      <c r="A2826">
        <v>2825</v>
      </c>
      <c r="B2826" s="5">
        <v>45678</v>
      </c>
      <c r="C2826" t="s">
        <v>33</v>
      </c>
      <c r="D2826" t="s">
        <v>172</v>
      </c>
      <c r="E2826" t="s">
        <v>173</v>
      </c>
      <c r="F2826" t="s">
        <v>76</v>
      </c>
      <c r="G2826" s="6">
        <v>1060.3599999999999</v>
      </c>
      <c r="H2826" s="7">
        <v>0.2</v>
      </c>
      <c r="I2826" s="6">
        <v>212.07</v>
      </c>
      <c r="J2826" s="6">
        <v>1272.43</v>
      </c>
      <c r="K2826" t="s">
        <v>5700</v>
      </c>
      <c r="L2826" t="s">
        <v>5701</v>
      </c>
    </row>
    <row r="2827" spans="1:12" ht="15" customHeight="1" x14ac:dyDescent="0.25">
      <c r="A2827">
        <v>2826</v>
      </c>
      <c r="B2827" s="5">
        <v>45798</v>
      </c>
      <c r="C2827" t="s">
        <v>47</v>
      </c>
      <c r="D2827" t="s">
        <v>28</v>
      </c>
      <c r="E2827" t="s">
        <v>29</v>
      </c>
      <c r="F2827" t="s">
        <v>106</v>
      </c>
      <c r="G2827" s="6">
        <v>2445.84</v>
      </c>
      <c r="H2827" s="7">
        <v>2.1000000000000001E-2</v>
      </c>
      <c r="I2827" s="6">
        <v>51.36</v>
      </c>
      <c r="J2827" s="6">
        <v>2497.1999999999998</v>
      </c>
      <c r="K2827" t="s">
        <v>5702</v>
      </c>
      <c r="L2827" t="s">
        <v>5703</v>
      </c>
    </row>
    <row r="2828" spans="1:12" ht="15" customHeight="1" x14ac:dyDescent="0.25">
      <c r="A2828">
        <v>2827</v>
      </c>
      <c r="B2828" s="5">
        <v>45985</v>
      </c>
      <c r="C2828" t="s">
        <v>33</v>
      </c>
      <c r="D2828" t="s">
        <v>79</v>
      </c>
      <c r="E2828" t="s">
        <v>80</v>
      </c>
      <c r="F2828" t="s">
        <v>84</v>
      </c>
      <c r="G2828" s="6">
        <v>3562.93</v>
      </c>
      <c r="H2828" s="7">
        <v>0.2</v>
      </c>
      <c r="I2828" s="6">
        <v>712.59</v>
      </c>
      <c r="J2828" s="6">
        <v>4275.5200000000004</v>
      </c>
      <c r="K2828" t="s">
        <v>5704</v>
      </c>
      <c r="L2828" t="s">
        <v>5705</v>
      </c>
    </row>
    <row r="2829" spans="1:12" ht="15" customHeight="1" x14ac:dyDescent="0.25">
      <c r="A2829">
        <v>2828</v>
      </c>
      <c r="B2829" s="5">
        <v>45931</v>
      </c>
      <c r="C2829" t="s">
        <v>33</v>
      </c>
      <c r="D2829" t="s">
        <v>79</v>
      </c>
      <c r="E2829" t="s">
        <v>80</v>
      </c>
      <c r="F2829" t="s">
        <v>174</v>
      </c>
      <c r="G2829" s="6">
        <v>3002.9</v>
      </c>
      <c r="H2829" s="7">
        <v>0.2</v>
      </c>
      <c r="I2829" s="6">
        <v>600.58000000000004</v>
      </c>
      <c r="J2829" s="6">
        <v>3603.48</v>
      </c>
      <c r="K2829" t="s">
        <v>5706</v>
      </c>
      <c r="L2829" t="s">
        <v>5707</v>
      </c>
    </row>
    <row r="2830" spans="1:12" ht="15" customHeight="1" x14ac:dyDescent="0.25">
      <c r="A2830">
        <v>2829</v>
      </c>
      <c r="B2830" s="5">
        <v>45945</v>
      </c>
      <c r="C2830" t="s">
        <v>33</v>
      </c>
      <c r="D2830" t="s">
        <v>42</v>
      </c>
      <c r="E2830" t="s">
        <v>43</v>
      </c>
      <c r="F2830" t="s">
        <v>44</v>
      </c>
      <c r="G2830" s="6">
        <v>2225.37</v>
      </c>
      <c r="H2830" s="7">
        <v>0</v>
      </c>
      <c r="I2830" s="6">
        <v>0</v>
      </c>
      <c r="J2830" s="6">
        <v>2225.37</v>
      </c>
      <c r="K2830" t="s">
        <v>5708</v>
      </c>
      <c r="L2830" t="s">
        <v>5709</v>
      </c>
    </row>
    <row r="2831" spans="1:12" ht="15" customHeight="1" x14ac:dyDescent="0.25">
      <c r="A2831">
        <v>2830</v>
      </c>
      <c r="B2831" s="5">
        <v>45877</v>
      </c>
      <c r="C2831" t="s">
        <v>33</v>
      </c>
      <c r="D2831" t="s">
        <v>28</v>
      </c>
      <c r="E2831" t="s">
        <v>29</v>
      </c>
      <c r="F2831" t="s">
        <v>120</v>
      </c>
      <c r="G2831" s="6">
        <v>432.17</v>
      </c>
      <c r="H2831" s="7">
        <v>2.1000000000000001E-2</v>
      </c>
      <c r="I2831" s="6">
        <v>9.08</v>
      </c>
      <c r="J2831" s="6">
        <v>441.25</v>
      </c>
      <c r="K2831" t="s">
        <v>5710</v>
      </c>
      <c r="L2831" t="s">
        <v>5711</v>
      </c>
    </row>
    <row r="2832" spans="1:12" ht="15" customHeight="1" x14ac:dyDescent="0.25">
      <c r="A2832">
        <v>2831</v>
      </c>
      <c r="B2832" s="5">
        <v>45790</v>
      </c>
      <c r="C2832" t="s">
        <v>47</v>
      </c>
      <c r="D2832" t="s">
        <v>28</v>
      </c>
      <c r="E2832" t="s">
        <v>29</v>
      </c>
      <c r="F2832" t="s">
        <v>174</v>
      </c>
      <c r="G2832" s="6">
        <v>827.08</v>
      </c>
      <c r="H2832" s="7">
        <v>2.1000000000000001E-2</v>
      </c>
      <c r="I2832" s="6">
        <v>17.37</v>
      </c>
      <c r="J2832" s="6">
        <v>844.45</v>
      </c>
      <c r="K2832" t="s">
        <v>5712</v>
      </c>
      <c r="L2832" t="s">
        <v>5713</v>
      </c>
    </row>
    <row r="2833" spans="1:13" ht="15" customHeight="1" x14ac:dyDescent="0.25">
      <c r="A2833">
        <v>2832</v>
      </c>
      <c r="B2833" s="5">
        <v>45876</v>
      </c>
      <c r="C2833" t="s">
        <v>47</v>
      </c>
      <c r="D2833" t="s">
        <v>63</v>
      </c>
      <c r="E2833" t="s">
        <v>64</v>
      </c>
      <c r="F2833" t="s">
        <v>30</v>
      </c>
      <c r="G2833" s="6">
        <v>982.09</v>
      </c>
      <c r="H2833" s="7">
        <v>0.2</v>
      </c>
      <c r="I2833" s="6">
        <v>196.42</v>
      </c>
      <c r="J2833" s="6">
        <v>1178.51</v>
      </c>
      <c r="K2833" t="s">
        <v>5714</v>
      </c>
      <c r="L2833" t="s">
        <v>5715</v>
      </c>
    </row>
    <row r="2834" spans="1:13" ht="15" customHeight="1" x14ac:dyDescent="0.25">
      <c r="A2834">
        <v>2833</v>
      </c>
      <c r="B2834" s="5">
        <v>45805</v>
      </c>
      <c r="C2834" t="s">
        <v>33</v>
      </c>
      <c r="D2834" t="s">
        <v>42</v>
      </c>
      <c r="E2834" t="s">
        <v>43</v>
      </c>
      <c r="F2834" t="s">
        <v>44</v>
      </c>
      <c r="G2834" s="6">
        <v>3101.57</v>
      </c>
      <c r="H2834" s="7">
        <v>0</v>
      </c>
      <c r="I2834" s="6">
        <v>0</v>
      </c>
      <c r="J2834" s="6">
        <v>3101.57</v>
      </c>
      <c r="K2834" t="s">
        <v>5716</v>
      </c>
      <c r="L2834" t="s">
        <v>5717</v>
      </c>
    </row>
    <row r="2835" spans="1:13" ht="15" customHeight="1" x14ac:dyDescent="0.25">
      <c r="A2835">
        <v>2834</v>
      </c>
      <c r="B2835" s="5">
        <v>45737</v>
      </c>
      <c r="C2835" t="s">
        <v>27</v>
      </c>
      <c r="D2835" t="s">
        <v>28</v>
      </c>
      <c r="E2835" t="s">
        <v>29</v>
      </c>
      <c r="F2835" t="s">
        <v>39</v>
      </c>
      <c r="G2835" s="6">
        <v>3939.64</v>
      </c>
      <c r="H2835" s="7">
        <v>2.1000000000000001E-2</v>
      </c>
      <c r="I2835" s="6">
        <v>82.73</v>
      </c>
      <c r="J2835" s="6">
        <v>4022.37</v>
      </c>
      <c r="K2835" t="s">
        <v>5718</v>
      </c>
      <c r="L2835" t="s">
        <v>5719</v>
      </c>
    </row>
    <row r="2836" spans="1:13" ht="15" customHeight="1" x14ac:dyDescent="0.25">
      <c r="A2836">
        <v>2835</v>
      </c>
      <c r="B2836" s="5">
        <v>45796</v>
      </c>
      <c r="C2836" t="s">
        <v>33</v>
      </c>
      <c r="D2836" t="s">
        <v>42</v>
      </c>
      <c r="E2836" t="s">
        <v>43</v>
      </c>
      <c r="F2836" t="s">
        <v>44</v>
      </c>
      <c r="G2836" s="6">
        <v>2072.09</v>
      </c>
      <c r="H2836" s="7">
        <v>0</v>
      </c>
      <c r="I2836" s="6">
        <v>0</v>
      </c>
      <c r="J2836" s="6">
        <v>2072.09</v>
      </c>
      <c r="K2836" t="s">
        <v>5720</v>
      </c>
      <c r="L2836" t="s">
        <v>5721</v>
      </c>
    </row>
    <row r="2837" spans="1:13" ht="15" customHeight="1" x14ac:dyDescent="0.25">
      <c r="A2837">
        <v>2836</v>
      </c>
      <c r="B2837" s="5">
        <v>45931</v>
      </c>
      <c r="C2837" t="s">
        <v>47</v>
      </c>
      <c r="D2837" t="s">
        <v>28</v>
      </c>
      <c r="E2837" t="s">
        <v>29</v>
      </c>
      <c r="F2837" t="s">
        <v>87</v>
      </c>
      <c r="G2837" s="6">
        <v>2136.61</v>
      </c>
      <c r="H2837" s="7">
        <v>2.1000000000000001E-2</v>
      </c>
      <c r="I2837" s="6">
        <v>44.87</v>
      </c>
      <c r="J2837" s="6">
        <v>2181.48</v>
      </c>
      <c r="K2837" t="s">
        <v>5722</v>
      </c>
      <c r="L2837" t="s">
        <v>5723</v>
      </c>
    </row>
    <row r="2838" spans="1:13" ht="15" customHeight="1" x14ac:dyDescent="0.25">
      <c r="A2838">
        <v>2837</v>
      </c>
      <c r="B2838" s="5">
        <v>45700</v>
      </c>
      <c r="C2838" t="s">
        <v>27</v>
      </c>
      <c r="D2838" t="s">
        <v>181</v>
      </c>
      <c r="E2838" t="s">
        <v>182</v>
      </c>
      <c r="F2838" t="s">
        <v>87</v>
      </c>
      <c r="G2838" s="6">
        <v>1654.67</v>
      </c>
      <c r="H2838" s="7">
        <v>0.2</v>
      </c>
      <c r="I2838" s="6">
        <v>330.93</v>
      </c>
      <c r="J2838" s="6">
        <v>1985.6</v>
      </c>
      <c r="K2838" t="s">
        <v>5724</v>
      </c>
      <c r="L2838" t="s">
        <v>5725</v>
      </c>
    </row>
    <row r="2839" spans="1:13" ht="15" customHeight="1" x14ac:dyDescent="0.25">
      <c r="A2839">
        <v>2838</v>
      </c>
      <c r="B2839" s="5">
        <v>45754</v>
      </c>
      <c r="C2839" t="s">
        <v>33</v>
      </c>
      <c r="D2839" t="s">
        <v>63</v>
      </c>
      <c r="E2839" t="s">
        <v>64</v>
      </c>
      <c r="F2839" t="s">
        <v>174</v>
      </c>
      <c r="G2839" s="6">
        <v>2490.25</v>
      </c>
      <c r="H2839" s="7">
        <v>0.2</v>
      </c>
      <c r="I2839" s="6">
        <v>498.05</v>
      </c>
      <c r="J2839" s="6">
        <v>2988.3</v>
      </c>
      <c r="K2839" t="s">
        <v>5726</v>
      </c>
      <c r="L2839" t="s">
        <v>5727</v>
      </c>
    </row>
    <row r="2840" spans="1:13" ht="15" customHeight="1" x14ac:dyDescent="0.25">
      <c r="A2840">
        <v>2839</v>
      </c>
      <c r="B2840" s="5">
        <v>45975</v>
      </c>
      <c r="C2840" t="s">
        <v>33</v>
      </c>
      <c r="D2840" t="s">
        <v>100</v>
      </c>
      <c r="E2840" t="s">
        <v>101</v>
      </c>
      <c r="F2840" t="s">
        <v>44</v>
      </c>
      <c r="G2840" s="6">
        <v>3703.94</v>
      </c>
      <c r="H2840" s="7">
        <v>0</v>
      </c>
      <c r="I2840" s="6">
        <v>0</v>
      </c>
      <c r="J2840" s="6">
        <v>3703.94</v>
      </c>
      <c r="K2840" t="s">
        <v>5728</v>
      </c>
      <c r="L2840" t="s">
        <v>5729</v>
      </c>
    </row>
    <row r="2841" spans="1:13" ht="15" customHeight="1" x14ac:dyDescent="0.25">
      <c r="A2841">
        <v>2840</v>
      </c>
      <c r="B2841" s="5">
        <v>45833</v>
      </c>
      <c r="C2841" t="s">
        <v>33</v>
      </c>
      <c r="D2841" t="s">
        <v>28</v>
      </c>
      <c r="E2841" t="s">
        <v>29</v>
      </c>
      <c r="F2841" t="s">
        <v>81</v>
      </c>
      <c r="G2841" s="6">
        <v>788.7</v>
      </c>
      <c r="H2841" s="7">
        <v>2.1000000000000001E-2</v>
      </c>
      <c r="I2841" s="6">
        <v>16.559999999999999</v>
      </c>
      <c r="J2841" s="6">
        <v>805.26</v>
      </c>
      <c r="K2841" t="s">
        <v>5730</v>
      </c>
      <c r="L2841" t="s">
        <v>5731</v>
      </c>
    </row>
    <row r="2842" spans="1:13" ht="15" customHeight="1" x14ac:dyDescent="0.25">
      <c r="A2842">
        <v>2841</v>
      </c>
      <c r="B2842" s="5">
        <v>45981</v>
      </c>
      <c r="C2842" t="s">
        <v>33</v>
      </c>
      <c r="D2842" t="s">
        <v>79</v>
      </c>
      <c r="E2842" t="s">
        <v>80</v>
      </c>
      <c r="F2842" t="s">
        <v>50</v>
      </c>
      <c r="G2842" s="6">
        <v>1633.11</v>
      </c>
      <c r="H2842" s="7">
        <v>0.2</v>
      </c>
      <c r="I2842" s="6">
        <v>326.62</v>
      </c>
      <c r="J2842" s="6">
        <v>1959.73</v>
      </c>
      <c r="K2842" t="s">
        <v>5732</v>
      </c>
      <c r="L2842" t="s">
        <v>5733</v>
      </c>
    </row>
    <row r="2843" spans="1:13" ht="15" customHeight="1" x14ac:dyDescent="0.25">
      <c r="A2843">
        <v>2842</v>
      </c>
      <c r="B2843" s="5">
        <v>45743</v>
      </c>
      <c r="C2843" t="s">
        <v>47</v>
      </c>
      <c r="D2843" t="s">
        <v>42</v>
      </c>
      <c r="E2843" t="s">
        <v>43</v>
      </c>
      <c r="F2843" t="s">
        <v>44</v>
      </c>
      <c r="G2843" s="6">
        <v>3329.97</v>
      </c>
      <c r="H2843" s="7">
        <v>0</v>
      </c>
      <c r="I2843" s="6">
        <v>0</v>
      </c>
      <c r="J2843" s="6">
        <v>3329.97</v>
      </c>
      <c r="K2843" t="s">
        <v>5734</v>
      </c>
      <c r="L2843" t="s">
        <v>5735</v>
      </c>
    </row>
    <row r="2844" spans="1:13" ht="15" customHeight="1" x14ac:dyDescent="0.25">
      <c r="A2844">
        <v>2843</v>
      </c>
      <c r="B2844" s="5">
        <v>45692</v>
      </c>
      <c r="C2844" t="s">
        <v>27</v>
      </c>
      <c r="D2844" t="s">
        <v>42</v>
      </c>
      <c r="E2844" t="s">
        <v>43</v>
      </c>
      <c r="F2844" t="s">
        <v>44</v>
      </c>
      <c r="G2844" s="6">
        <v>32351.87</v>
      </c>
      <c r="H2844" s="7">
        <v>0</v>
      </c>
      <c r="I2844" s="6">
        <v>0</v>
      </c>
      <c r="J2844" s="6">
        <v>32351.87</v>
      </c>
      <c r="K2844" t="s">
        <v>5736</v>
      </c>
      <c r="L2844" t="s">
        <v>5737</v>
      </c>
      <c r="M2844" t="s">
        <v>580</v>
      </c>
    </row>
    <row r="2845" spans="1:13" ht="15" customHeight="1" x14ac:dyDescent="0.25">
      <c r="A2845">
        <v>2844</v>
      </c>
      <c r="B2845" s="5">
        <v>45911</v>
      </c>
      <c r="C2845" t="s">
        <v>27</v>
      </c>
      <c r="D2845" t="s">
        <v>100</v>
      </c>
      <c r="E2845" t="s">
        <v>101</v>
      </c>
      <c r="F2845" t="s">
        <v>44</v>
      </c>
      <c r="G2845" s="6">
        <v>2898.85</v>
      </c>
      <c r="H2845" s="7">
        <v>0</v>
      </c>
      <c r="I2845" s="6">
        <v>0</v>
      </c>
      <c r="J2845" s="6">
        <v>2898.85</v>
      </c>
      <c r="K2845" t="s">
        <v>5738</v>
      </c>
      <c r="L2845" t="s">
        <v>5739</v>
      </c>
    </row>
    <row r="2846" spans="1:13" ht="15" customHeight="1" x14ac:dyDescent="0.25">
      <c r="A2846">
        <v>2845</v>
      </c>
      <c r="B2846" s="5">
        <v>45679</v>
      </c>
      <c r="C2846" t="s">
        <v>27</v>
      </c>
      <c r="D2846" t="s">
        <v>55</v>
      </c>
      <c r="E2846" t="s">
        <v>56</v>
      </c>
      <c r="F2846" t="s">
        <v>71</v>
      </c>
      <c r="G2846" s="6">
        <v>240.8</v>
      </c>
      <c r="H2846" s="7">
        <v>5.5E-2</v>
      </c>
      <c r="I2846" s="6">
        <v>13.24</v>
      </c>
      <c r="J2846" s="6">
        <v>254.04</v>
      </c>
      <c r="K2846" t="s">
        <v>5740</v>
      </c>
      <c r="L2846" t="s">
        <v>5741</v>
      </c>
    </row>
    <row r="2847" spans="1:13" ht="15" customHeight="1" x14ac:dyDescent="0.25">
      <c r="A2847">
        <v>2846</v>
      </c>
      <c r="B2847" s="5">
        <v>45848</v>
      </c>
      <c r="C2847" t="s">
        <v>27</v>
      </c>
      <c r="D2847" t="s">
        <v>55</v>
      </c>
      <c r="E2847" t="s">
        <v>56</v>
      </c>
      <c r="F2847" t="s">
        <v>36</v>
      </c>
      <c r="G2847" s="6">
        <v>2947.33</v>
      </c>
      <c r="H2847" s="7">
        <v>5.5E-2</v>
      </c>
      <c r="I2847" s="6">
        <v>162.1</v>
      </c>
      <c r="J2847" s="6">
        <v>3109.43</v>
      </c>
      <c r="K2847" t="s">
        <v>5742</v>
      </c>
      <c r="L2847" t="s">
        <v>5743</v>
      </c>
    </row>
    <row r="2848" spans="1:13" ht="15" customHeight="1" x14ac:dyDescent="0.25">
      <c r="A2848">
        <v>2847</v>
      </c>
      <c r="B2848" s="5">
        <v>45895</v>
      </c>
      <c r="C2848" t="s">
        <v>33</v>
      </c>
      <c r="D2848" t="s">
        <v>94</v>
      </c>
      <c r="E2848" t="s">
        <v>95</v>
      </c>
      <c r="F2848" t="s">
        <v>44</v>
      </c>
      <c r="G2848" s="6">
        <v>2607.56</v>
      </c>
      <c r="H2848" s="7">
        <v>0</v>
      </c>
      <c r="I2848" s="6">
        <v>0</v>
      </c>
      <c r="J2848" s="6">
        <v>2607.56</v>
      </c>
      <c r="K2848" t="s">
        <v>5744</v>
      </c>
      <c r="L2848" t="s">
        <v>5745</v>
      </c>
    </row>
    <row r="2849" spans="1:12" ht="15" customHeight="1" x14ac:dyDescent="0.25">
      <c r="A2849">
        <v>2848</v>
      </c>
      <c r="B2849" s="5">
        <v>45961</v>
      </c>
      <c r="C2849" t="s">
        <v>27</v>
      </c>
      <c r="D2849" t="s">
        <v>172</v>
      </c>
      <c r="E2849" t="s">
        <v>173</v>
      </c>
      <c r="F2849" t="s">
        <v>76</v>
      </c>
      <c r="G2849" s="6">
        <v>680.1</v>
      </c>
      <c r="H2849" s="7">
        <v>0.2</v>
      </c>
      <c r="I2849" s="6">
        <v>136.02000000000001</v>
      </c>
      <c r="J2849" s="6">
        <v>816.12</v>
      </c>
      <c r="K2849" t="s">
        <v>5746</v>
      </c>
      <c r="L2849" t="s">
        <v>5747</v>
      </c>
    </row>
    <row r="2850" spans="1:12" ht="15" customHeight="1" x14ac:dyDescent="0.25">
      <c r="A2850">
        <v>2849</v>
      </c>
      <c r="B2850" s="5">
        <v>45832</v>
      </c>
      <c r="C2850" t="s">
        <v>27</v>
      </c>
      <c r="D2850" t="s">
        <v>42</v>
      </c>
      <c r="E2850" t="s">
        <v>43</v>
      </c>
      <c r="F2850" t="s">
        <v>44</v>
      </c>
      <c r="G2850" s="6">
        <v>3745.99</v>
      </c>
      <c r="H2850" s="7">
        <v>0</v>
      </c>
      <c r="I2850" s="6">
        <v>0</v>
      </c>
      <c r="J2850" s="6">
        <v>3745.99</v>
      </c>
      <c r="K2850" t="s">
        <v>5748</v>
      </c>
      <c r="L2850" t="s">
        <v>5749</v>
      </c>
    </row>
    <row r="2851" spans="1:12" ht="15" customHeight="1" x14ac:dyDescent="0.25">
      <c r="A2851">
        <v>2850</v>
      </c>
      <c r="B2851" s="5">
        <v>45817</v>
      </c>
      <c r="C2851" t="s">
        <v>27</v>
      </c>
      <c r="D2851" t="s">
        <v>55</v>
      </c>
      <c r="E2851" t="s">
        <v>56</v>
      </c>
      <c r="F2851" t="s">
        <v>36</v>
      </c>
      <c r="G2851" s="6">
        <v>2453.9</v>
      </c>
      <c r="H2851" s="7">
        <v>5.5E-2</v>
      </c>
      <c r="I2851" s="6">
        <v>134.96</v>
      </c>
      <c r="J2851" s="6">
        <v>2588.86</v>
      </c>
      <c r="K2851" t="s">
        <v>5750</v>
      </c>
      <c r="L2851" t="s">
        <v>5751</v>
      </c>
    </row>
    <row r="2852" spans="1:12" ht="15" customHeight="1" x14ac:dyDescent="0.25">
      <c r="A2852">
        <v>2851</v>
      </c>
      <c r="B2852" s="5">
        <v>45686</v>
      </c>
      <c r="C2852" t="s">
        <v>33</v>
      </c>
      <c r="D2852" t="s">
        <v>42</v>
      </c>
      <c r="E2852" t="s">
        <v>43</v>
      </c>
      <c r="F2852" t="s">
        <v>44</v>
      </c>
      <c r="G2852" s="6">
        <v>3395.58</v>
      </c>
      <c r="H2852" s="7">
        <v>0</v>
      </c>
      <c r="I2852" s="6">
        <v>0</v>
      </c>
      <c r="J2852" s="6">
        <v>3395.58</v>
      </c>
      <c r="K2852" t="s">
        <v>5752</v>
      </c>
      <c r="L2852" t="s">
        <v>5753</v>
      </c>
    </row>
    <row r="2853" spans="1:12" ht="15" customHeight="1" x14ac:dyDescent="0.25">
      <c r="A2853">
        <v>2852</v>
      </c>
      <c r="B2853" s="5">
        <v>45852</v>
      </c>
      <c r="C2853" t="s">
        <v>27</v>
      </c>
      <c r="D2853" t="s">
        <v>55</v>
      </c>
      <c r="E2853" t="s">
        <v>56</v>
      </c>
      <c r="F2853" t="s">
        <v>174</v>
      </c>
      <c r="G2853" s="6">
        <v>4496.82</v>
      </c>
      <c r="H2853" s="7">
        <v>5.5E-2</v>
      </c>
      <c r="I2853" s="6">
        <v>247.33</v>
      </c>
      <c r="J2853" s="6">
        <v>4744.1499999999996</v>
      </c>
      <c r="K2853" t="s">
        <v>5754</v>
      </c>
      <c r="L2853" t="s">
        <v>5755</v>
      </c>
    </row>
    <row r="2854" spans="1:12" ht="15" customHeight="1" x14ac:dyDescent="0.25">
      <c r="A2854">
        <v>2853</v>
      </c>
      <c r="B2854" s="5">
        <v>45929</v>
      </c>
      <c r="C2854" t="s">
        <v>47</v>
      </c>
      <c r="D2854" t="s">
        <v>94</v>
      </c>
      <c r="E2854" t="s">
        <v>95</v>
      </c>
      <c r="F2854" t="s">
        <v>44</v>
      </c>
      <c r="G2854" s="6">
        <v>1745.72</v>
      </c>
      <c r="H2854" s="7">
        <v>0</v>
      </c>
      <c r="I2854" s="6">
        <v>0</v>
      </c>
      <c r="J2854" s="6">
        <v>1745.72</v>
      </c>
      <c r="K2854" t="s">
        <v>5756</v>
      </c>
      <c r="L2854" t="s">
        <v>5757</v>
      </c>
    </row>
    <row r="2855" spans="1:12" ht="15" customHeight="1" x14ac:dyDescent="0.25">
      <c r="A2855">
        <v>2854</v>
      </c>
      <c r="B2855" s="5">
        <v>45671</v>
      </c>
      <c r="C2855" t="s">
        <v>47</v>
      </c>
      <c r="D2855" t="s">
        <v>63</v>
      </c>
      <c r="E2855" t="s">
        <v>64</v>
      </c>
      <c r="F2855" t="s">
        <v>50</v>
      </c>
      <c r="G2855" s="6">
        <v>4417.1400000000003</v>
      </c>
      <c r="H2855" s="7">
        <v>0.2</v>
      </c>
      <c r="I2855" s="6">
        <v>883.43</v>
      </c>
      <c r="J2855" s="6">
        <v>5300.57</v>
      </c>
      <c r="K2855" t="s">
        <v>5758</v>
      </c>
      <c r="L2855" t="s">
        <v>5759</v>
      </c>
    </row>
    <row r="2856" spans="1:12" ht="15" customHeight="1" x14ac:dyDescent="0.25">
      <c r="A2856">
        <v>2855</v>
      </c>
      <c r="B2856" s="5">
        <v>45728</v>
      </c>
      <c r="C2856" t="s">
        <v>27</v>
      </c>
      <c r="D2856" t="s">
        <v>28</v>
      </c>
      <c r="E2856" t="s">
        <v>29</v>
      </c>
      <c r="F2856" t="s">
        <v>84</v>
      </c>
      <c r="G2856" s="6">
        <v>4196.83</v>
      </c>
      <c r="H2856" s="7">
        <v>2.1000000000000001E-2</v>
      </c>
      <c r="I2856" s="6">
        <v>88.13</v>
      </c>
      <c r="J2856" s="6">
        <v>4284.96</v>
      </c>
      <c r="K2856" t="s">
        <v>5760</v>
      </c>
      <c r="L2856" t="s">
        <v>5761</v>
      </c>
    </row>
    <row r="2857" spans="1:12" ht="15" customHeight="1" x14ac:dyDescent="0.25">
      <c r="A2857">
        <v>2856</v>
      </c>
      <c r="B2857" s="5">
        <v>45706</v>
      </c>
      <c r="C2857" t="s">
        <v>33</v>
      </c>
      <c r="D2857" t="s">
        <v>55</v>
      </c>
      <c r="E2857" t="s">
        <v>56</v>
      </c>
      <c r="F2857" t="s">
        <v>50</v>
      </c>
      <c r="G2857" s="6">
        <v>4387.8999999999996</v>
      </c>
      <c r="H2857" s="7">
        <v>5.5E-2</v>
      </c>
      <c r="I2857" s="6">
        <v>241.33</v>
      </c>
      <c r="J2857" s="6">
        <v>4629.2299999999996</v>
      </c>
      <c r="K2857" t="s">
        <v>5762</v>
      </c>
      <c r="L2857" t="s">
        <v>5763</v>
      </c>
    </row>
    <row r="2858" spans="1:12" ht="15" customHeight="1" x14ac:dyDescent="0.25">
      <c r="A2858">
        <v>2857</v>
      </c>
      <c r="B2858" s="5">
        <v>45698</v>
      </c>
      <c r="C2858" t="s">
        <v>33</v>
      </c>
      <c r="D2858" t="s">
        <v>28</v>
      </c>
      <c r="E2858" t="s">
        <v>29</v>
      </c>
      <c r="F2858" t="s">
        <v>174</v>
      </c>
      <c r="G2858" s="6">
        <v>1103.32</v>
      </c>
      <c r="H2858" s="7">
        <v>2.1000000000000001E-2</v>
      </c>
      <c r="I2858" s="6">
        <v>23.17</v>
      </c>
      <c r="J2858" s="6">
        <v>1126.49</v>
      </c>
      <c r="K2858" t="s">
        <v>5764</v>
      </c>
      <c r="L2858" t="s">
        <v>5765</v>
      </c>
    </row>
    <row r="2859" spans="1:12" ht="15" customHeight="1" x14ac:dyDescent="0.25">
      <c r="A2859">
        <v>2858</v>
      </c>
      <c r="B2859" s="5">
        <v>45698</v>
      </c>
      <c r="C2859" t="s">
        <v>27</v>
      </c>
      <c r="D2859" t="s">
        <v>42</v>
      </c>
      <c r="E2859" t="s">
        <v>43</v>
      </c>
      <c r="F2859" t="s">
        <v>44</v>
      </c>
      <c r="G2859" s="6">
        <v>3117.45</v>
      </c>
      <c r="H2859" s="7">
        <v>0</v>
      </c>
      <c r="I2859" s="6">
        <v>0</v>
      </c>
      <c r="J2859" s="6">
        <v>3117.45</v>
      </c>
      <c r="K2859" t="s">
        <v>5766</v>
      </c>
      <c r="L2859" t="s">
        <v>5767</v>
      </c>
    </row>
    <row r="2860" spans="1:12" ht="15" customHeight="1" x14ac:dyDescent="0.25">
      <c r="A2860">
        <v>2859</v>
      </c>
      <c r="B2860" s="5">
        <v>45940</v>
      </c>
      <c r="C2860" t="s">
        <v>27</v>
      </c>
      <c r="D2860" t="s">
        <v>172</v>
      </c>
      <c r="E2860" t="s">
        <v>173</v>
      </c>
      <c r="F2860" t="s">
        <v>87</v>
      </c>
      <c r="G2860" s="6">
        <v>2987.92</v>
      </c>
      <c r="H2860" s="7">
        <v>0.2</v>
      </c>
      <c r="I2860" s="6">
        <v>597.58000000000004</v>
      </c>
      <c r="J2860" s="6">
        <v>3585.5</v>
      </c>
      <c r="K2860" t="s">
        <v>5768</v>
      </c>
      <c r="L2860" t="s">
        <v>5769</v>
      </c>
    </row>
    <row r="2861" spans="1:12" ht="15" customHeight="1" x14ac:dyDescent="0.25">
      <c r="A2861">
        <v>2860</v>
      </c>
      <c r="B2861" s="5">
        <v>45873</v>
      </c>
      <c r="C2861" t="s">
        <v>33</v>
      </c>
      <c r="D2861" t="s">
        <v>55</v>
      </c>
      <c r="E2861" t="s">
        <v>56</v>
      </c>
      <c r="F2861" t="s">
        <v>50</v>
      </c>
      <c r="G2861" s="6">
        <v>490.92</v>
      </c>
      <c r="H2861" s="7">
        <v>5.5E-2</v>
      </c>
      <c r="I2861" s="6">
        <v>27</v>
      </c>
      <c r="J2861" s="6">
        <v>517.91999999999996</v>
      </c>
      <c r="K2861" t="s">
        <v>5770</v>
      </c>
      <c r="L2861" t="s">
        <v>5771</v>
      </c>
    </row>
    <row r="2862" spans="1:12" ht="15" customHeight="1" x14ac:dyDescent="0.25">
      <c r="A2862">
        <v>2861</v>
      </c>
      <c r="B2862" s="5">
        <v>45693</v>
      </c>
      <c r="C2862" t="s">
        <v>27</v>
      </c>
      <c r="D2862" t="s">
        <v>28</v>
      </c>
      <c r="E2862" t="s">
        <v>29</v>
      </c>
      <c r="F2862" t="s">
        <v>84</v>
      </c>
      <c r="G2862" s="6">
        <v>496.87</v>
      </c>
      <c r="H2862" s="7">
        <v>2.1000000000000001E-2</v>
      </c>
      <c r="I2862" s="6">
        <v>10.43</v>
      </c>
      <c r="J2862" s="6">
        <v>507.3</v>
      </c>
      <c r="K2862" t="s">
        <v>5772</v>
      </c>
      <c r="L2862" t="s">
        <v>5773</v>
      </c>
    </row>
    <row r="2863" spans="1:12" ht="15" customHeight="1" x14ac:dyDescent="0.25">
      <c r="A2863">
        <v>2862</v>
      </c>
      <c r="B2863" s="5">
        <v>45679</v>
      </c>
      <c r="C2863" t="s">
        <v>33</v>
      </c>
      <c r="D2863" t="s">
        <v>100</v>
      </c>
      <c r="E2863" t="s">
        <v>101</v>
      </c>
      <c r="F2863" t="s">
        <v>44</v>
      </c>
      <c r="G2863" s="6">
        <v>2666.71</v>
      </c>
      <c r="H2863" s="7">
        <v>0</v>
      </c>
      <c r="I2863" s="6">
        <v>0</v>
      </c>
      <c r="J2863" s="6">
        <v>2666.71</v>
      </c>
      <c r="K2863" t="s">
        <v>5774</v>
      </c>
      <c r="L2863" t="s">
        <v>5775</v>
      </c>
    </row>
    <row r="2864" spans="1:12" ht="15" customHeight="1" x14ac:dyDescent="0.25">
      <c r="A2864">
        <v>2863</v>
      </c>
      <c r="B2864" s="5">
        <v>45960</v>
      </c>
      <c r="C2864" t="s">
        <v>33</v>
      </c>
      <c r="D2864" t="s">
        <v>55</v>
      </c>
      <c r="E2864" t="s">
        <v>56</v>
      </c>
      <c r="F2864" t="s">
        <v>71</v>
      </c>
      <c r="G2864" s="6">
        <v>4233.28</v>
      </c>
      <c r="H2864" s="7">
        <v>5.5E-2</v>
      </c>
      <c r="I2864" s="6">
        <v>232.83</v>
      </c>
      <c r="J2864" s="6">
        <v>4466.1099999999997</v>
      </c>
      <c r="K2864" t="s">
        <v>5776</v>
      </c>
      <c r="L2864" t="s">
        <v>5777</v>
      </c>
    </row>
    <row r="2865" spans="1:13" ht="15" customHeight="1" x14ac:dyDescent="0.25">
      <c r="A2865">
        <v>2864</v>
      </c>
      <c r="B2865" s="5">
        <v>46016</v>
      </c>
      <c r="C2865" t="s">
        <v>47</v>
      </c>
      <c r="D2865" t="s">
        <v>28</v>
      </c>
      <c r="E2865" t="s">
        <v>29</v>
      </c>
      <c r="F2865" t="s">
        <v>120</v>
      </c>
      <c r="G2865" s="6">
        <v>3910.78</v>
      </c>
      <c r="H2865" s="7">
        <v>2.1000000000000001E-2</v>
      </c>
      <c r="I2865" s="6">
        <v>82.13</v>
      </c>
      <c r="J2865" s="6">
        <v>3992.91</v>
      </c>
      <c r="K2865" t="s">
        <v>5778</v>
      </c>
      <c r="L2865" t="s">
        <v>5779</v>
      </c>
    </row>
    <row r="2866" spans="1:13" ht="15" customHeight="1" x14ac:dyDescent="0.25">
      <c r="A2866">
        <v>2865</v>
      </c>
      <c r="B2866" s="5">
        <v>46020</v>
      </c>
      <c r="C2866" t="s">
        <v>33</v>
      </c>
      <c r="D2866" t="s">
        <v>79</v>
      </c>
      <c r="E2866" t="s">
        <v>80</v>
      </c>
      <c r="F2866" t="s">
        <v>81</v>
      </c>
      <c r="G2866" s="6">
        <v>639.84</v>
      </c>
      <c r="H2866" s="7">
        <v>0.2</v>
      </c>
      <c r="I2866" s="6">
        <v>127.97</v>
      </c>
      <c r="J2866" s="6">
        <v>767.81</v>
      </c>
      <c r="K2866" t="s">
        <v>5780</v>
      </c>
      <c r="L2866" t="s">
        <v>5781</v>
      </c>
    </row>
    <row r="2867" spans="1:13" ht="15" customHeight="1" x14ac:dyDescent="0.25">
      <c r="A2867">
        <v>2866</v>
      </c>
      <c r="B2867" s="5">
        <v>45866</v>
      </c>
      <c r="C2867" t="s">
        <v>27</v>
      </c>
      <c r="D2867" t="s">
        <v>79</v>
      </c>
      <c r="E2867" t="s">
        <v>80</v>
      </c>
      <c r="F2867" t="s">
        <v>106</v>
      </c>
      <c r="G2867" s="6">
        <v>103.37</v>
      </c>
      <c r="H2867" s="7">
        <v>0.2</v>
      </c>
      <c r="I2867" s="6">
        <v>20.67</v>
      </c>
      <c r="J2867" s="6">
        <v>124.04</v>
      </c>
      <c r="K2867" t="s">
        <v>5782</v>
      </c>
      <c r="L2867" t="s">
        <v>5783</v>
      </c>
    </row>
    <row r="2868" spans="1:13" ht="15" customHeight="1" x14ac:dyDescent="0.25">
      <c r="A2868">
        <v>2867</v>
      </c>
      <c r="B2868" s="5">
        <v>45754</v>
      </c>
      <c r="C2868" t="s">
        <v>27</v>
      </c>
      <c r="D2868" t="s">
        <v>42</v>
      </c>
      <c r="E2868" t="s">
        <v>43</v>
      </c>
      <c r="F2868" t="s">
        <v>44</v>
      </c>
      <c r="G2868" s="6">
        <v>2370.9899999999998</v>
      </c>
      <c r="H2868" s="7">
        <v>0</v>
      </c>
      <c r="I2868" s="6">
        <v>0</v>
      </c>
      <c r="J2868" s="6">
        <v>2370.9899999999998</v>
      </c>
      <c r="K2868" t="s">
        <v>5784</v>
      </c>
      <c r="L2868" t="s">
        <v>5785</v>
      </c>
    </row>
    <row r="2869" spans="1:13" ht="15" customHeight="1" x14ac:dyDescent="0.25">
      <c r="A2869">
        <v>2868</v>
      </c>
      <c r="B2869" s="5">
        <v>45856</v>
      </c>
      <c r="C2869" t="s">
        <v>33</v>
      </c>
      <c r="D2869" t="s">
        <v>181</v>
      </c>
      <c r="E2869" t="s">
        <v>182</v>
      </c>
      <c r="F2869" t="s">
        <v>106</v>
      </c>
      <c r="G2869" s="6">
        <v>930.73</v>
      </c>
      <c r="H2869" s="7">
        <v>0.2</v>
      </c>
      <c r="I2869" s="6">
        <v>186.15</v>
      </c>
      <c r="J2869" s="6">
        <v>1116.8800000000001</v>
      </c>
      <c r="K2869" t="s">
        <v>5786</v>
      </c>
      <c r="L2869" t="s">
        <v>5787</v>
      </c>
    </row>
    <row r="2870" spans="1:13" ht="15" customHeight="1" x14ac:dyDescent="0.25">
      <c r="A2870">
        <v>2869</v>
      </c>
      <c r="B2870" s="5">
        <v>45960</v>
      </c>
      <c r="C2870" t="s">
        <v>47</v>
      </c>
      <c r="D2870" t="s">
        <v>28</v>
      </c>
      <c r="E2870" t="s">
        <v>29</v>
      </c>
      <c r="F2870" t="s">
        <v>65</v>
      </c>
      <c r="G2870" s="6">
        <v>1899.02</v>
      </c>
      <c r="H2870" s="7">
        <v>2.1000000000000001E-2</v>
      </c>
      <c r="I2870" s="6">
        <v>39.880000000000003</v>
      </c>
      <c r="J2870" s="6">
        <v>1938.9</v>
      </c>
      <c r="K2870" t="s">
        <v>5788</v>
      </c>
      <c r="L2870" t="s">
        <v>5789</v>
      </c>
      <c r="M2870" t="s">
        <v>68</v>
      </c>
    </row>
    <row r="2871" spans="1:13" ht="15" customHeight="1" x14ac:dyDescent="0.25">
      <c r="A2871">
        <v>2870</v>
      </c>
      <c r="B2871" s="5">
        <v>45721</v>
      </c>
      <c r="C2871" t="s">
        <v>47</v>
      </c>
      <c r="D2871" t="s">
        <v>55</v>
      </c>
      <c r="E2871" t="s">
        <v>56</v>
      </c>
      <c r="F2871" t="s">
        <v>174</v>
      </c>
      <c r="G2871" s="6">
        <v>3204.52</v>
      </c>
      <c r="H2871" s="7">
        <v>5.5E-2</v>
      </c>
      <c r="I2871" s="6">
        <v>176.25</v>
      </c>
      <c r="J2871" s="6">
        <v>3380.77</v>
      </c>
      <c r="K2871" t="s">
        <v>5790</v>
      </c>
      <c r="L2871" t="s">
        <v>5791</v>
      </c>
    </row>
    <row r="2872" spans="1:13" ht="15" customHeight="1" x14ac:dyDescent="0.25">
      <c r="A2872">
        <v>2871</v>
      </c>
      <c r="B2872" s="5">
        <v>45716</v>
      </c>
      <c r="C2872" t="s">
        <v>27</v>
      </c>
      <c r="D2872" t="s">
        <v>79</v>
      </c>
      <c r="E2872" t="s">
        <v>80</v>
      </c>
      <c r="F2872" t="s">
        <v>71</v>
      </c>
      <c r="G2872" s="6">
        <v>1872.51</v>
      </c>
      <c r="H2872" s="7">
        <v>0.2</v>
      </c>
      <c r="I2872" s="6">
        <v>374.5</v>
      </c>
      <c r="J2872" s="6">
        <v>2247.0100000000002</v>
      </c>
      <c r="K2872" t="s">
        <v>5792</v>
      </c>
      <c r="L2872" t="s">
        <v>5793</v>
      </c>
    </row>
    <row r="2873" spans="1:13" ht="15" customHeight="1" x14ac:dyDescent="0.25">
      <c r="A2873">
        <v>2872</v>
      </c>
      <c r="B2873" s="5">
        <v>45953</v>
      </c>
      <c r="C2873" t="s">
        <v>47</v>
      </c>
      <c r="D2873" t="s">
        <v>42</v>
      </c>
      <c r="E2873" t="s">
        <v>43</v>
      </c>
      <c r="F2873" t="s">
        <v>44</v>
      </c>
      <c r="G2873" s="6">
        <v>3337.97</v>
      </c>
      <c r="H2873" s="7">
        <v>0</v>
      </c>
      <c r="I2873" s="6">
        <v>0</v>
      </c>
      <c r="J2873" s="6">
        <v>3337.97</v>
      </c>
      <c r="K2873" t="s">
        <v>5794</v>
      </c>
      <c r="L2873" t="s">
        <v>5795</v>
      </c>
    </row>
    <row r="2874" spans="1:13" ht="15" customHeight="1" x14ac:dyDescent="0.25">
      <c r="A2874">
        <v>2873</v>
      </c>
      <c r="B2874" s="5">
        <v>46022</v>
      </c>
      <c r="C2874" t="s">
        <v>27</v>
      </c>
      <c r="D2874" t="s">
        <v>55</v>
      </c>
      <c r="E2874" t="s">
        <v>56</v>
      </c>
      <c r="F2874" t="s">
        <v>71</v>
      </c>
      <c r="G2874" s="6">
        <v>257.70999999999998</v>
      </c>
      <c r="H2874" s="7">
        <v>5.5E-2</v>
      </c>
      <c r="I2874" s="6">
        <v>14.17</v>
      </c>
      <c r="J2874" s="6">
        <v>271.88</v>
      </c>
      <c r="K2874" t="s">
        <v>5796</v>
      </c>
      <c r="L2874" t="s">
        <v>5797</v>
      </c>
    </row>
    <row r="2875" spans="1:13" ht="15" customHeight="1" x14ac:dyDescent="0.25">
      <c r="A2875">
        <v>2874</v>
      </c>
      <c r="B2875" s="5">
        <v>46008</v>
      </c>
      <c r="C2875" t="s">
        <v>33</v>
      </c>
      <c r="D2875" t="s">
        <v>42</v>
      </c>
      <c r="E2875" t="s">
        <v>43</v>
      </c>
      <c r="F2875" t="s">
        <v>44</v>
      </c>
      <c r="G2875" s="6">
        <v>4116.53</v>
      </c>
      <c r="H2875" s="7">
        <v>0</v>
      </c>
      <c r="I2875" s="6">
        <v>0</v>
      </c>
      <c r="J2875" s="6">
        <v>4116.53</v>
      </c>
      <c r="K2875" t="s">
        <v>5798</v>
      </c>
      <c r="L2875" t="s">
        <v>5799</v>
      </c>
    </row>
    <row r="2876" spans="1:13" ht="15" customHeight="1" x14ac:dyDescent="0.25">
      <c r="A2876">
        <v>2875</v>
      </c>
      <c r="B2876" s="5">
        <v>45765</v>
      </c>
      <c r="C2876" t="s">
        <v>33</v>
      </c>
      <c r="D2876" t="s">
        <v>172</v>
      </c>
      <c r="E2876" t="s">
        <v>173</v>
      </c>
      <c r="F2876" t="s">
        <v>81</v>
      </c>
      <c r="G2876" s="6">
        <v>3250.19</v>
      </c>
      <c r="H2876" s="7">
        <v>0.2</v>
      </c>
      <c r="I2876" s="6">
        <v>650.04</v>
      </c>
      <c r="J2876" s="6">
        <v>3900.23</v>
      </c>
      <c r="K2876" t="s">
        <v>5800</v>
      </c>
      <c r="L2876" t="s">
        <v>5801</v>
      </c>
    </row>
    <row r="2877" spans="1:13" ht="15" customHeight="1" x14ac:dyDescent="0.25">
      <c r="A2877">
        <v>2876</v>
      </c>
      <c r="B2877" s="5">
        <v>45763</v>
      </c>
      <c r="C2877" t="s">
        <v>47</v>
      </c>
      <c r="D2877" t="s">
        <v>28</v>
      </c>
      <c r="E2877" t="s">
        <v>29</v>
      </c>
      <c r="F2877" t="s">
        <v>30</v>
      </c>
      <c r="G2877" s="6">
        <v>2056.0700000000002</v>
      </c>
      <c r="H2877" s="7">
        <v>2.1000000000000001E-2</v>
      </c>
      <c r="I2877" s="6">
        <v>43.18</v>
      </c>
      <c r="J2877" s="6">
        <v>2099.25</v>
      </c>
      <c r="K2877" t="s">
        <v>5802</v>
      </c>
      <c r="L2877" t="s">
        <v>5803</v>
      </c>
    </row>
    <row r="2878" spans="1:13" ht="15" customHeight="1" x14ac:dyDescent="0.25">
      <c r="A2878">
        <v>2877</v>
      </c>
      <c r="B2878" s="5">
        <v>45846</v>
      </c>
      <c r="C2878" t="s">
        <v>27</v>
      </c>
      <c r="D2878" t="s">
        <v>42</v>
      </c>
      <c r="E2878" t="s">
        <v>43</v>
      </c>
      <c r="F2878" t="s">
        <v>44</v>
      </c>
      <c r="G2878" s="6">
        <v>2786.7</v>
      </c>
      <c r="H2878" s="7">
        <v>0</v>
      </c>
      <c r="I2878" s="6">
        <v>0</v>
      </c>
      <c r="J2878" s="6">
        <v>2786.7</v>
      </c>
      <c r="K2878" t="s">
        <v>5804</v>
      </c>
      <c r="L2878" t="s">
        <v>5805</v>
      </c>
    </row>
    <row r="2879" spans="1:13" ht="15" customHeight="1" x14ac:dyDescent="0.25">
      <c r="A2879">
        <v>2878</v>
      </c>
      <c r="B2879" s="5">
        <v>45761</v>
      </c>
      <c r="C2879" t="s">
        <v>27</v>
      </c>
      <c r="D2879" t="s">
        <v>34</v>
      </c>
      <c r="E2879" t="s">
        <v>35</v>
      </c>
      <c r="F2879" t="s">
        <v>30</v>
      </c>
      <c r="G2879" s="6">
        <v>3871.28</v>
      </c>
      <c r="H2879" s="7">
        <v>0.2</v>
      </c>
      <c r="I2879" s="6">
        <v>774.26</v>
      </c>
      <c r="J2879" s="6">
        <v>4645.54</v>
      </c>
      <c r="K2879" t="s">
        <v>5806</v>
      </c>
      <c r="L2879" t="s">
        <v>5807</v>
      </c>
    </row>
    <row r="2880" spans="1:13" ht="15" customHeight="1" x14ac:dyDescent="0.25">
      <c r="A2880">
        <v>2879</v>
      </c>
      <c r="B2880" s="5">
        <v>45782</v>
      </c>
      <c r="C2880" t="s">
        <v>47</v>
      </c>
      <c r="D2880" t="s">
        <v>55</v>
      </c>
      <c r="E2880" t="s">
        <v>56</v>
      </c>
      <c r="F2880" t="s">
        <v>174</v>
      </c>
      <c r="G2880" s="6">
        <v>2245.42</v>
      </c>
      <c r="H2880" s="7">
        <v>5.5E-2</v>
      </c>
      <c r="I2880" s="6">
        <v>123.5</v>
      </c>
      <c r="J2880" s="6">
        <v>2368.92</v>
      </c>
      <c r="K2880" t="s">
        <v>5808</v>
      </c>
      <c r="L2880" t="s">
        <v>5809</v>
      </c>
    </row>
    <row r="2881" spans="1:13" ht="15" customHeight="1" x14ac:dyDescent="0.25">
      <c r="A2881">
        <v>2880</v>
      </c>
      <c r="B2881" s="5">
        <v>45895</v>
      </c>
      <c r="C2881" t="s">
        <v>33</v>
      </c>
      <c r="D2881" t="s">
        <v>55</v>
      </c>
      <c r="E2881" t="s">
        <v>56</v>
      </c>
      <c r="F2881" t="s">
        <v>39</v>
      </c>
      <c r="G2881" s="6">
        <v>781.03</v>
      </c>
      <c r="H2881" s="7">
        <v>5.5E-2</v>
      </c>
      <c r="I2881" s="6">
        <v>42.96</v>
      </c>
      <c r="J2881" s="6">
        <v>823.99</v>
      </c>
      <c r="K2881" t="s">
        <v>5810</v>
      </c>
      <c r="L2881" t="s">
        <v>5811</v>
      </c>
    </row>
    <row r="2882" spans="1:13" ht="15" customHeight="1" x14ac:dyDescent="0.25">
      <c r="A2882">
        <v>2881</v>
      </c>
      <c r="B2882" s="5">
        <v>45762</v>
      </c>
      <c r="C2882" t="s">
        <v>47</v>
      </c>
      <c r="D2882" t="s">
        <v>172</v>
      </c>
      <c r="E2882" t="s">
        <v>173</v>
      </c>
      <c r="F2882" t="s">
        <v>174</v>
      </c>
      <c r="G2882" s="6">
        <v>1907.25</v>
      </c>
      <c r="H2882" s="7">
        <v>0.2</v>
      </c>
      <c r="I2882" s="6">
        <v>381.45</v>
      </c>
      <c r="J2882" s="6">
        <v>2288.6999999999998</v>
      </c>
      <c r="K2882" t="s">
        <v>5812</v>
      </c>
      <c r="L2882" t="s">
        <v>5813</v>
      </c>
    </row>
    <row r="2883" spans="1:13" ht="15" customHeight="1" x14ac:dyDescent="0.25">
      <c r="A2883">
        <v>2882</v>
      </c>
      <c r="B2883" s="5">
        <v>45876</v>
      </c>
      <c r="C2883" t="s">
        <v>47</v>
      </c>
      <c r="D2883" t="s">
        <v>55</v>
      </c>
      <c r="E2883" t="s">
        <v>56</v>
      </c>
      <c r="F2883" t="s">
        <v>76</v>
      </c>
      <c r="G2883" s="6">
        <v>3479.22</v>
      </c>
      <c r="H2883" s="7">
        <v>5.5E-2</v>
      </c>
      <c r="I2883" s="6">
        <v>191.36</v>
      </c>
      <c r="J2883" s="6">
        <v>3670.58</v>
      </c>
      <c r="K2883" t="s">
        <v>5814</v>
      </c>
      <c r="L2883" t="s">
        <v>5815</v>
      </c>
    </row>
    <row r="2884" spans="1:13" ht="15" customHeight="1" x14ac:dyDescent="0.25">
      <c r="A2884">
        <v>2883</v>
      </c>
      <c r="B2884" s="5">
        <v>45890</v>
      </c>
      <c r="C2884" t="s">
        <v>27</v>
      </c>
      <c r="D2884" t="s">
        <v>28</v>
      </c>
      <c r="E2884" t="s">
        <v>29</v>
      </c>
      <c r="F2884" t="s">
        <v>120</v>
      </c>
      <c r="G2884" s="6">
        <v>1617.47</v>
      </c>
      <c r="H2884" s="7">
        <v>2.1000000000000001E-2</v>
      </c>
      <c r="I2884" s="6">
        <v>33.97</v>
      </c>
      <c r="J2884" s="6">
        <v>1651.44</v>
      </c>
      <c r="K2884" t="s">
        <v>5816</v>
      </c>
      <c r="L2884" t="s">
        <v>5817</v>
      </c>
    </row>
    <row r="2885" spans="1:13" ht="15" customHeight="1" x14ac:dyDescent="0.25">
      <c r="A2885">
        <v>2884</v>
      </c>
      <c r="B2885" s="5">
        <v>45799</v>
      </c>
      <c r="C2885" t="s">
        <v>47</v>
      </c>
      <c r="D2885" t="s">
        <v>28</v>
      </c>
      <c r="E2885" t="s">
        <v>29</v>
      </c>
      <c r="F2885" t="s">
        <v>561</v>
      </c>
      <c r="G2885" s="6">
        <v>3790.45</v>
      </c>
      <c r="H2885" s="7">
        <v>2.1000000000000001E-2</v>
      </c>
      <c r="I2885" s="6">
        <v>79.599999999999994</v>
      </c>
      <c r="J2885" s="6">
        <v>3870.05</v>
      </c>
      <c r="K2885" t="s">
        <v>5818</v>
      </c>
      <c r="L2885" t="s">
        <v>5819</v>
      </c>
      <c r="M2885" t="s">
        <v>68</v>
      </c>
    </row>
    <row r="2886" spans="1:13" ht="15" customHeight="1" x14ac:dyDescent="0.25">
      <c r="A2886">
        <v>2885</v>
      </c>
      <c r="B2886" s="5">
        <v>45882</v>
      </c>
      <c r="C2886" t="s">
        <v>33</v>
      </c>
      <c r="D2886" t="s">
        <v>79</v>
      </c>
      <c r="E2886" t="s">
        <v>80</v>
      </c>
      <c r="F2886" t="s">
        <v>39</v>
      </c>
      <c r="G2886" s="6">
        <v>4079.24</v>
      </c>
      <c r="H2886" s="7">
        <v>0.2</v>
      </c>
      <c r="I2886" s="6">
        <v>815.85</v>
      </c>
      <c r="J2886" s="6">
        <v>4895.09</v>
      </c>
      <c r="K2886" t="s">
        <v>5820</v>
      </c>
      <c r="L2886" t="s">
        <v>5821</v>
      </c>
    </row>
    <row r="2887" spans="1:13" ht="15" customHeight="1" x14ac:dyDescent="0.25">
      <c r="A2887">
        <v>2886</v>
      </c>
      <c r="B2887" s="5">
        <v>45854</v>
      </c>
      <c r="C2887" t="s">
        <v>33</v>
      </c>
      <c r="D2887" t="s">
        <v>181</v>
      </c>
      <c r="E2887" t="s">
        <v>182</v>
      </c>
      <c r="F2887" t="s">
        <v>106</v>
      </c>
      <c r="G2887" s="6">
        <v>1047.42</v>
      </c>
      <c r="H2887" s="7">
        <v>0.2</v>
      </c>
      <c r="I2887" s="6">
        <v>209.48</v>
      </c>
      <c r="J2887" s="6">
        <v>1256.9000000000001</v>
      </c>
      <c r="K2887" t="s">
        <v>5822</v>
      </c>
      <c r="L2887" t="s">
        <v>5823</v>
      </c>
    </row>
    <row r="2888" spans="1:13" ht="15" customHeight="1" x14ac:dyDescent="0.25">
      <c r="A2888">
        <v>2887</v>
      </c>
      <c r="B2888" s="5">
        <v>45714</v>
      </c>
      <c r="C2888" t="s">
        <v>27</v>
      </c>
      <c r="D2888" t="s">
        <v>100</v>
      </c>
      <c r="E2888" t="s">
        <v>101</v>
      </c>
      <c r="F2888" t="s">
        <v>44</v>
      </c>
      <c r="G2888" s="6">
        <v>2690</v>
      </c>
      <c r="H2888" s="7">
        <v>0</v>
      </c>
      <c r="I2888" s="6">
        <v>0</v>
      </c>
      <c r="J2888" s="6">
        <v>2690</v>
      </c>
      <c r="K2888" t="s">
        <v>5824</v>
      </c>
      <c r="L2888" t="s">
        <v>5482</v>
      </c>
    </row>
    <row r="2889" spans="1:13" ht="15" customHeight="1" x14ac:dyDescent="0.25">
      <c r="A2889">
        <v>2888</v>
      </c>
      <c r="B2889" s="5">
        <v>45995</v>
      </c>
      <c r="C2889" t="s">
        <v>27</v>
      </c>
      <c r="D2889" t="s">
        <v>28</v>
      </c>
      <c r="E2889" t="s">
        <v>29</v>
      </c>
      <c r="F2889" t="s">
        <v>174</v>
      </c>
      <c r="G2889" s="6">
        <v>2362.84</v>
      </c>
      <c r="H2889" s="7">
        <v>2.1000000000000001E-2</v>
      </c>
      <c r="I2889" s="6">
        <v>49.62</v>
      </c>
      <c r="J2889" s="6">
        <v>2412.46</v>
      </c>
      <c r="K2889" t="s">
        <v>5825</v>
      </c>
      <c r="L2889" t="s">
        <v>5826</v>
      </c>
    </row>
    <row r="2890" spans="1:13" ht="15" customHeight="1" x14ac:dyDescent="0.25">
      <c r="A2890">
        <v>2889</v>
      </c>
      <c r="B2890" s="5">
        <v>45712</v>
      </c>
      <c r="C2890" t="s">
        <v>47</v>
      </c>
      <c r="D2890" t="s">
        <v>28</v>
      </c>
      <c r="E2890" t="s">
        <v>29</v>
      </c>
      <c r="F2890" t="s">
        <v>174</v>
      </c>
      <c r="G2890" s="6">
        <v>1146.22</v>
      </c>
      <c r="H2890" s="7">
        <v>2.1000000000000001E-2</v>
      </c>
      <c r="I2890" s="6">
        <v>24.07</v>
      </c>
      <c r="J2890" s="6">
        <v>1170.29</v>
      </c>
      <c r="K2890" t="s">
        <v>5827</v>
      </c>
      <c r="L2890" t="s">
        <v>5828</v>
      </c>
    </row>
    <row r="2891" spans="1:13" ht="15" customHeight="1" x14ac:dyDescent="0.25">
      <c r="A2891">
        <v>2890</v>
      </c>
      <c r="B2891" s="5">
        <v>46000</v>
      </c>
      <c r="C2891" t="s">
        <v>33</v>
      </c>
      <c r="D2891" t="s">
        <v>42</v>
      </c>
      <c r="E2891" t="s">
        <v>43</v>
      </c>
      <c r="F2891" t="s">
        <v>44</v>
      </c>
      <c r="G2891" s="6">
        <v>3854.04</v>
      </c>
      <c r="H2891" s="7">
        <v>0</v>
      </c>
      <c r="I2891" s="6">
        <v>0</v>
      </c>
      <c r="J2891" s="6">
        <v>3854.04</v>
      </c>
      <c r="K2891" t="s">
        <v>5829</v>
      </c>
      <c r="L2891" t="s">
        <v>5830</v>
      </c>
    </row>
    <row r="2892" spans="1:13" ht="15" customHeight="1" x14ac:dyDescent="0.25">
      <c r="A2892">
        <v>2891</v>
      </c>
      <c r="B2892" s="5">
        <v>45979</v>
      </c>
      <c r="C2892" t="s">
        <v>27</v>
      </c>
      <c r="D2892" t="s">
        <v>100</v>
      </c>
      <c r="E2892" t="s">
        <v>101</v>
      </c>
      <c r="F2892" t="s">
        <v>44</v>
      </c>
      <c r="G2892" s="6">
        <v>3067.99</v>
      </c>
      <c r="H2892" s="7">
        <v>0</v>
      </c>
      <c r="I2892" s="6">
        <v>0</v>
      </c>
      <c r="J2892" s="6">
        <v>3067.99</v>
      </c>
      <c r="K2892" t="s">
        <v>5831</v>
      </c>
      <c r="L2892" t="s">
        <v>5832</v>
      </c>
    </row>
    <row r="2893" spans="1:13" ht="15" customHeight="1" x14ac:dyDescent="0.25">
      <c r="A2893">
        <v>2892</v>
      </c>
      <c r="B2893" s="5">
        <v>45832</v>
      </c>
      <c r="C2893" t="s">
        <v>33</v>
      </c>
      <c r="D2893" t="s">
        <v>55</v>
      </c>
      <c r="E2893" t="s">
        <v>56</v>
      </c>
      <c r="F2893" t="s">
        <v>71</v>
      </c>
      <c r="G2893" s="6">
        <v>86.46</v>
      </c>
      <c r="H2893" s="7">
        <v>5.5E-2</v>
      </c>
      <c r="I2893" s="6">
        <v>4.76</v>
      </c>
      <c r="J2893" s="6">
        <v>91.22</v>
      </c>
      <c r="K2893" t="s">
        <v>5833</v>
      </c>
      <c r="L2893" t="s">
        <v>5834</v>
      </c>
    </row>
    <row r="2894" spans="1:13" ht="15" customHeight="1" x14ac:dyDescent="0.25">
      <c r="A2894">
        <v>2893</v>
      </c>
      <c r="B2894" s="5">
        <v>45875</v>
      </c>
      <c r="C2894" t="s">
        <v>33</v>
      </c>
      <c r="D2894" t="s">
        <v>42</v>
      </c>
      <c r="E2894" t="s">
        <v>43</v>
      </c>
      <c r="F2894" t="s">
        <v>44</v>
      </c>
      <c r="G2894" s="6">
        <v>3731.02</v>
      </c>
      <c r="H2894" s="7">
        <v>0</v>
      </c>
      <c r="I2894" s="6">
        <v>0</v>
      </c>
      <c r="J2894" s="6">
        <v>3731.02</v>
      </c>
      <c r="K2894" t="s">
        <v>5835</v>
      </c>
      <c r="L2894" t="s">
        <v>5836</v>
      </c>
    </row>
    <row r="2895" spans="1:13" ht="15" customHeight="1" x14ac:dyDescent="0.25">
      <c r="A2895">
        <v>2894</v>
      </c>
      <c r="B2895" s="5">
        <v>46000</v>
      </c>
      <c r="C2895" t="s">
        <v>33</v>
      </c>
      <c r="D2895" t="s">
        <v>181</v>
      </c>
      <c r="E2895" t="s">
        <v>182</v>
      </c>
      <c r="F2895" t="s">
        <v>84</v>
      </c>
      <c r="G2895" s="6">
        <v>3801.24</v>
      </c>
      <c r="H2895" s="7">
        <v>0.2</v>
      </c>
      <c r="I2895" s="6">
        <v>760.25</v>
      </c>
      <c r="J2895" s="6">
        <v>4561.49</v>
      </c>
      <c r="K2895" t="s">
        <v>5837</v>
      </c>
      <c r="L2895" t="s">
        <v>5838</v>
      </c>
    </row>
    <row r="2896" spans="1:13" ht="15" customHeight="1" x14ac:dyDescent="0.25">
      <c r="A2896">
        <v>2895</v>
      </c>
      <c r="B2896" s="5">
        <v>45852</v>
      </c>
      <c r="C2896" t="s">
        <v>27</v>
      </c>
      <c r="D2896" t="s">
        <v>55</v>
      </c>
      <c r="E2896" t="s">
        <v>56</v>
      </c>
      <c r="F2896" t="s">
        <v>71</v>
      </c>
      <c r="G2896" s="6">
        <v>2165.6</v>
      </c>
      <c r="H2896" s="7">
        <v>5.5E-2</v>
      </c>
      <c r="I2896" s="6">
        <v>119.11</v>
      </c>
      <c r="J2896" s="6">
        <v>2284.71</v>
      </c>
      <c r="K2896" t="s">
        <v>5839</v>
      </c>
      <c r="L2896" t="s">
        <v>5840</v>
      </c>
    </row>
    <row r="2897" spans="1:13" ht="15" customHeight="1" x14ac:dyDescent="0.25">
      <c r="A2897">
        <v>2896</v>
      </c>
      <c r="B2897" s="5">
        <v>45840</v>
      </c>
      <c r="C2897" t="s">
        <v>47</v>
      </c>
      <c r="D2897" t="s">
        <v>28</v>
      </c>
      <c r="E2897" t="s">
        <v>29</v>
      </c>
      <c r="F2897" t="s">
        <v>71</v>
      </c>
      <c r="G2897" s="6">
        <v>2163.52</v>
      </c>
      <c r="H2897" s="7">
        <v>2.1000000000000001E-2</v>
      </c>
      <c r="I2897" s="6">
        <v>45.43</v>
      </c>
      <c r="J2897" s="6">
        <v>2208.9499999999998</v>
      </c>
      <c r="K2897" t="s">
        <v>5841</v>
      </c>
      <c r="L2897" t="s">
        <v>5842</v>
      </c>
    </row>
    <row r="2898" spans="1:13" ht="15" customHeight="1" x14ac:dyDescent="0.25">
      <c r="A2898">
        <v>2897</v>
      </c>
      <c r="B2898" s="5">
        <v>45945</v>
      </c>
      <c r="C2898" t="s">
        <v>47</v>
      </c>
      <c r="D2898" t="s">
        <v>79</v>
      </c>
      <c r="E2898" t="s">
        <v>80</v>
      </c>
      <c r="F2898" t="s">
        <v>87</v>
      </c>
      <c r="G2898" s="6">
        <v>152.63</v>
      </c>
      <c r="H2898" s="7">
        <v>0.2</v>
      </c>
      <c r="I2898" s="6">
        <v>30.53</v>
      </c>
      <c r="J2898" s="6">
        <v>183.16</v>
      </c>
      <c r="K2898" t="s">
        <v>5843</v>
      </c>
      <c r="L2898" t="s">
        <v>5844</v>
      </c>
    </row>
    <row r="2899" spans="1:13" ht="15" customHeight="1" x14ac:dyDescent="0.25">
      <c r="A2899">
        <v>2898</v>
      </c>
      <c r="B2899" s="5">
        <v>45776</v>
      </c>
      <c r="C2899" t="s">
        <v>27</v>
      </c>
      <c r="D2899" t="s">
        <v>100</v>
      </c>
      <c r="E2899" t="s">
        <v>101</v>
      </c>
      <c r="F2899" t="s">
        <v>44</v>
      </c>
      <c r="G2899" s="6">
        <v>1905.3</v>
      </c>
      <c r="H2899" s="7">
        <v>0</v>
      </c>
      <c r="I2899" s="6">
        <v>0</v>
      </c>
      <c r="J2899" s="6">
        <v>1905.3</v>
      </c>
      <c r="K2899" t="s">
        <v>5845</v>
      </c>
      <c r="L2899" t="s">
        <v>5846</v>
      </c>
    </row>
    <row r="2900" spans="1:13" ht="15" customHeight="1" x14ac:dyDescent="0.25">
      <c r="A2900">
        <v>2899</v>
      </c>
      <c r="B2900" s="5">
        <v>45695</v>
      </c>
      <c r="C2900" t="s">
        <v>47</v>
      </c>
      <c r="D2900" t="s">
        <v>172</v>
      </c>
      <c r="E2900" t="s">
        <v>173</v>
      </c>
      <c r="F2900" t="s">
        <v>106</v>
      </c>
      <c r="G2900" s="6">
        <v>533.55999999999995</v>
      </c>
      <c r="H2900" s="7">
        <v>0.2</v>
      </c>
      <c r="I2900" s="6">
        <v>106.71</v>
      </c>
      <c r="J2900" s="6">
        <v>640.27</v>
      </c>
      <c r="K2900" t="s">
        <v>5847</v>
      </c>
      <c r="L2900" t="s">
        <v>5848</v>
      </c>
    </row>
    <row r="2901" spans="1:13" ht="15" customHeight="1" x14ac:dyDescent="0.25">
      <c r="A2901">
        <v>2900</v>
      </c>
      <c r="B2901" s="5">
        <v>45769</v>
      </c>
      <c r="C2901" t="s">
        <v>27</v>
      </c>
      <c r="D2901" t="s">
        <v>28</v>
      </c>
      <c r="E2901" t="s">
        <v>29</v>
      </c>
      <c r="F2901" t="s">
        <v>39</v>
      </c>
      <c r="G2901" s="6">
        <v>1719.28</v>
      </c>
      <c r="H2901" s="7">
        <v>2.1000000000000001E-2</v>
      </c>
      <c r="I2901" s="6">
        <v>36.1</v>
      </c>
      <c r="J2901" s="6">
        <v>1755.38</v>
      </c>
      <c r="K2901" t="s">
        <v>5849</v>
      </c>
      <c r="L2901" t="s">
        <v>5850</v>
      </c>
    </row>
    <row r="2902" spans="1:13" ht="15" customHeight="1" x14ac:dyDescent="0.25">
      <c r="A2902">
        <v>2901</v>
      </c>
      <c r="B2902" s="5">
        <v>45867</v>
      </c>
      <c r="C2902" t="s">
        <v>33</v>
      </c>
      <c r="D2902" t="s">
        <v>100</v>
      </c>
      <c r="E2902" t="s">
        <v>101</v>
      </c>
      <c r="F2902" t="s">
        <v>44</v>
      </c>
      <c r="G2902" s="6">
        <v>2472.9899999999998</v>
      </c>
      <c r="H2902" s="7">
        <v>0</v>
      </c>
      <c r="I2902" s="6">
        <v>0</v>
      </c>
      <c r="J2902" s="6">
        <v>2472.9899999999998</v>
      </c>
      <c r="K2902" t="s">
        <v>5851</v>
      </c>
      <c r="L2902" t="s">
        <v>5852</v>
      </c>
    </row>
    <row r="2903" spans="1:13" ht="15" customHeight="1" x14ac:dyDescent="0.25">
      <c r="A2903">
        <v>2902</v>
      </c>
      <c r="B2903" s="5">
        <v>45705</v>
      </c>
      <c r="C2903" t="s">
        <v>47</v>
      </c>
      <c r="D2903" t="s">
        <v>100</v>
      </c>
      <c r="E2903" t="s">
        <v>101</v>
      </c>
      <c r="F2903" t="s">
        <v>44</v>
      </c>
      <c r="G2903" s="6">
        <v>2368.1</v>
      </c>
      <c r="H2903" s="7">
        <v>0</v>
      </c>
      <c r="I2903" s="6">
        <v>0</v>
      </c>
      <c r="J2903" s="6">
        <v>2368.1</v>
      </c>
      <c r="K2903" t="s">
        <v>5853</v>
      </c>
      <c r="L2903" t="s">
        <v>5854</v>
      </c>
    </row>
    <row r="2904" spans="1:13" ht="15" customHeight="1" x14ac:dyDescent="0.25">
      <c r="A2904">
        <v>2903</v>
      </c>
      <c r="B2904" s="5">
        <v>45964</v>
      </c>
      <c r="C2904" t="s">
        <v>33</v>
      </c>
      <c r="D2904" t="s">
        <v>42</v>
      </c>
      <c r="E2904" t="s">
        <v>43</v>
      </c>
      <c r="F2904" t="s">
        <v>44</v>
      </c>
      <c r="G2904" s="6">
        <v>33567.29</v>
      </c>
      <c r="H2904" s="7">
        <v>0</v>
      </c>
      <c r="I2904" s="6">
        <v>0</v>
      </c>
      <c r="J2904" s="6">
        <v>33567.29</v>
      </c>
      <c r="K2904" t="s">
        <v>5855</v>
      </c>
      <c r="L2904" t="s">
        <v>5856</v>
      </c>
      <c r="M2904" t="s">
        <v>580</v>
      </c>
    </row>
    <row r="2905" spans="1:13" ht="15" customHeight="1" x14ac:dyDescent="0.25">
      <c r="A2905">
        <v>2904</v>
      </c>
      <c r="B2905" s="5">
        <v>46010</v>
      </c>
      <c r="C2905" t="s">
        <v>33</v>
      </c>
      <c r="D2905" t="s">
        <v>28</v>
      </c>
      <c r="E2905" t="s">
        <v>29</v>
      </c>
      <c r="F2905" t="s">
        <v>30</v>
      </c>
      <c r="G2905" s="6">
        <v>1304.7</v>
      </c>
      <c r="H2905" s="7">
        <v>2.1000000000000001E-2</v>
      </c>
      <c r="I2905" s="6">
        <v>27.4</v>
      </c>
      <c r="J2905" s="6">
        <v>1332.1</v>
      </c>
      <c r="K2905" t="s">
        <v>5857</v>
      </c>
      <c r="L2905" t="s">
        <v>5858</v>
      </c>
    </row>
    <row r="2906" spans="1:13" ht="15" customHeight="1" x14ac:dyDescent="0.25">
      <c r="A2906">
        <v>2905</v>
      </c>
      <c r="B2906" s="5">
        <v>45908</v>
      </c>
      <c r="C2906" t="s">
        <v>27</v>
      </c>
      <c r="D2906" t="s">
        <v>42</v>
      </c>
      <c r="E2906" t="s">
        <v>43</v>
      </c>
      <c r="F2906" t="s">
        <v>44</v>
      </c>
      <c r="G2906" s="6">
        <v>2319.2600000000002</v>
      </c>
      <c r="H2906" s="7">
        <v>0</v>
      </c>
      <c r="I2906" s="6">
        <v>0</v>
      </c>
      <c r="J2906" s="6">
        <v>2319.2600000000002</v>
      </c>
      <c r="K2906" t="s">
        <v>5859</v>
      </c>
      <c r="L2906" t="s">
        <v>5860</v>
      </c>
    </row>
    <row r="2907" spans="1:13" ht="15" customHeight="1" x14ac:dyDescent="0.25">
      <c r="A2907">
        <v>2906</v>
      </c>
      <c r="B2907" s="5">
        <v>45915</v>
      </c>
      <c r="C2907" t="s">
        <v>47</v>
      </c>
      <c r="D2907" t="s">
        <v>28</v>
      </c>
      <c r="E2907" t="s">
        <v>29</v>
      </c>
      <c r="F2907" t="s">
        <v>84</v>
      </c>
      <c r="G2907" s="6">
        <v>2656.33</v>
      </c>
      <c r="H2907" s="7">
        <v>2.1000000000000001E-2</v>
      </c>
      <c r="I2907" s="6">
        <v>55.78</v>
      </c>
      <c r="J2907" s="6">
        <v>2712.11</v>
      </c>
      <c r="K2907" t="s">
        <v>5861</v>
      </c>
      <c r="L2907" t="s">
        <v>5862</v>
      </c>
    </row>
    <row r="2908" spans="1:13" ht="15" customHeight="1" x14ac:dyDescent="0.25">
      <c r="A2908">
        <v>2907</v>
      </c>
      <c r="B2908" s="5">
        <v>45840</v>
      </c>
      <c r="C2908" t="s">
        <v>33</v>
      </c>
      <c r="D2908" t="s">
        <v>63</v>
      </c>
      <c r="E2908" t="s">
        <v>64</v>
      </c>
      <c r="F2908" t="s">
        <v>106</v>
      </c>
      <c r="G2908" s="6">
        <v>3409.71</v>
      </c>
      <c r="H2908" s="7">
        <v>0.2</v>
      </c>
      <c r="I2908" s="6">
        <v>681.94</v>
      </c>
      <c r="J2908" s="6">
        <v>4091.65</v>
      </c>
      <c r="K2908" t="s">
        <v>5863</v>
      </c>
      <c r="L2908" t="s">
        <v>5864</v>
      </c>
    </row>
    <row r="2909" spans="1:13" ht="15" customHeight="1" x14ac:dyDescent="0.25">
      <c r="A2909">
        <v>2908</v>
      </c>
      <c r="B2909" s="5">
        <v>45707</v>
      </c>
      <c r="C2909" t="s">
        <v>33</v>
      </c>
      <c r="D2909" t="s">
        <v>28</v>
      </c>
      <c r="E2909" t="s">
        <v>29</v>
      </c>
      <c r="F2909" t="s">
        <v>84</v>
      </c>
      <c r="G2909" s="6">
        <v>4414.72</v>
      </c>
      <c r="H2909" s="7">
        <v>2.1000000000000001E-2</v>
      </c>
      <c r="I2909" s="6">
        <v>92.71</v>
      </c>
      <c r="J2909" s="6">
        <v>4507.43</v>
      </c>
      <c r="K2909" t="s">
        <v>5865</v>
      </c>
      <c r="L2909" t="s">
        <v>5866</v>
      </c>
    </row>
    <row r="2910" spans="1:13" ht="15" customHeight="1" x14ac:dyDescent="0.25">
      <c r="A2910">
        <v>2909</v>
      </c>
      <c r="B2910" s="5">
        <v>45777</v>
      </c>
      <c r="C2910" t="s">
        <v>27</v>
      </c>
      <c r="D2910" t="s">
        <v>55</v>
      </c>
      <c r="E2910" t="s">
        <v>56</v>
      </c>
      <c r="F2910" t="s">
        <v>81</v>
      </c>
      <c r="G2910" s="6">
        <v>3339.64</v>
      </c>
      <c r="H2910" s="7">
        <v>5.5E-2</v>
      </c>
      <c r="I2910" s="6">
        <v>183.68</v>
      </c>
      <c r="J2910" s="6">
        <v>3523.32</v>
      </c>
      <c r="K2910" t="s">
        <v>5867</v>
      </c>
      <c r="L2910" t="s">
        <v>5868</v>
      </c>
    </row>
    <row r="2911" spans="1:13" ht="15" customHeight="1" x14ac:dyDescent="0.25">
      <c r="A2911">
        <v>2910</v>
      </c>
      <c r="B2911" s="5">
        <v>45996</v>
      </c>
      <c r="C2911" t="s">
        <v>33</v>
      </c>
      <c r="D2911" t="s">
        <v>42</v>
      </c>
      <c r="E2911" t="s">
        <v>43</v>
      </c>
      <c r="F2911" t="s">
        <v>44</v>
      </c>
      <c r="G2911" s="6">
        <v>3284.75</v>
      </c>
      <c r="H2911" s="7">
        <v>0</v>
      </c>
      <c r="I2911" s="6">
        <v>0</v>
      </c>
      <c r="J2911" s="6">
        <v>3284.75</v>
      </c>
      <c r="K2911" t="s">
        <v>5869</v>
      </c>
      <c r="L2911" t="s">
        <v>5870</v>
      </c>
    </row>
    <row r="2912" spans="1:13" ht="15" customHeight="1" x14ac:dyDescent="0.25">
      <c r="A2912">
        <v>2911</v>
      </c>
      <c r="B2912" s="5">
        <v>45762</v>
      </c>
      <c r="C2912" t="s">
        <v>33</v>
      </c>
      <c r="D2912" t="s">
        <v>42</v>
      </c>
      <c r="E2912" t="s">
        <v>43</v>
      </c>
      <c r="F2912" t="s">
        <v>44</v>
      </c>
      <c r="G2912" s="6">
        <v>3615.81</v>
      </c>
      <c r="H2912" s="7">
        <v>0</v>
      </c>
      <c r="I2912" s="6">
        <v>0</v>
      </c>
      <c r="J2912" s="6">
        <v>3615.81</v>
      </c>
      <c r="K2912" t="s">
        <v>5871</v>
      </c>
      <c r="L2912" t="s">
        <v>5872</v>
      </c>
    </row>
    <row r="2913" spans="1:12" ht="15" customHeight="1" x14ac:dyDescent="0.25">
      <c r="A2913">
        <v>2912</v>
      </c>
      <c r="B2913" s="5">
        <v>45736</v>
      </c>
      <c r="C2913" t="s">
        <v>47</v>
      </c>
      <c r="D2913" t="s">
        <v>42</v>
      </c>
      <c r="E2913" t="s">
        <v>43</v>
      </c>
      <c r="F2913" t="s">
        <v>44</v>
      </c>
      <c r="G2913" s="6">
        <v>3800.69</v>
      </c>
      <c r="H2913" s="7">
        <v>0</v>
      </c>
      <c r="I2913" s="6">
        <v>0</v>
      </c>
      <c r="J2913" s="6">
        <v>3800.69</v>
      </c>
      <c r="K2913" t="s">
        <v>5873</v>
      </c>
      <c r="L2913" t="s">
        <v>5874</v>
      </c>
    </row>
    <row r="2914" spans="1:12" ht="15" customHeight="1" x14ac:dyDescent="0.25">
      <c r="A2914">
        <v>2913</v>
      </c>
      <c r="B2914" s="5">
        <v>45849</v>
      </c>
      <c r="C2914" t="s">
        <v>47</v>
      </c>
      <c r="D2914" t="s">
        <v>63</v>
      </c>
      <c r="E2914" t="s">
        <v>64</v>
      </c>
      <c r="F2914" t="s">
        <v>30</v>
      </c>
      <c r="G2914" s="6">
        <v>235.27</v>
      </c>
      <c r="H2914" s="7">
        <v>0.2</v>
      </c>
      <c r="I2914" s="6">
        <v>47.05</v>
      </c>
      <c r="J2914" s="6">
        <v>282.32</v>
      </c>
      <c r="K2914" t="s">
        <v>5875</v>
      </c>
      <c r="L2914" t="s">
        <v>5876</v>
      </c>
    </row>
    <row r="2915" spans="1:12" ht="15" customHeight="1" x14ac:dyDescent="0.25">
      <c r="A2915">
        <v>2914</v>
      </c>
      <c r="B2915" s="5">
        <v>45695</v>
      </c>
      <c r="C2915" t="s">
        <v>47</v>
      </c>
      <c r="D2915" t="s">
        <v>28</v>
      </c>
      <c r="E2915" t="s">
        <v>29</v>
      </c>
      <c r="F2915" t="s">
        <v>87</v>
      </c>
      <c r="G2915" s="6">
        <v>759.53</v>
      </c>
      <c r="H2915" s="7">
        <v>2.1000000000000001E-2</v>
      </c>
      <c r="I2915" s="6">
        <v>15.95</v>
      </c>
      <c r="J2915" s="6">
        <v>775.48</v>
      </c>
      <c r="K2915" t="s">
        <v>5877</v>
      </c>
      <c r="L2915" t="s">
        <v>5878</v>
      </c>
    </row>
    <row r="2916" spans="1:12" ht="15" customHeight="1" x14ac:dyDescent="0.25">
      <c r="A2916">
        <v>2915</v>
      </c>
      <c r="B2916" s="5">
        <v>45743</v>
      </c>
      <c r="C2916" t="s">
        <v>33</v>
      </c>
      <c r="D2916" t="s">
        <v>42</v>
      </c>
      <c r="E2916" t="s">
        <v>43</v>
      </c>
      <c r="F2916" t="s">
        <v>44</v>
      </c>
      <c r="G2916" s="6">
        <v>3048.63</v>
      </c>
      <c r="H2916" s="7">
        <v>0</v>
      </c>
      <c r="I2916" s="6">
        <v>0</v>
      </c>
      <c r="J2916" s="6">
        <v>3048.63</v>
      </c>
      <c r="K2916" t="s">
        <v>5879</v>
      </c>
      <c r="L2916" t="s">
        <v>5880</v>
      </c>
    </row>
    <row r="2917" spans="1:12" ht="15" customHeight="1" x14ac:dyDescent="0.25">
      <c r="A2917">
        <v>2916</v>
      </c>
      <c r="B2917" s="5">
        <v>45960</v>
      </c>
      <c r="C2917" t="s">
        <v>27</v>
      </c>
      <c r="D2917" t="s">
        <v>172</v>
      </c>
      <c r="E2917" t="s">
        <v>173</v>
      </c>
      <c r="F2917" t="s">
        <v>84</v>
      </c>
      <c r="G2917" s="6">
        <v>4053.47</v>
      </c>
      <c r="H2917" s="7">
        <v>0.2</v>
      </c>
      <c r="I2917" s="6">
        <v>810.69</v>
      </c>
      <c r="J2917" s="6">
        <v>4864.16</v>
      </c>
      <c r="K2917" t="s">
        <v>5881</v>
      </c>
      <c r="L2917" t="s">
        <v>5882</v>
      </c>
    </row>
    <row r="2918" spans="1:12" ht="15" customHeight="1" x14ac:dyDescent="0.25">
      <c r="A2918">
        <v>2917</v>
      </c>
      <c r="B2918" s="5">
        <v>45930</v>
      </c>
      <c r="C2918" t="s">
        <v>47</v>
      </c>
      <c r="D2918" t="s">
        <v>28</v>
      </c>
      <c r="E2918" t="s">
        <v>29</v>
      </c>
      <c r="F2918" t="s">
        <v>71</v>
      </c>
      <c r="G2918" s="6">
        <v>2999.48</v>
      </c>
      <c r="H2918" s="7">
        <v>2.1000000000000001E-2</v>
      </c>
      <c r="I2918" s="6">
        <v>62.99</v>
      </c>
      <c r="J2918" s="6">
        <v>3062.47</v>
      </c>
      <c r="K2918" t="s">
        <v>5883</v>
      </c>
      <c r="L2918" t="s">
        <v>5884</v>
      </c>
    </row>
    <row r="2919" spans="1:12" ht="15" customHeight="1" x14ac:dyDescent="0.25">
      <c r="A2919">
        <v>2918</v>
      </c>
      <c r="B2919" s="5">
        <v>45800</v>
      </c>
      <c r="C2919" t="s">
        <v>47</v>
      </c>
      <c r="D2919" t="s">
        <v>28</v>
      </c>
      <c r="E2919" t="s">
        <v>29</v>
      </c>
      <c r="F2919" t="s">
        <v>84</v>
      </c>
      <c r="G2919" s="6">
        <v>1475.53</v>
      </c>
      <c r="H2919" s="7">
        <v>2.1000000000000001E-2</v>
      </c>
      <c r="I2919" s="6">
        <v>30.99</v>
      </c>
      <c r="J2919" s="6">
        <v>1506.52</v>
      </c>
      <c r="K2919" t="s">
        <v>5885</v>
      </c>
      <c r="L2919" t="s">
        <v>5886</v>
      </c>
    </row>
    <row r="2920" spans="1:12" ht="15" customHeight="1" x14ac:dyDescent="0.25">
      <c r="A2920">
        <v>2919</v>
      </c>
      <c r="B2920" s="5">
        <v>45758</v>
      </c>
      <c r="C2920" t="s">
        <v>27</v>
      </c>
      <c r="D2920" t="s">
        <v>42</v>
      </c>
      <c r="E2920" t="s">
        <v>43</v>
      </c>
      <c r="F2920" t="s">
        <v>44</v>
      </c>
      <c r="G2920" s="6">
        <v>2701.26</v>
      </c>
      <c r="H2920" s="7">
        <v>0</v>
      </c>
      <c r="I2920" s="6">
        <v>0</v>
      </c>
      <c r="J2920" s="6">
        <v>2701.26</v>
      </c>
      <c r="K2920" t="s">
        <v>5887</v>
      </c>
      <c r="L2920" t="s">
        <v>5888</v>
      </c>
    </row>
    <row r="2921" spans="1:12" ht="15" customHeight="1" x14ac:dyDescent="0.25">
      <c r="A2921">
        <v>2920</v>
      </c>
      <c r="B2921" s="5">
        <v>46013</v>
      </c>
      <c r="C2921" t="s">
        <v>47</v>
      </c>
      <c r="D2921" t="s">
        <v>100</v>
      </c>
      <c r="E2921" t="s">
        <v>101</v>
      </c>
      <c r="F2921" t="s">
        <v>44</v>
      </c>
      <c r="G2921" s="6">
        <v>1929.1</v>
      </c>
      <c r="H2921" s="7">
        <v>0</v>
      </c>
      <c r="I2921" s="6">
        <v>0</v>
      </c>
      <c r="J2921" s="6">
        <v>1929.1</v>
      </c>
      <c r="K2921" t="s">
        <v>5889</v>
      </c>
      <c r="L2921" t="s">
        <v>5890</v>
      </c>
    </row>
    <row r="2922" spans="1:12" ht="15" customHeight="1" x14ac:dyDescent="0.25">
      <c r="A2922">
        <v>2921</v>
      </c>
      <c r="B2922" s="5">
        <v>45715</v>
      </c>
      <c r="C2922" t="s">
        <v>27</v>
      </c>
      <c r="D2922" t="s">
        <v>172</v>
      </c>
      <c r="E2922" t="s">
        <v>173</v>
      </c>
      <c r="F2922" t="s">
        <v>36</v>
      </c>
      <c r="G2922" s="6">
        <v>2555.4899999999998</v>
      </c>
      <c r="H2922" s="7">
        <v>0.2</v>
      </c>
      <c r="I2922" s="6">
        <v>511.1</v>
      </c>
      <c r="J2922" s="6">
        <v>3066.59</v>
      </c>
      <c r="K2922" t="s">
        <v>5891</v>
      </c>
      <c r="L2922" t="s">
        <v>5892</v>
      </c>
    </row>
    <row r="2923" spans="1:12" ht="15" customHeight="1" x14ac:dyDescent="0.25">
      <c r="A2923">
        <v>2922</v>
      </c>
      <c r="B2923" s="5">
        <v>45727</v>
      </c>
      <c r="C2923" t="s">
        <v>27</v>
      </c>
      <c r="D2923" t="s">
        <v>42</v>
      </c>
      <c r="E2923" t="s">
        <v>43</v>
      </c>
      <c r="F2923" t="s">
        <v>44</v>
      </c>
      <c r="G2923" s="6">
        <v>2231.5</v>
      </c>
      <c r="H2923" s="7">
        <v>0</v>
      </c>
      <c r="I2923" s="6">
        <v>0</v>
      </c>
      <c r="J2923" s="6">
        <v>2231.5</v>
      </c>
      <c r="K2923" t="s">
        <v>5893</v>
      </c>
      <c r="L2923" t="s">
        <v>5894</v>
      </c>
    </row>
    <row r="2924" spans="1:12" ht="15" customHeight="1" x14ac:dyDescent="0.25">
      <c r="A2924">
        <v>2923</v>
      </c>
      <c r="B2924" s="5">
        <v>45918</v>
      </c>
      <c r="C2924" t="s">
        <v>33</v>
      </c>
      <c r="D2924" t="s">
        <v>55</v>
      </c>
      <c r="E2924" t="s">
        <v>56</v>
      </c>
      <c r="F2924" t="s">
        <v>106</v>
      </c>
      <c r="G2924" s="6">
        <v>3873.7</v>
      </c>
      <c r="H2924" s="7">
        <v>5.5E-2</v>
      </c>
      <c r="I2924" s="6">
        <v>213.05</v>
      </c>
      <c r="J2924" s="6">
        <v>4086.75</v>
      </c>
      <c r="K2924" t="s">
        <v>5895</v>
      </c>
      <c r="L2924" t="s">
        <v>5896</v>
      </c>
    </row>
    <row r="2925" spans="1:12" ht="15" customHeight="1" x14ac:dyDescent="0.25">
      <c r="A2925">
        <v>2924</v>
      </c>
      <c r="B2925" s="5">
        <v>45700</v>
      </c>
      <c r="C2925" t="s">
        <v>33</v>
      </c>
      <c r="D2925" t="s">
        <v>172</v>
      </c>
      <c r="E2925" t="s">
        <v>173</v>
      </c>
      <c r="F2925" t="s">
        <v>106</v>
      </c>
      <c r="G2925" s="6">
        <v>1578.87</v>
      </c>
      <c r="H2925" s="7">
        <v>0.2</v>
      </c>
      <c r="I2925" s="6">
        <v>315.77</v>
      </c>
      <c r="J2925" s="6">
        <v>1894.64</v>
      </c>
      <c r="K2925" t="s">
        <v>5897</v>
      </c>
      <c r="L2925" t="s">
        <v>5898</v>
      </c>
    </row>
    <row r="2926" spans="1:12" ht="15" customHeight="1" x14ac:dyDescent="0.25">
      <c r="A2926">
        <v>2925</v>
      </c>
      <c r="B2926" s="5">
        <v>45939</v>
      </c>
      <c r="C2926" t="s">
        <v>47</v>
      </c>
      <c r="D2926" t="s">
        <v>55</v>
      </c>
      <c r="E2926" t="s">
        <v>56</v>
      </c>
      <c r="F2926" t="s">
        <v>30</v>
      </c>
      <c r="G2926" s="6">
        <v>681.92</v>
      </c>
      <c r="H2926" s="7">
        <v>5.5E-2</v>
      </c>
      <c r="I2926" s="6">
        <v>37.51</v>
      </c>
      <c r="J2926" s="6">
        <v>719.43</v>
      </c>
      <c r="K2926" t="s">
        <v>5899</v>
      </c>
      <c r="L2926" t="s">
        <v>5900</v>
      </c>
    </row>
    <row r="2927" spans="1:12" ht="15" customHeight="1" x14ac:dyDescent="0.25">
      <c r="A2927">
        <v>2926</v>
      </c>
      <c r="B2927" s="5">
        <v>45763</v>
      </c>
      <c r="C2927" t="s">
        <v>47</v>
      </c>
      <c r="D2927" t="s">
        <v>79</v>
      </c>
      <c r="E2927" t="s">
        <v>80</v>
      </c>
      <c r="F2927" t="s">
        <v>71</v>
      </c>
      <c r="G2927" s="6">
        <v>697.53</v>
      </c>
      <c r="H2927" s="7">
        <v>0.2</v>
      </c>
      <c r="I2927" s="6">
        <v>139.51</v>
      </c>
      <c r="J2927" s="6">
        <v>837.04</v>
      </c>
      <c r="K2927" t="s">
        <v>5901</v>
      </c>
      <c r="L2927" t="s">
        <v>5902</v>
      </c>
    </row>
    <row r="2928" spans="1:12" ht="15" customHeight="1" x14ac:dyDescent="0.25">
      <c r="A2928">
        <v>2927</v>
      </c>
      <c r="B2928" s="5">
        <v>45733</v>
      </c>
      <c r="C2928" t="s">
        <v>27</v>
      </c>
      <c r="D2928" t="s">
        <v>28</v>
      </c>
      <c r="E2928" t="s">
        <v>29</v>
      </c>
      <c r="F2928" t="s">
        <v>87</v>
      </c>
      <c r="G2928" s="6">
        <v>2841.79</v>
      </c>
      <c r="H2928" s="7">
        <v>2.1000000000000001E-2</v>
      </c>
      <c r="I2928" s="6">
        <v>59.68</v>
      </c>
      <c r="J2928" s="6">
        <v>2901.47</v>
      </c>
      <c r="K2928" t="s">
        <v>5903</v>
      </c>
      <c r="L2928" t="s">
        <v>5904</v>
      </c>
    </row>
    <row r="2929" spans="1:12" ht="15" customHeight="1" x14ac:dyDescent="0.25">
      <c r="A2929">
        <v>2928</v>
      </c>
      <c r="B2929" s="5">
        <v>45699</v>
      </c>
      <c r="C2929" t="s">
        <v>27</v>
      </c>
      <c r="D2929" t="s">
        <v>181</v>
      </c>
      <c r="E2929" t="s">
        <v>182</v>
      </c>
      <c r="F2929" t="s">
        <v>50</v>
      </c>
      <c r="G2929" s="6">
        <v>3340.82</v>
      </c>
      <c r="H2929" s="7">
        <v>0.2</v>
      </c>
      <c r="I2929" s="6">
        <v>668.16</v>
      </c>
      <c r="J2929" s="6">
        <v>4008.98</v>
      </c>
      <c r="K2929" t="s">
        <v>5905</v>
      </c>
      <c r="L2929" t="s">
        <v>5906</v>
      </c>
    </row>
    <row r="2930" spans="1:12" ht="15" customHeight="1" x14ac:dyDescent="0.25">
      <c r="A2930">
        <v>2929</v>
      </c>
      <c r="B2930" s="5">
        <v>45673</v>
      </c>
      <c r="C2930" t="s">
        <v>33</v>
      </c>
      <c r="D2930" t="s">
        <v>34</v>
      </c>
      <c r="E2930" t="s">
        <v>35</v>
      </c>
      <c r="F2930" t="s">
        <v>39</v>
      </c>
      <c r="G2930" s="6">
        <v>226.33</v>
      </c>
      <c r="H2930" s="7">
        <v>0.2</v>
      </c>
      <c r="I2930" s="6">
        <v>45.27</v>
      </c>
      <c r="J2930" s="6">
        <v>271.60000000000002</v>
      </c>
      <c r="K2930" t="s">
        <v>5907</v>
      </c>
      <c r="L2930" t="s">
        <v>5908</v>
      </c>
    </row>
    <row r="2931" spans="1:12" ht="15" customHeight="1" x14ac:dyDescent="0.25">
      <c r="A2931">
        <v>2930</v>
      </c>
      <c r="B2931" s="5">
        <v>45670</v>
      </c>
      <c r="C2931" t="s">
        <v>33</v>
      </c>
      <c r="D2931" t="s">
        <v>42</v>
      </c>
      <c r="E2931" t="s">
        <v>43</v>
      </c>
      <c r="F2931" t="s">
        <v>44</v>
      </c>
      <c r="G2931" s="6">
        <v>3535.42</v>
      </c>
      <c r="H2931" s="7">
        <v>0</v>
      </c>
      <c r="I2931" s="6">
        <v>0</v>
      </c>
      <c r="J2931" s="6">
        <v>3535.42</v>
      </c>
      <c r="K2931" t="s">
        <v>5909</v>
      </c>
      <c r="L2931" t="s">
        <v>5910</v>
      </c>
    </row>
    <row r="2932" spans="1:12" ht="15" customHeight="1" x14ac:dyDescent="0.25">
      <c r="A2932">
        <v>2931</v>
      </c>
      <c r="B2932" s="5">
        <v>45957</v>
      </c>
      <c r="C2932" t="s">
        <v>47</v>
      </c>
      <c r="D2932" t="s">
        <v>28</v>
      </c>
      <c r="E2932" t="s">
        <v>29</v>
      </c>
      <c r="F2932" t="s">
        <v>81</v>
      </c>
      <c r="G2932" s="6">
        <v>438.3</v>
      </c>
      <c r="H2932" s="7">
        <v>2.1000000000000001E-2</v>
      </c>
      <c r="I2932" s="6">
        <v>9.1999999999999993</v>
      </c>
      <c r="J2932" s="6">
        <v>447.5</v>
      </c>
      <c r="K2932" t="s">
        <v>5911</v>
      </c>
      <c r="L2932" t="s">
        <v>5912</v>
      </c>
    </row>
    <row r="2933" spans="1:12" ht="15" customHeight="1" x14ac:dyDescent="0.25">
      <c r="A2933">
        <v>2932</v>
      </c>
      <c r="B2933" s="5">
        <v>45708</v>
      </c>
      <c r="C2933" t="s">
        <v>47</v>
      </c>
      <c r="D2933" t="s">
        <v>100</v>
      </c>
      <c r="E2933" t="s">
        <v>101</v>
      </c>
      <c r="F2933" t="s">
        <v>44</v>
      </c>
      <c r="G2933" s="6">
        <v>3946.31</v>
      </c>
      <c r="H2933" s="7">
        <v>0</v>
      </c>
      <c r="I2933" s="6">
        <v>0</v>
      </c>
      <c r="J2933" s="6">
        <v>3946.31</v>
      </c>
      <c r="K2933" t="s">
        <v>5913</v>
      </c>
      <c r="L2933" t="s">
        <v>5914</v>
      </c>
    </row>
    <row r="2934" spans="1:12" ht="15" customHeight="1" x14ac:dyDescent="0.25">
      <c r="A2934">
        <v>2933</v>
      </c>
      <c r="B2934" s="5">
        <v>45980</v>
      </c>
      <c r="C2934" t="s">
        <v>47</v>
      </c>
      <c r="D2934" t="s">
        <v>28</v>
      </c>
      <c r="E2934" t="s">
        <v>29</v>
      </c>
      <c r="F2934" t="s">
        <v>84</v>
      </c>
      <c r="G2934" s="6">
        <v>3388.25</v>
      </c>
      <c r="H2934" s="7">
        <v>2.1000000000000001E-2</v>
      </c>
      <c r="I2934" s="6">
        <v>71.150000000000006</v>
      </c>
      <c r="J2934" s="6">
        <v>3459.4</v>
      </c>
      <c r="K2934" t="s">
        <v>5915</v>
      </c>
      <c r="L2934" t="s">
        <v>5916</v>
      </c>
    </row>
    <row r="2935" spans="1:12" ht="15" customHeight="1" x14ac:dyDescent="0.25">
      <c r="A2935">
        <v>2934</v>
      </c>
      <c r="B2935" s="5">
        <v>45838</v>
      </c>
      <c r="C2935" t="s">
        <v>27</v>
      </c>
      <c r="D2935" t="s">
        <v>28</v>
      </c>
      <c r="E2935" t="s">
        <v>29</v>
      </c>
      <c r="F2935" t="s">
        <v>120</v>
      </c>
      <c r="G2935" s="6">
        <v>1462.77</v>
      </c>
      <c r="H2935" s="7">
        <v>2.1000000000000001E-2</v>
      </c>
      <c r="I2935" s="6">
        <v>30.72</v>
      </c>
      <c r="J2935" s="6">
        <v>1493.49</v>
      </c>
      <c r="K2935" t="s">
        <v>5917</v>
      </c>
      <c r="L2935" t="s">
        <v>5918</v>
      </c>
    </row>
    <row r="2936" spans="1:12" ht="15" customHeight="1" x14ac:dyDescent="0.25">
      <c r="A2936">
        <v>2935</v>
      </c>
      <c r="B2936" s="5">
        <v>45807</v>
      </c>
      <c r="C2936" t="s">
        <v>27</v>
      </c>
      <c r="D2936" t="s">
        <v>181</v>
      </c>
      <c r="E2936" t="s">
        <v>182</v>
      </c>
      <c r="F2936" t="s">
        <v>87</v>
      </c>
      <c r="G2936" s="6">
        <v>1232.75</v>
      </c>
      <c r="H2936" s="7">
        <v>0.2</v>
      </c>
      <c r="I2936" s="6">
        <v>246.55</v>
      </c>
      <c r="J2936" s="6">
        <v>1479.3</v>
      </c>
      <c r="K2936" t="s">
        <v>5919</v>
      </c>
      <c r="L2936" t="s">
        <v>5920</v>
      </c>
    </row>
    <row r="2937" spans="1:12" ht="15" customHeight="1" x14ac:dyDescent="0.25">
      <c r="A2937">
        <v>2936</v>
      </c>
      <c r="B2937" s="5">
        <v>45953</v>
      </c>
      <c r="C2937" t="s">
        <v>33</v>
      </c>
      <c r="D2937" t="s">
        <v>172</v>
      </c>
      <c r="E2937" t="s">
        <v>173</v>
      </c>
      <c r="F2937" t="s">
        <v>174</v>
      </c>
      <c r="G2937" s="6">
        <v>2466.86</v>
      </c>
      <c r="H2937" s="7">
        <v>0.2</v>
      </c>
      <c r="I2937" s="6">
        <v>493.37</v>
      </c>
      <c r="J2937" s="6">
        <v>2960.23</v>
      </c>
      <c r="K2937" t="s">
        <v>5921</v>
      </c>
      <c r="L2937" t="s">
        <v>5922</v>
      </c>
    </row>
    <row r="2938" spans="1:12" ht="15" customHeight="1" x14ac:dyDescent="0.25">
      <c r="A2938">
        <v>2937</v>
      </c>
      <c r="B2938" s="5">
        <v>45735</v>
      </c>
      <c r="C2938" t="s">
        <v>27</v>
      </c>
      <c r="D2938" t="s">
        <v>100</v>
      </c>
      <c r="E2938" t="s">
        <v>101</v>
      </c>
      <c r="F2938" t="s">
        <v>44</v>
      </c>
      <c r="G2938" s="6">
        <v>3631.75</v>
      </c>
      <c r="H2938" s="7">
        <v>0</v>
      </c>
      <c r="I2938" s="6">
        <v>0</v>
      </c>
      <c r="J2938" s="6">
        <v>3631.75</v>
      </c>
      <c r="K2938" t="s">
        <v>5923</v>
      </c>
      <c r="L2938" t="s">
        <v>5924</v>
      </c>
    </row>
    <row r="2939" spans="1:12" ht="15" customHeight="1" x14ac:dyDescent="0.25">
      <c r="A2939">
        <v>2938</v>
      </c>
      <c r="B2939" s="5">
        <v>45818</v>
      </c>
      <c r="C2939" t="s">
        <v>27</v>
      </c>
      <c r="D2939" t="s">
        <v>42</v>
      </c>
      <c r="E2939" t="s">
        <v>43</v>
      </c>
      <c r="F2939" t="s">
        <v>44</v>
      </c>
      <c r="G2939" s="6">
        <v>1896.92</v>
      </c>
      <c r="H2939" s="7">
        <v>0</v>
      </c>
      <c r="I2939" s="6">
        <v>0</v>
      </c>
      <c r="J2939" s="6">
        <v>1896.92</v>
      </c>
      <c r="K2939" t="s">
        <v>5925</v>
      </c>
      <c r="L2939" t="s">
        <v>5926</v>
      </c>
    </row>
    <row r="2940" spans="1:12" ht="15" customHeight="1" x14ac:dyDescent="0.25">
      <c r="A2940">
        <v>2939</v>
      </c>
      <c r="B2940" s="5">
        <v>45964</v>
      </c>
      <c r="C2940" t="s">
        <v>47</v>
      </c>
      <c r="D2940" t="s">
        <v>28</v>
      </c>
      <c r="E2940" t="s">
        <v>29</v>
      </c>
      <c r="F2940" t="s">
        <v>120</v>
      </c>
      <c r="G2940" s="6">
        <v>295.93</v>
      </c>
      <c r="H2940" s="7">
        <v>2.1000000000000001E-2</v>
      </c>
      <c r="I2940" s="6">
        <v>6.21</v>
      </c>
      <c r="J2940" s="6">
        <v>302.14</v>
      </c>
      <c r="K2940" t="s">
        <v>5927</v>
      </c>
      <c r="L2940" t="s">
        <v>5928</v>
      </c>
    </row>
    <row r="2941" spans="1:12" ht="15" customHeight="1" x14ac:dyDescent="0.25">
      <c r="A2941">
        <v>2940</v>
      </c>
      <c r="B2941" s="5">
        <v>45832</v>
      </c>
      <c r="C2941" t="s">
        <v>33</v>
      </c>
      <c r="D2941" t="s">
        <v>63</v>
      </c>
      <c r="E2941" t="s">
        <v>64</v>
      </c>
      <c r="F2941" t="s">
        <v>81</v>
      </c>
      <c r="G2941" s="6">
        <v>472</v>
      </c>
      <c r="H2941" s="7">
        <v>0.2</v>
      </c>
      <c r="I2941" s="6">
        <v>94.4</v>
      </c>
      <c r="J2941" s="6">
        <v>566.4</v>
      </c>
      <c r="K2941" t="s">
        <v>5929</v>
      </c>
      <c r="L2941" t="s">
        <v>5930</v>
      </c>
    </row>
    <row r="2942" spans="1:12" ht="15" customHeight="1" x14ac:dyDescent="0.25">
      <c r="A2942">
        <v>2941</v>
      </c>
      <c r="B2942" s="5">
        <v>45946</v>
      </c>
      <c r="C2942" t="s">
        <v>47</v>
      </c>
      <c r="D2942" t="s">
        <v>172</v>
      </c>
      <c r="E2942" t="s">
        <v>173</v>
      </c>
      <c r="F2942" t="s">
        <v>36</v>
      </c>
      <c r="G2942" s="6">
        <v>623.41</v>
      </c>
      <c r="H2942" s="7">
        <v>0.2</v>
      </c>
      <c r="I2942" s="6">
        <v>124.68</v>
      </c>
      <c r="J2942" s="6">
        <v>748.09</v>
      </c>
      <c r="K2942" t="s">
        <v>5931</v>
      </c>
      <c r="L2942" t="s">
        <v>5932</v>
      </c>
    </row>
    <row r="2943" spans="1:12" ht="15" customHeight="1" x14ac:dyDescent="0.25">
      <c r="A2943">
        <v>2942</v>
      </c>
      <c r="B2943" s="5">
        <v>45847</v>
      </c>
      <c r="C2943" t="s">
        <v>47</v>
      </c>
      <c r="D2943" t="s">
        <v>172</v>
      </c>
      <c r="E2943" t="s">
        <v>173</v>
      </c>
      <c r="F2943" t="s">
        <v>50</v>
      </c>
      <c r="G2943" s="6">
        <v>3003.05</v>
      </c>
      <c r="H2943" s="7">
        <v>0.2</v>
      </c>
      <c r="I2943" s="6">
        <v>600.61</v>
      </c>
      <c r="J2943" s="6">
        <v>3603.66</v>
      </c>
      <c r="K2943" t="s">
        <v>5933</v>
      </c>
      <c r="L2943" t="s">
        <v>5934</v>
      </c>
    </row>
    <row r="2944" spans="1:12" ht="15" customHeight="1" x14ac:dyDescent="0.25">
      <c r="A2944">
        <v>2943</v>
      </c>
      <c r="B2944" s="5">
        <v>45679</v>
      </c>
      <c r="C2944" t="s">
        <v>33</v>
      </c>
      <c r="D2944" t="s">
        <v>42</v>
      </c>
      <c r="E2944" t="s">
        <v>43</v>
      </c>
      <c r="F2944" t="s">
        <v>44</v>
      </c>
      <c r="G2944" s="6">
        <v>1894.5</v>
      </c>
      <c r="H2944" s="7">
        <v>0</v>
      </c>
      <c r="I2944" s="6">
        <v>0</v>
      </c>
      <c r="J2944" s="6">
        <v>1894.5</v>
      </c>
      <c r="K2944" t="s">
        <v>5935</v>
      </c>
      <c r="L2944" t="s">
        <v>5936</v>
      </c>
    </row>
    <row r="2945" spans="1:12" ht="15" customHeight="1" x14ac:dyDescent="0.25">
      <c r="A2945">
        <v>2944</v>
      </c>
      <c r="B2945" s="5">
        <v>45868</v>
      </c>
      <c r="C2945" t="s">
        <v>33</v>
      </c>
      <c r="D2945" t="s">
        <v>63</v>
      </c>
      <c r="E2945" t="s">
        <v>64</v>
      </c>
      <c r="F2945" t="s">
        <v>84</v>
      </c>
      <c r="G2945" s="6">
        <v>2741.29</v>
      </c>
      <c r="H2945" s="7">
        <v>0.2</v>
      </c>
      <c r="I2945" s="6">
        <v>548.26</v>
      </c>
      <c r="J2945" s="6">
        <v>3289.55</v>
      </c>
      <c r="K2945" t="s">
        <v>5937</v>
      </c>
      <c r="L2945" t="s">
        <v>5938</v>
      </c>
    </row>
    <row r="2946" spans="1:12" ht="15" customHeight="1" x14ac:dyDescent="0.25">
      <c r="A2946">
        <v>2945</v>
      </c>
      <c r="B2946" s="5">
        <v>45666</v>
      </c>
      <c r="C2946" t="s">
        <v>47</v>
      </c>
      <c r="D2946" t="s">
        <v>181</v>
      </c>
      <c r="E2946" t="s">
        <v>182</v>
      </c>
      <c r="F2946" t="s">
        <v>120</v>
      </c>
      <c r="G2946" s="6">
        <v>3493.86</v>
      </c>
      <c r="H2946" s="7">
        <v>0.2</v>
      </c>
      <c r="I2946" s="6">
        <v>698.77</v>
      </c>
      <c r="J2946" s="6">
        <v>4192.63</v>
      </c>
      <c r="K2946" t="s">
        <v>5939</v>
      </c>
      <c r="L2946" t="s">
        <v>5940</v>
      </c>
    </row>
    <row r="2947" spans="1:12" ht="15" customHeight="1" x14ac:dyDescent="0.25">
      <c r="A2947">
        <v>2946</v>
      </c>
      <c r="B2947" s="5">
        <v>45691</v>
      </c>
      <c r="C2947" t="s">
        <v>27</v>
      </c>
      <c r="D2947" t="s">
        <v>28</v>
      </c>
      <c r="E2947" t="s">
        <v>29</v>
      </c>
      <c r="F2947" t="s">
        <v>39</v>
      </c>
      <c r="G2947" s="6">
        <v>348.35</v>
      </c>
      <c r="H2947" s="7">
        <v>2.1000000000000001E-2</v>
      </c>
      <c r="I2947" s="6">
        <v>7.32</v>
      </c>
      <c r="J2947" s="6">
        <v>355.67</v>
      </c>
      <c r="K2947" t="s">
        <v>5941</v>
      </c>
      <c r="L2947" t="s">
        <v>5942</v>
      </c>
    </row>
    <row r="2948" spans="1:12" ht="15" customHeight="1" x14ac:dyDescent="0.25">
      <c r="A2948">
        <v>2947</v>
      </c>
      <c r="B2948" s="5">
        <v>45721</v>
      </c>
      <c r="C2948" t="s">
        <v>47</v>
      </c>
      <c r="D2948" t="s">
        <v>55</v>
      </c>
      <c r="E2948" t="s">
        <v>56</v>
      </c>
      <c r="F2948" t="s">
        <v>106</v>
      </c>
      <c r="G2948" s="6">
        <v>4014.71</v>
      </c>
      <c r="H2948" s="7">
        <v>5.5E-2</v>
      </c>
      <c r="I2948" s="6">
        <v>220.81</v>
      </c>
      <c r="J2948" s="6">
        <v>4235.5200000000004</v>
      </c>
      <c r="K2948" t="s">
        <v>5943</v>
      </c>
      <c r="L2948" t="s">
        <v>5944</v>
      </c>
    </row>
    <row r="2949" spans="1:12" ht="15" customHeight="1" x14ac:dyDescent="0.25">
      <c r="A2949">
        <v>2948</v>
      </c>
      <c r="B2949" s="5">
        <v>45790</v>
      </c>
      <c r="C2949" t="s">
        <v>33</v>
      </c>
      <c r="D2949" t="s">
        <v>55</v>
      </c>
      <c r="E2949" t="s">
        <v>56</v>
      </c>
      <c r="F2949" t="s">
        <v>120</v>
      </c>
      <c r="G2949" s="6">
        <v>4332.71</v>
      </c>
      <c r="H2949" s="7">
        <v>5.5E-2</v>
      </c>
      <c r="I2949" s="6">
        <v>238.3</v>
      </c>
      <c r="J2949" s="6">
        <v>4571.01</v>
      </c>
      <c r="K2949" t="s">
        <v>5945</v>
      </c>
      <c r="L2949" t="s">
        <v>5946</v>
      </c>
    </row>
    <row r="2950" spans="1:12" ht="15" customHeight="1" x14ac:dyDescent="0.25">
      <c r="A2950">
        <v>2949</v>
      </c>
      <c r="B2950" s="5">
        <v>45785</v>
      </c>
      <c r="C2950" t="s">
        <v>27</v>
      </c>
      <c r="D2950" t="s">
        <v>100</v>
      </c>
      <c r="E2950" t="s">
        <v>101</v>
      </c>
      <c r="F2950" t="s">
        <v>44</v>
      </c>
      <c r="G2950" s="6">
        <v>2707.41</v>
      </c>
      <c r="H2950" s="7">
        <v>0</v>
      </c>
      <c r="I2950" s="6">
        <v>0</v>
      </c>
      <c r="J2950" s="6">
        <v>2707.41</v>
      </c>
      <c r="K2950" t="s">
        <v>5947</v>
      </c>
      <c r="L2950" t="s">
        <v>5948</v>
      </c>
    </row>
    <row r="2951" spans="1:12" ht="15" customHeight="1" x14ac:dyDescent="0.25">
      <c r="A2951">
        <v>2950</v>
      </c>
      <c r="B2951" s="5">
        <v>45862</v>
      </c>
      <c r="C2951" t="s">
        <v>33</v>
      </c>
      <c r="D2951" t="s">
        <v>172</v>
      </c>
      <c r="E2951" t="s">
        <v>173</v>
      </c>
      <c r="F2951" t="s">
        <v>30</v>
      </c>
      <c r="G2951" s="6">
        <v>1263.67</v>
      </c>
      <c r="H2951" s="7">
        <v>0.2</v>
      </c>
      <c r="I2951" s="6">
        <v>252.73</v>
      </c>
      <c r="J2951" s="6">
        <v>1516.4</v>
      </c>
      <c r="K2951" t="s">
        <v>5949</v>
      </c>
      <c r="L2951" t="s">
        <v>5950</v>
      </c>
    </row>
    <row r="2952" spans="1:12" ht="15" customHeight="1" x14ac:dyDescent="0.25">
      <c r="A2952">
        <v>2951</v>
      </c>
      <c r="B2952" s="5">
        <v>45862</v>
      </c>
      <c r="C2952" t="s">
        <v>33</v>
      </c>
      <c r="D2952" t="s">
        <v>28</v>
      </c>
      <c r="E2952" t="s">
        <v>29</v>
      </c>
      <c r="F2952" t="s">
        <v>174</v>
      </c>
      <c r="G2952" s="6">
        <v>2816.31</v>
      </c>
      <c r="H2952" s="7">
        <v>2.1000000000000001E-2</v>
      </c>
      <c r="I2952" s="6">
        <v>59.14</v>
      </c>
      <c r="J2952" s="6">
        <v>2875.45</v>
      </c>
      <c r="K2952" t="s">
        <v>5951</v>
      </c>
      <c r="L2952" t="s">
        <v>5952</v>
      </c>
    </row>
    <row r="2953" spans="1:12" ht="15" customHeight="1" x14ac:dyDescent="0.25">
      <c r="A2953">
        <v>2952</v>
      </c>
      <c r="B2953" s="5">
        <v>45988</v>
      </c>
      <c r="C2953" t="s">
        <v>33</v>
      </c>
      <c r="D2953" t="s">
        <v>172</v>
      </c>
      <c r="E2953" t="s">
        <v>173</v>
      </c>
      <c r="F2953" t="s">
        <v>81</v>
      </c>
      <c r="G2953" s="6">
        <v>3039.17</v>
      </c>
      <c r="H2953" s="7">
        <v>0.2</v>
      </c>
      <c r="I2953" s="6">
        <v>607.83000000000004</v>
      </c>
      <c r="J2953" s="6">
        <v>3647</v>
      </c>
      <c r="K2953" t="s">
        <v>5953</v>
      </c>
      <c r="L2953" t="s">
        <v>5954</v>
      </c>
    </row>
    <row r="2954" spans="1:12" ht="15" customHeight="1" x14ac:dyDescent="0.25">
      <c r="A2954">
        <v>2953</v>
      </c>
      <c r="B2954" s="5">
        <v>45782</v>
      </c>
      <c r="C2954" t="s">
        <v>47</v>
      </c>
      <c r="D2954" t="s">
        <v>55</v>
      </c>
      <c r="E2954" t="s">
        <v>56</v>
      </c>
      <c r="F2954" t="s">
        <v>81</v>
      </c>
      <c r="G2954" s="6">
        <v>3967.15</v>
      </c>
      <c r="H2954" s="7">
        <v>5.5E-2</v>
      </c>
      <c r="I2954" s="6">
        <v>218.19</v>
      </c>
      <c r="J2954" s="6">
        <v>4185.34</v>
      </c>
      <c r="K2954" t="s">
        <v>5955</v>
      </c>
      <c r="L2954" t="s">
        <v>5956</v>
      </c>
    </row>
    <row r="2955" spans="1:12" ht="15" customHeight="1" x14ac:dyDescent="0.25">
      <c r="A2955">
        <v>2954</v>
      </c>
      <c r="B2955" s="5">
        <v>45786</v>
      </c>
      <c r="C2955" t="s">
        <v>47</v>
      </c>
      <c r="D2955" t="s">
        <v>42</v>
      </c>
      <c r="E2955" t="s">
        <v>43</v>
      </c>
      <c r="F2955" t="s">
        <v>44</v>
      </c>
      <c r="G2955" s="6">
        <v>3896.27</v>
      </c>
      <c r="H2955" s="7">
        <v>0</v>
      </c>
      <c r="I2955" s="6">
        <v>0</v>
      </c>
      <c r="J2955" s="6">
        <v>3896.27</v>
      </c>
      <c r="K2955" t="s">
        <v>5957</v>
      </c>
      <c r="L2955" t="s">
        <v>5958</v>
      </c>
    </row>
    <row r="2956" spans="1:12" ht="15" customHeight="1" x14ac:dyDescent="0.25">
      <c r="A2956">
        <v>2955</v>
      </c>
      <c r="B2956" s="5">
        <v>45981</v>
      </c>
      <c r="C2956" t="s">
        <v>47</v>
      </c>
      <c r="D2956" t="s">
        <v>55</v>
      </c>
      <c r="E2956" t="s">
        <v>56</v>
      </c>
      <c r="F2956" t="s">
        <v>50</v>
      </c>
      <c r="G2956" s="6">
        <v>1803.27</v>
      </c>
      <c r="H2956" s="7">
        <v>5.5E-2</v>
      </c>
      <c r="I2956" s="6">
        <v>99.18</v>
      </c>
      <c r="J2956" s="6">
        <v>1902.45</v>
      </c>
      <c r="K2956" t="s">
        <v>5959</v>
      </c>
      <c r="L2956" t="s">
        <v>5960</v>
      </c>
    </row>
    <row r="2957" spans="1:12" ht="15" customHeight="1" x14ac:dyDescent="0.25">
      <c r="A2957">
        <v>2956</v>
      </c>
      <c r="B2957" s="5">
        <v>45679</v>
      </c>
      <c r="C2957" t="s">
        <v>47</v>
      </c>
      <c r="D2957" t="s">
        <v>42</v>
      </c>
      <c r="E2957" t="s">
        <v>43</v>
      </c>
      <c r="F2957" t="s">
        <v>44</v>
      </c>
      <c r="G2957" s="6">
        <v>3692.78</v>
      </c>
      <c r="H2957" s="7">
        <v>0</v>
      </c>
      <c r="I2957" s="6">
        <v>0</v>
      </c>
      <c r="J2957" s="6">
        <v>3692.78</v>
      </c>
      <c r="K2957" t="s">
        <v>5961</v>
      </c>
      <c r="L2957" t="s">
        <v>5962</v>
      </c>
    </row>
    <row r="2958" spans="1:12" ht="15" customHeight="1" x14ac:dyDescent="0.25">
      <c r="A2958">
        <v>2957</v>
      </c>
      <c r="B2958" s="5">
        <v>45936</v>
      </c>
      <c r="C2958" t="s">
        <v>27</v>
      </c>
      <c r="D2958" t="s">
        <v>55</v>
      </c>
      <c r="E2958" t="s">
        <v>56</v>
      </c>
      <c r="F2958" t="s">
        <v>174</v>
      </c>
      <c r="G2958" s="6">
        <v>3099.67</v>
      </c>
      <c r="H2958" s="7">
        <v>5.5E-2</v>
      </c>
      <c r="I2958" s="6">
        <v>170.48</v>
      </c>
      <c r="J2958" s="6">
        <v>3270.15</v>
      </c>
      <c r="K2958" t="s">
        <v>5963</v>
      </c>
      <c r="L2958" t="s">
        <v>5964</v>
      </c>
    </row>
    <row r="2959" spans="1:12" ht="15" customHeight="1" x14ac:dyDescent="0.25">
      <c r="A2959">
        <v>2958</v>
      </c>
      <c r="B2959" s="5">
        <v>45701</v>
      </c>
      <c r="C2959" t="s">
        <v>27</v>
      </c>
      <c r="D2959" t="s">
        <v>28</v>
      </c>
      <c r="E2959" t="s">
        <v>29</v>
      </c>
      <c r="F2959" t="s">
        <v>174</v>
      </c>
      <c r="G2959" s="6">
        <v>2156.66</v>
      </c>
      <c r="H2959" s="7">
        <v>2.1000000000000001E-2</v>
      </c>
      <c r="I2959" s="6">
        <v>45.29</v>
      </c>
      <c r="J2959" s="6">
        <v>2201.9499999999998</v>
      </c>
      <c r="K2959" t="s">
        <v>5965</v>
      </c>
      <c r="L2959" t="s">
        <v>5966</v>
      </c>
    </row>
    <row r="2960" spans="1:12" ht="15" customHeight="1" x14ac:dyDescent="0.25">
      <c r="A2960">
        <v>2959</v>
      </c>
      <c r="B2960" s="5">
        <v>45952</v>
      </c>
      <c r="C2960" t="s">
        <v>47</v>
      </c>
      <c r="D2960" t="s">
        <v>42</v>
      </c>
      <c r="E2960" t="s">
        <v>43</v>
      </c>
      <c r="F2960" t="s">
        <v>44</v>
      </c>
      <c r="G2960" s="6">
        <v>3072.85</v>
      </c>
      <c r="H2960" s="7">
        <v>0</v>
      </c>
      <c r="I2960" s="6">
        <v>0</v>
      </c>
      <c r="J2960" s="6">
        <v>3072.85</v>
      </c>
      <c r="K2960" t="s">
        <v>5967</v>
      </c>
      <c r="L2960" t="s">
        <v>5968</v>
      </c>
    </row>
    <row r="2961" spans="1:12" ht="15" customHeight="1" x14ac:dyDescent="0.25">
      <c r="A2961">
        <v>2960</v>
      </c>
      <c r="B2961" s="5">
        <v>45846</v>
      </c>
      <c r="C2961" t="s">
        <v>33</v>
      </c>
      <c r="D2961" t="s">
        <v>42</v>
      </c>
      <c r="E2961" t="s">
        <v>43</v>
      </c>
      <c r="F2961" t="s">
        <v>44</v>
      </c>
      <c r="G2961" s="6">
        <v>3473.77</v>
      </c>
      <c r="H2961" s="7">
        <v>0</v>
      </c>
      <c r="I2961" s="6">
        <v>0</v>
      </c>
      <c r="J2961" s="6">
        <v>3473.77</v>
      </c>
      <c r="K2961" t="s">
        <v>5969</v>
      </c>
      <c r="L2961" t="s">
        <v>5970</v>
      </c>
    </row>
    <row r="2962" spans="1:12" ht="15" customHeight="1" x14ac:dyDescent="0.25">
      <c r="A2962">
        <v>2961</v>
      </c>
      <c r="B2962" s="5">
        <v>45799</v>
      </c>
      <c r="C2962" t="s">
        <v>33</v>
      </c>
      <c r="D2962" t="s">
        <v>42</v>
      </c>
      <c r="E2962" t="s">
        <v>43</v>
      </c>
      <c r="F2962" t="s">
        <v>44</v>
      </c>
      <c r="G2962" s="6">
        <v>4133.9399999999996</v>
      </c>
      <c r="H2962" s="7">
        <v>0</v>
      </c>
      <c r="I2962" s="6">
        <v>0</v>
      </c>
      <c r="J2962" s="6">
        <v>4133.9399999999996</v>
      </c>
      <c r="K2962" t="s">
        <v>5971</v>
      </c>
      <c r="L2962" t="s">
        <v>5972</v>
      </c>
    </row>
    <row r="2963" spans="1:12" ht="15" customHeight="1" x14ac:dyDescent="0.25">
      <c r="A2963">
        <v>2962</v>
      </c>
      <c r="B2963" s="5">
        <v>46002</v>
      </c>
      <c r="C2963" t="s">
        <v>27</v>
      </c>
      <c r="D2963" t="s">
        <v>42</v>
      </c>
      <c r="E2963" t="s">
        <v>43</v>
      </c>
      <c r="F2963" t="s">
        <v>44</v>
      </c>
      <c r="G2963" s="6">
        <v>1890.1</v>
      </c>
      <c r="H2963" s="7">
        <v>0</v>
      </c>
      <c r="I2963" s="6">
        <v>0</v>
      </c>
      <c r="J2963" s="6">
        <v>1890.1</v>
      </c>
      <c r="K2963" t="s">
        <v>5973</v>
      </c>
      <c r="L2963" t="s">
        <v>5974</v>
      </c>
    </row>
    <row r="2964" spans="1:12" ht="15" customHeight="1" x14ac:dyDescent="0.25">
      <c r="A2964">
        <v>2963</v>
      </c>
      <c r="B2964" s="5">
        <v>45807</v>
      </c>
      <c r="C2964" t="s">
        <v>27</v>
      </c>
      <c r="D2964" t="s">
        <v>28</v>
      </c>
      <c r="E2964" t="s">
        <v>29</v>
      </c>
      <c r="F2964" t="s">
        <v>71</v>
      </c>
      <c r="G2964" s="6">
        <v>1135.57</v>
      </c>
      <c r="H2964" s="7">
        <v>2.1000000000000001E-2</v>
      </c>
      <c r="I2964" s="6">
        <v>23.85</v>
      </c>
      <c r="J2964" s="6">
        <v>1159.42</v>
      </c>
      <c r="K2964" t="s">
        <v>5975</v>
      </c>
      <c r="L2964" t="s">
        <v>5976</v>
      </c>
    </row>
    <row r="2965" spans="1:12" ht="15" customHeight="1" x14ac:dyDescent="0.25">
      <c r="A2965">
        <v>2964</v>
      </c>
      <c r="B2965" s="5">
        <v>45789</v>
      </c>
      <c r="C2965" t="s">
        <v>47</v>
      </c>
      <c r="D2965" t="s">
        <v>28</v>
      </c>
      <c r="E2965" t="s">
        <v>29</v>
      </c>
      <c r="F2965" t="s">
        <v>81</v>
      </c>
      <c r="G2965" s="6">
        <v>2675.08</v>
      </c>
      <c r="H2965" s="7">
        <v>2.1000000000000001E-2</v>
      </c>
      <c r="I2965" s="6">
        <v>56.18</v>
      </c>
      <c r="J2965" s="6">
        <v>2731.26</v>
      </c>
      <c r="K2965" t="s">
        <v>5977</v>
      </c>
      <c r="L2965" t="s">
        <v>5978</v>
      </c>
    </row>
    <row r="2966" spans="1:12" ht="15" customHeight="1" x14ac:dyDescent="0.25">
      <c r="A2966">
        <v>2965</v>
      </c>
      <c r="B2966" s="5">
        <v>45730</v>
      </c>
      <c r="C2966" t="s">
        <v>47</v>
      </c>
      <c r="D2966" t="s">
        <v>42</v>
      </c>
      <c r="E2966" t="s">
        <v>43</v>
      </c>
      <c r="F2966" t="s">
        <v>44</v>
      </c>
      <c r="G2966" s="6">
        <v>2016.14</v>
      </c>
      <c r="H2966" s="7">
        <v>0</v>
      </c>
      <c r="I2966" s="6">
        <v>0</v>
      </c>
      <c r="J2966" s="6">
        <v>2016.14</v>
      </c>
      <c r="K2966" t="s">
        <v>5979</v>
      </c>
      <c r="L2966" t="s">
        <v>5980</v>
      </c>
    </row>
    <row r="2967" spans="1:12" ht="15" customHeight="1" x14ac:dyDescent="0.25">
      <c r="A2967">
        <v>2966</v>
      </c>
      <c r="B2967" s="5">
        <v>45896</v>
      </c>
      <c r="C2967" t="s">
        <v>27</v>
      </c>
      <c r="D2967" t="s">
        <v>79</v>
      </c>
      <c r="E2967" t="s">
        <v>80</v>
      </c>
      <c r="F2967" t="s">
        <v>87</v>
      </c>
      <c r="G2967" s="6">
        <v>3267.93</v>
      </c>
      <c r="H2967" s="7">
        <v>0.2</v>
      </c>
      <c r="I2967" s="6">
        <v>653.59</v>
      </c>
      <c r="J2967" s="6">
        <v>3921.52</v>
      </c>
      <c r="K2967" t="s">
        <v>5981</v>
      </c>
      <c r="L2967" t="s">
        <v>5982</v>
      </c>
    </row>
    <row r="2968" spans="1:12" ht="15" customHeight="1" x14ac:dyDescent="0.25">
      <c r="A2968">
        <v>2967</v>
      </c>
      <c r="B2968" s="5">
        <v>45961</v>
      </c>
      <c r="C2968" t="s">
        <v>33</v>
      </c>
      <c r="D2968" t="s">
        <v>172</v>
      </c>
      <c r="E2968" t="s">
        <v>173</v>
      </c>
      <c r="F2968" t="s">
        <v>120</v>
      </c>
      <c r="G2968" s="6">
        <v>484.07</v>
      </c>
      <c r="H2968" s="7">
        <v>0.2</v>
      </c>
      <c r="I2968" s="6">
        <v>96.81</v>
      </c>
      <c r="J2968" s="6">
        <v>580.88</v>
      </c>
      <c r="K2968" t="s">
        <v>5983</v>
      </c>
      <c r="L2968" t="s">
        <v>5984</v>
      </c>
    </row>
    <row r="2969" spans="1:12" ht="15" customHeight="1" x14ac:dyDescent="0.25">
      <c r="A2969">
        <v>2968</v>
      </c>
      <c r="B2969" s="5">
        <v>45987</v>
      </c>
      <c r="C2969" t="s">
        <v>47</v>
      </c>
      <c r="D2969" t="s">
        <v>28</v>
      </c>
      <c r="E2969" t="s">
        <v>29</v>
      </c>
      <c r="F2969" t="s">
        <v>71</v>
      </c>
      <c r="G2969" s="6">
        <v>1507.75</v>
      </c>
      <c r="H2969" s="7">
        <v>2.1000000000000001E-2</v>
      </c>
      <c r="I2969" s="6">
        <v>31.66</v>
      </c>
      <c r="J2969" s="6">
        <v>1539.41</v>
      </c>
      <c r="K2969" t="s">
        <v>5985</v>
      </c>
      <c r="L2969" t="s">
        <v>5986</v>
      </c>
    </row>
    <row r="2970" spans="1:12" ht="15" customHeight="1" x14ac:dyDescent="0.25">
      <c r="A2970">
        <v>2969</v>
      </c>
      <c r="B2970" s="5">
        <v>45700</v>
      </c>
      <c r="C2970" t="s">
        <v>47</v>
      </c>
      <c r="D2970" t="s">
        <v>42</v>
      </c>
      <c r="E2970" t="s">
        <v>43</v>
      </c>
      <c r="F2970" t="s">
        <v>44</v>
      </c>
      <c r="G2970" s="6">
        <v>3268.5</v>
      </c>
      <c r="H2970" s="7">
        <v>0</v>
      </c>
      <c r="I2970" s="6">
        <v>0</v>
      </c>
      <c r="J2970" s="6">
        <v>3268.5</v>
      </c>
      <c r="K2970" t="s">
        <v>5987</v>
      </c>
      <c r="L2970" t="s">
        <v>5988</v>
      </c>
    </row>
    <row r="2971" spans="1:12" ht="15" customHeight="1" x14ac:dyDescent="0.25">
      <c r="A2971">
        <v>2970</v>
      </c>
      <c r="B2971" s="5">
        <v>45825</v>
      </c>
      <c r="C2971" t="s">
        <v>47</v>
      </c>
      <c r="D2971" t="s">
        <v>42</v>
      </c>
      <c r="E2971" t="s">
        <v>43</v>
      </c>
      <c r="F2971" t="s">
        <v>44</v>
      </c>
      <c r="G2971" s="6">
        <v>2028.74</v>
      </c>
      <c r="H2971" s="7">
        <v>0</v>
      </c>
      <c r="I2971" s="6">
        <v>0</v>
      </c>
      <c r="J2971" s="6">
        <v>2028.74</v>
      </c>
      <c r="K2971" t="s">
        <v>5989</v>
      </c>
      <c r="L2971" t="s">
        <v>5990</v>
      </c>
    </row>
    <row r="2972" spans="1:12" ht="15" customHeight="1" x14ac:dyDescent="0.25">
      <c r="A2972">
        <v>2971</v>
      </c>
      <c r="B2972" s="5">
        <v>45926</v>
      </c>
      <c r="C2972" t="s">
        <v>47</v>
      </c>
      <c r="D2972" t="s">
        <v>42</v>
      </c>
      <c r="E2972" t="s">
        <v>43</v>
      </c>
      <c r="F2972" t="s">
        <v>44</v>
      </c>
      <c r="G2972" s="6">
        <v>1825.61</v>
      </c>
      <c r="H2972" s="7">
        <v>0</v>
      </c>
      <c r="I2972" s="6">
        <v>0</v>
      </c>
      <c r="J2972" s="6">
        <v>1825.61</v>
      </c>
      <c r="K2972" t="s">
        <v>5991</v>
      </c>
      <c r="L2972" t="s">
        <v>5992</v>
      </c>
    </row>
    <row r="2973" spans="1:12" ht="15" customHeight="1" x14ac:dyDescent="0.25">
      <c r="A2973">
        <v>2972</v>
      </c>
      <c r="B2973" s="5">
        <v>45673</v>
      </c>
      <c r="C2973" t="s">
        <v>33</v>
      </c>
      <c r="D2973" t="s">
        <v>42</v>
      </c>
      <c r="E2973" t="s">
        <v>43</v>
      </c>
      <c r="F2973" t="s">
        <v>44</v>
      </c>
      <c r="G2973" s="6">
        <v>2603.0100000000002</v>
      </c>
      <c r="H2973" s="7">
        <v>0</v>
      </c>
      <c r="I2973" s="6">
        <v>0</v>
      </c>
      <c r="J2973" s="6">
        <v>2603.0100000000002</v>
      </c>
      <c r="K2973" t="s">
        <v>5993</v>
      </c>
      <c r="L2973" t="s">
        <v>5994</v>
      </c>
    </row>
    <row r="2974" spans="1:12" ht="15" customHeight="1" x14ac:dyDescent="0.25">
      <c r="A2974">
        <v>2973</v>
      </c>
      <c r="B2974" s="5">
        <v>45926</v>
      </c>
      <c r="C2974" t="s">
        <v>33</v>
      </c>
      <c r="D2974" t="s">
        <v>172</v>
      </c>
      <c r="E2974" t="s">
        <v>173</v>
      </c>
      <c r="F2974" t="s">
        <v>71</v>
      </c>
      <c r="G2974" s="6">
        <v>4165.5200000000004</v>
      </c>
      <c r="H2974" s="7">
        <v>0.2</v>
      </c>
      <c r="I2974" s="6">
        <v>833.1</v>
      </c>
      <c r="J2974" s="6">
        <v>4998.62</v>
      </c>
      <c r="K2974" t="s">
        <v>5995</v>
      </c>
      <c r="L2974" t="s">
        <v>5996</v>
      </c>
    </row>
    <row r="2975" spans="1:12" ht="15" customHeight="1" x14ac:dyDescent="0.25">
      <c r="A2975">
        <v>2974</v>
      </c>
      <c r="B2975" s="5">
        <v>46017</v>
      </c>
      <c r="C2975" t="s">
        <v>47</v>
      </c>
      <c r="D2975" t="s">
        <v>55</v>
      </c>
      <c r="E2975" t="s">
        <v>56</v>
      </c>
      <c r="F2975" t="s">
        <v>81</v>
      </c>
      <c r="G2975" s="6">
        <v>2278.29</v>
      </c>
      <c r="H2975" s="7">
        <v>5.5E-2</v>
      </c>
      <c r="I2975" s="6">
        <v>125.31</v>
      </c>
      <c r="J2975" s="6">
        <v>2403.6</v>
      </c>
      <c r="K2975" t="s">
        <v>5997</v>
      </c>
      <c r="L2975" t="s">
        <v>5998</v>
      </c>
    </row>
    <row r="2976" spans="1:12" ht="15" customHeight="1" x14ac:dyDescent="0.25">
      <c r="A2976">
        <v>2975</v>
      </c>
      <c r="B2976" s="5">
        <v>45870</v>
      </c>
      <c r="C2976" t="s">
        <v>27</v>
      </c>
      <c r="D2976" t="s">
        <v>28</v>
      </c>
      <c r="E2976" t="s">
        <v>29</v>
      </c>
      <c r="F2976" t="s">
        <v>84</v>
      </c>
      <c r="G2976" s="6">
        <v>4131.6899999999996</v>
      </c>
      <c r="H2976" s="7">
        <v>2.1000000000000001E-2</v>
      </c>
      <c r="I2976" s="6">
        <v>86.77</v>
      </c>
      <c r="J2976" s="6">
        <v>4218.46</v>
      </c>
      <c r="K2976" t="s">
        <v>5999</v>
      </c>
      <c r="L2976" t="s">
        <v>6000</v>
      </c>
    </row>
    <row r="2977" spans="1:12" ht="15" customHeight="1" x14ac:dyDescent="0.25">
      <c r="A2977">
        <v>2976</v>
      </c>
      <c r="B2977" s="5">
        <v>45835</v>
      </c>
      <c r="C2977" t="s">
        <v>33</v>
      </c>
      <c r="D2977" t="s">
        <v>63</v>
      </c>
      <c r="E2977" t="s">
        <v>64</v>
      </c>
      <c r="F2977" t="s">
        <v>39</v>
      </c>
      <c r="G2977" s="6">
        <v>671.95</v>
      </c>
      <c r="H2977" s="7">
        <v>0.2</v>
      </c>
      <c r="I2977" s="6">
        <v>134.38999999999999</v>
      </c>
      <c r="J2977" s="6">
        <v>806.34</v>
      </c>
      <c r="K2977" t="s">
        <v>6001</v>
      </c>
      <c r="L2977" t="s">
        <v>6002</v>
      </c>
    </row>
    <row r="2978" spans="1:12" ht="15" customHeight="1" x14ac:dyDescent="0.25">
      <c r="A2978">
        <v>2977</v>
      </c>
      <c r="B2978" s="5">
        <v>45721</v>
      </c>
      <c r="C2978" t="s">
        <v>47</v>
      </c>
      <c r="D2978" t="s">
        <v>172</v>
      </c>
      <c r="E2978" t="s">
        <v>173</v>
      </c>
      <c r="F2978" t="s">
        <v>120</v>
      </c>
      <c r="G2978" s="6">
        <v>3929.12</v>
      </c>
      <c r="H2978" s="7">
        <v>0.2</v>
      </c>
      <c r="I2978" s="6">
        <v>785.82</v>
      </c>
      <c r="J2978" s="6">
        <v>4714.9399999999996</v>
      </c>
      <c r="K2978" t="s">
        <v>6003</v>
      </c>
      <c r="L2978" t="s">
        <v>6004</v>
      </c>
    </row>
    <row r="2979" spans="1:12" ht="15" customHeight="1" x14ac:dyDescent="0.25">
      <c r="A2979">
        <v>2978</v>
      </c>
      <c r="B2979" s="5">
        <v>45807</v>
      </c>
      <c r="C2979" t="s">
        <v>27</v>
      </c>
      <c r="D2979" t="s">
        <v>55</v>
      </c>
      <c r="E2979" t="s">
        <v>56</v>
      </c>
      <c r="F2979" t="s">
        <v>36</v>
      </c>
      <c r="G2979" s="6">
        <v>1078.23</v>
      </c>
      <c r="H2979" s="7">
        <v>5.5E-2</v>
      </c>
      <c r="I2979" s="6">
        <v>59.3</v>
      </c>
      <c r="J2979" s="6">
        <v>1137.53</v>
      </c>
      <c r="K2979" t="s">
        <v>6005</v>
      </c>
      <c r="L2979" t="s">
        <v>6006</v>
      </c>
    </row>
    <row r="2980" spans="1:12" ht="15" customHeight="1" x14ac:dyDescent="0.25">
      <c r="A2980">
        <v>2979</v>
      </c>
      <c r="B2980" s="5">
        <v>45671</v>
      </c>
      <c r="C2980" t="s">
        <v>47</v>
      </c>
      <c r="D2980" t="s">
        <v>55</v>
      </c>
      <c r="E2980" t="s">
        <v>56</v>
      </c>
      <c r="F2980" t="s">
        <v>36</v>
      </c>
      <c r="G2980" s="6">
        <v>2672.58</v>
      </c>
      <c r="H2980" s="7">
        <v>5.5E-2</v>
      </c>
      <c r="I2980" s="6">
        <v>146.99</v>
      </c>
      <c r="J2980" s="6">
        <v>2819.57</v>
      </c>
      <c r="K2980" t="s">
        <v>6007</v>
      </c>
      <c r="L2980" t="s">
        <v>6008</v>
      </c>
    </row>
    <row r="2981" spans="1:12" ht="15" customHeight="1" x14ac:dyDescent="0.25">
      <c r="A2981">
        <v>2980</v>
      </c>
      <c r="B2981" s="5">
        <v>45768</v>
      </c>
      <c r="C2981" t="s">
        <v>33</v>
      </c>
      <c r="D2981" t="s">
        <v>42</v>
      </c>
      <c r="E2981" t="s">
        <v>43</v>
      </c>
      <c r="F2981" t="s">
        <v>44</v>
      </c>
      <c r="G2981" s="6">
        <v>3014.05</v>
      </c>
      <c r="H2981" s="7">
        <v>0</v>
      </c>
      <c r="I2981" s="6">
        <v>0</v>
      </c>
      <c r="J2981" s="6">
        <v>3014.05</v>
      </c>
      <c r="K2981" t="s">
        <v>6009</v>
      </c>
      <c r="L2981" t="s">
        <v>6010</v>
      </c>
    </row>
    <row r="2982" spans="1:12" ht="15" customHeight="1" x14ac:dyDescent="0.25">
      <c r="A2982">
        <v>2981</v>
      </c>
      <c r="B2982" s="5">
        <v>45705</v>
      </c>
      <c r="C2982" t="s">
        <v>33</v>
      </c>
      <c r="D2982" t="s">
        <v>79</v>
      </c>
      <c r="E2982" t="s">
        <v>80</v>
      </c>
      <c r="F2982" t="s">
        <v>39</v>
      </c>
      <c r="G2982" s="6">
        <v>1207.75</v>
      </c>
      <c r="H2982" s="7">
        <v>0.2</v>
      </c>
      <c r="I2982" s="6">
        <v>241.55</v>
      </c>
      <c r="J2982" s="6">
        <v>1449.3</v>
      </c>
      <c r="K2982" t="s">
        <v>6011</v>
      </c>
      <c r="L2982" t="s">
        <v>6012</v>
      </c>
    </row>
    <row r="2983" spans="1:12" ht="15" customHeight="1" x14ac:dyDescent="0.25">
      <c r="A2983">
        <v>2982</v>
      </c>
      <c r="B2983" s="5">
        <v>45924</v>
      </c>
      <c r="C2983" t="s">
        <v>27</v>
      </c>
      <c r="D2983" t="s">
        <v>42</v>
      </c>
      <c r="E2983" t="s">
        <v>43</v>
      </c>
      <c r="F2983" t="s">
        <v>44</v>
      </c>
      <c r="G2983" s="6">
        <v>4057.6</v>
      </c>
      <c r="H2983" s="7">
        <v>0</v>
      </c>
      <c r="I2983" s="6">
        <v>0</v>
      </c>
      <c r="J2983" s="6">
        <v>4057.6</v>
      </c>
      <c r="K2983" t="s">
        <v>6013</v>
      </c>
      <c r="L2983" t="s">
        <v>6014</v>
      </c>
    </row>
    <row r="2984" spans="1:12" ht="15" customHeight="1" x14ac:dyDescent="0.25">
      <c r="A2984">
        <v>2983</v>
      </c>
      <c r="B2984" s="5">
        <v>45779</v>
      </c>
      <c r="C2984" t="s">
        <v>47</v>
      </c>
      <c r="D2984" t="s">
        <v>181</v>
      </c>
      <c r="E2984" t="s">
        <v>182</v>
      </c>
      <c r="F2984" t="s">
        <v>36</v>
      </c>
      <c r="G2984" s="6">
        <v>2256.3000000000002</v>
      </c>
      <c r="H2984" s="7">
        <v>0.2</v>
      </c>
      <c r="I2984" s="6">
        <v>451.26</v>
      </c>
      <c r="J2984" s="6">
        <v>2707.56</v>
      </c>
      <c r="K2984" t="s">
        <v>6015</v>
      </c>
      <c r="L2984" t="s">
        <v>6016</v>
      </c>
    </row>
    <row r="2985" spans="1:12" ht="15" customHeight="1" x14ac:dyDescent="0.25">
      <c r="A2985">
        <v>2984</v>
      </c>
      <c r="B2985" s="5">
        <v>45681</v>
      </c>
      <c r="C2985" t="s">
        <v>47</v>
      </c>
      <c r="D2985" t="s">
        <v>94</v>
      </c>
      <c r="E2985" t="s">
        <v>95</v>
      </c>
      <c r="F2985" t="s">
        <v>44</v>
      </c>
      <c r="G2985" s="6">
        <v>739.96</v>
      </c>
      <c r="H2985" s="7">
        <v>0</v>
      </c>
      <c r="I2985" s="6">
        <v>0</v>
      </c>
      <c r="J2985" s="6">
        <v>739.96</v>
      </c>
      <c r="K2985" t="s">
        <v>6017</v>
      </c>
      <c r="L2985" t="s">
        <v>6018</v>
      </c>
    </row>
    <row r="2986" spans="1:12" ht="15" customHeight="1" x14ac:dyDescent="0.25">
      <c r="A2986">
        <v>2985</v>
      </c>
      <c r="B2986" s="5">
        <v>45667</v>
      </c>
      <c r="C2986" t="s">
        <v>33</v>
      </c>
      <c r="D2986" t="s">
        <v>63</v>
      </c>
      <c r="E2986" t="s">
        <v>64</v>
      </c>
      <c r="F2986" t="s">
        <v>71</v>
      </c>
      <c r="G2986" s="6">
        <v>4229.7</v>
      </c>
      <c r="H2986" s="7">
        <v>0.2</v>
      </c>
      <c r="I2986" s="6">
        <v>845.94</v>
      </c>
      <c r="J2986" s="6">
        <v>5075.6400000000003</v>
      </c>
      <c r="K2986" t="s">
        <v>6019</v>
      </c>
      <c r="L2986" t="s">
        <v>6020</v>
      </c>
    </row>
    <row r="2987" spans="1:12" ht="15" customHeight="1" x14ac:dyDescent="0.25">
      <c r="A2987">
        <v>2986</v>
      </c>
      <c r="B2987" s="5">
        <v>45842</v>
      </c>
      <c r="C2987" t="s">
        <v>27</v>
      </c>
      <c r="D2987" t="s">
        <v>100</v>
      </c>
      <c r="E2987" t="s">
        <v>101</v>
      </c>
      <c r="F2987" t="s">
        <v>44</v>
      </c>
      <c r="G2987" s="6">
        <v>3922.9</v>
      </c>
      <c r="H2987" s="7">
        <v>0</v>
      </c>
      <c r="I2987" s="6">
        <v>0</v>
      </c>
      <c r="J2987" s="6">
        <v>3922.9</v>
      </c>
      <c r="K2987" t="s">
        <v>6021</v>
      </c>
      <c r="L2987" t="s">
        <v>6022</v>
      </c>
    </row>
    <row r="2988" spans="1:12" ht="15" customHeight="1" x14ac:dyDescent="0.25">
      <c r="A2988">
        <v>2987</v>
      </c>
      <c r="B2988" s="5">
        <v>46008</v>
      </c>
      <c r="C2988" t="s">
        <v>33</v>
      </c>
      <c r="D2988" t="s">
        <v>63</v>
      </c>
      <c r="E2988" t="s">
        <v>64</v>
      </c>
      <c r="F2988" t="s">
        <v>50</v>
      </c>
      <c r="G2988" s="6">
        <v>2093.88</v>
      </c>
      <c r="H2988" s="7">
        <v>0.2</v>
      </c>
      <c r="I2988" s="6">
        <v>418.78</v>
      </c>
      <c r="J2988" s="6">
        <v>2512.66</v>
      </c>
      <c r="K2988" t="s">
        <v>6023</v>
      </c>
      <c r="L2988" t="s">
        <v>6024</v>
      </c>
    </row>
    <row r="2989" spans="1:12" ht="15" customHeight="1" x14ac:dyDescent="0.25">
      <c r="A2989">
        <v>2988</v>
      </c>
      <c r="B2989" s="5">
        <v>45747</v>
      </c>
      <c r="C2989" t="s">
        <v>33</v>
      </c>
      <c r="D2989" t="s">
        <v>28</v>
      </c>
      <c r="E2989" t="s">
        <v>29</v>
      </c>
      <c r="F2989" t="s">
        <v>174</v>
      </c>
      <c r="G2989" s="6">
        <v>3472.77</v>
      </c>
      <c r="H2989" s="7">
        <v>2.1000000000000001E-2</v>
      </c>
      <c r="I2989" s="6">
        <v>72.930000000000007</v>
      </c>
      <c r="J2989" s="6">
        <v>3545.7</v>
      </c>
      <c r="K2989" t="s">
        <v>6025</v>
      </c>
      <c r="L2989" t="s">
        <v>6026</v>
      </c>
    </row>
    <row r="2990" spans="1:12" ht="15" customHeight="1" x14ac:dyDescent="0.25">
      <c r="A2990">
        <v>2989</v>
      </c>
      <c r="B2990" s="5">
        <v>45918</v>
      </c>
      <c r="C2990" t="s">
        <v>47</v>
      </c>
      <c r="D2990" t="s">
        <v>28</v>
      </c>
      <c r="E2990" t="s">
        <v>29</v>
      </c>
      <c r="F2990" t="s">
        <v>36</v>
      </c>
      <c r="G2990" s="6">
        <v>2512.29</v>
      </c>
      <c r="H2990" s="7">
        <v>2.1000000000000001E-2</v>
      </c>
      <c r="I2990" s="6">
        <v>52.76</v>
      </c>
      <c r="J2990" s="6">
        <v>2565.0500000000002</v>
      </c>
      <c r="K2990" t="s">
        <v>6027</v>
      </c>
      <c r="L2990" t="s">
        <v>6028</v>
      </c>
    </row>
    <row r="2991" spans="1:12" ht="15" customHeight="1" x14ac:dyDescent="0.25">
      <c r="A2991">
        <v>2990</v>
      </c>
      <c r="B2991" s="5">
        <v>45875</v>
      </c>
      <c r="C2991" t="s">
        <v>33</v>
      </c>
      <c r="D2991" t="s">
        <v>79</v>
      </c>
      <c r="E2991" t="s">
        <v>80</v>
      </c>
      <c r="F2991" t="s">
        <v>120</v>
      </c>
      <c r="G2991" s="6">
        <v>3452.69</v>
      </c>
      <c r="H2991" s="7">
        <v>0.2</v>
      </c>
      <c r="I2991" s="6">
        <v>690.54</v>
      </c>
      <c r="J2991" s="6">
        <v>4143.2299999999996</v>
      </c>
      <c r="K2991" t="s">
        <v>6029</v>
      </c>
      <c r="L2991" t="s">
        <v>6030</v>
      </c>
    </row>
    <row r="2992" spans="1:12" ht="15" customHeight="1" x14ac:dyDescent="0.25">
      <c r="A2992">
        <v>2991</v>
      </c>
      <c r="B2992" s="5">
        <v>45926</v>
      </c>
      <c r="C2992" t="s">
        <v>27</v>
      </c>
      <c r="D2992" t="s">
        <v>28</v>
      </c>
      <c r="E2992" t="s">
        <v>29</v>
      </c>
      <c r="F2992" t="s">
        <v>174</v>
      </c>
      <c r="G2992" s="6">
        <v>3754.75</v>
      </c>
      <c r="H2992" s="7">
        <v>2.1000000000000001E-2</v>
      </c>
      <c r="I2992" s="6">
        <v>78.849999999999994</v>
      </c>
      <c r="J2992" s="6">
        <v>3833.6</v>
      </c>
      <c r="K2992" t="s">
        <v>6031</v>
      </c>
      <c r="L2992" t="s">
        <v>6032</v>
      </c>
    </row>
    <row r="2993" spans="1:13" ht="15" customHeight="1" x14ac:dyDescent="0.25">
      <c r="A2993">
        <v>2992</v>
      </c>
      <c r="B2993" s="5">
        <v>45813</v>
      </c>
      <c r="C2993" t="s">
        <v>33</v>
      </c>
      <c r="D2993" t="s">
        <v>28</v>
      </c>
      <c r="E2993" t="s">
        <v>29</v>
      </c>
      <c r="F2993" t="s">
        <v>39</v>
      </c>
      <c r="G2993" s="6">
        <v>4041.91</v>
      </c>
      <c r="H2993" s="7">
        <v>2.1000000000000001E-2</v>
      </c>
      <c r="I2993" s="6">
        <v>84.88</v>
      </c>
      <c r="J2993" s="6">
        <v>4126.79</v>
      </c>
      <c r="K2993" t="s">
        <v>6033</v>
      </c>
      <c r="L2993" t="s">
        <v>6034</v>
      </c>
    </row>
    <row r="2994" spans="1:13" ht="15" customHeight="1" x14ac:dyDescent="0.25">
      <c r="A2994">
        <v>2993</v>
      </c>
      <c r="B2994" s="5">
        <v>45757</v>
      </c>
      <c r="C2994" t="s">
        <v>27</v>
      </c>
      <c r="D2994" t="s">
        <v>94</v>
      </c>
      <c r="E2994" t="s">
        <v>95</v>
      </c>
      <c r="F2994" t="s">
        <v>44</v>
      </c>
      <c r="G2994" s="6">
        <v>1093.56</v>
      </c>
      <c r="H2994" s="7">
        <v>0</v>
      </c>
      <c r="I2994" s="6">
        <v>0</v>
      </c>
      <c r="J2994" s="6">
        <v>1093.56</v>
      </c>
      <c r="K2994" t="s">
        <v>6035</v>
      </c>
      <c r="L2994" t="s">
        <v>6036</v>
      </c>
    </row>
    <row r="2995" spans="1:13" ht="15" customHeight="1" x14ac:dyDescent="0.25">
      <c r="A2995">
        <v>2994</v>
      </c>
      <c r="B2995" s="5">
        <v>45727</v>
      </c>
      <c r="C2995" t="s">
        <v>27</v>
      </c>
      <c r="D2995" t="s">
        <v>42</v>
      </c>
      <c r="E2995" t="s">
        <v>43</v>
      </c>
      <c r="F2995" t="s">
        <v>44</v>
      </c>
      <c r="G2995" s="6">
        <v>2308.71</v>
      </c>
      <c r="H2995" s="7">
        <v>0</v>
      </c>
      <c r="I2995" s="6">
        <v>0</v>
      </c>
      <c r="J2995" s="6">
        <v>2308.71</v>
      </c>
      <c r="K2995" t="s">
        <v>6037</v>
      </c>
      <c r="L2995" t="s">
        <v>6038</v>
      </c>
    </row>
    <row r="2996" spans="1:13" ht="15" customHeight="1" x14ac:dyDescent="0.25">
      <c r="A2996">
        <v>2995</v>
      </c>
      <c r="B2996" s="5">
        <v>45721</v>
      </c>
      <c r="C2996" t="s">
        <v>47</v>
      </c>
      <c r="D2996" t="s">
        <v>181</v>
      </c>
      <c r="E2996" t="s">
        <v>182</v>
      </c>
      <c r="F2996" t="s">
        <v>120</v>
      </c>
      <c r="G2996" s="6">
        <v>316.02999999999997</v>
      </c>
      <c r="H2996" s="7">
        <v>0.2</v>
      </c>
      <c r="I2996" s="6">
        <v>63.21</v>
      </c>
      <c r="J2996" s="6">
        <v>379.24</v>
      </c>
      <c r="K2996" t="s">
        <v>6039</v>
      </c>
      <c r="L2996" t="s">
        <v>6040</v>
      </c>
    </row>
    <row r="2997" spans="1:13" ht="15" customHeight="1" x14ac:dyDescent="0.25">
      <c r="A2997">
        <v>2996</v>
      </c>
      <c r="B2997" s="5">
        <v>45667</v>
      </c>
      <c r="C2997" t="s">
        <v>47</v>
      </c>
      <c r="D2997" t="s">
        <v>42</v>
      </c>
      <c r="E2997" t="s">
        <v>43</v>
      </c>
      <c r="F2997" t="s">
        <v>44</v>
      </c>
      <c r="G2997" s="6">
        <v>1913.98</v>
      </c>
      <c r="H2997" s="7">
        <v>0</v>
      </c>
      <c r="I2997" s="6">
        <v>0</v>
      </c>
      <c r="J2997" s="6">
        <v>1913.98</v>
      </c>
      <c r="K2997" t="s">
        <v>6041</v>
      </c>
      <c r="L2997" t="s">
        <v>6042</v>
      </c>
    </row>
    <row r="2998" spans="1:13" ht="15" customHeight="1" x14ac:dyDescent="0.25">
      <c r="A2998">
        <v>2997</v>
      </c>
      <c r="B2998" s="5">
        <v>45691</v>
      </c>
      <c r="C2998" t="s">
        <v>27</v>
      </c>
      <c r="D2998" t="s">
        <v>172</v>
      </c>
      <c r="E2998" t="s">
        <v>173</v>
      </c>
      <c r="F2998" t="s">
        <v>174</v>
      </c>
      <c r="G2998" s="6">
        <v>3630.53</v>
      </c>
      <c r="H2998" s="7">
        <v>0.2</v>
      </c>
      <c r="I2998" s="6">
        <v>726.11</v>
      </c>
      <c r="J2998" s="6">
        <v>4356.6400000000003</v>
      </c>
      <c r="K2998" t="s">
        <v>6043</v>
      </c>
      <c r="L2998" t="s">
        <v>6044</v>
      </c>
    </row>
    <row r="2999" spans="1:13" ht="15" customHeight="1" x14ac:dyDescent="0.25">
      <c r="A2999">
        <v>2998</v>
      </c>
      <c r="B2999" s="5">
        <v>45889</v>
      </c>
      <c r="C2999" t="s">
        <v>33</v>
      </c>
      <c r="D2999" t="s">
        <v>100</v>
      </c>
      <c r="E2999" t="s">
        <v>101</v>
      </c>
      <c r="F2999" t="s">
        <v>44</v>
      </c>
      <c r="G2999" s="6">
        <v>3198.96</v>
      </c>
      <c r="H2999" s="7">
        <v>0</v>
      </c>
      <c r="I2999" s="6">
        <v>0</v>
      </c>
      <c r="J2999" s="6">
        <v>3198.96</v>
      </c>
      <c r="K2999" t="s">
        <v>6045</v>
      </c>
      <c r="L2999" t="s">
        <v>6046</v>
      </c>
    </row>
    <row r="3000" spans="1:13" ht="15" customHeight="1" x14ac:dyDescent="0.25">
      <c r="A3000">
        <v>2999</v>
      </c>
      <c r="B3000" s="5">
        <v>45951</v>
      </c>
      <c r="C3000" t="s">
        <v>47</v>
      </c>
      <c r="D3000" t="s">
        <v>42</v>
      </c>
      <c r="E3000" t="s">
        <v>43</v>
      </c>
      <c r="F3000" t="s">
        <v>44</v>
      </c>
      <c r="G3000" s="6">
        <v>3302.31</v>
      </c>
      <c r="H3000" s="7">
        <v>0</v>
      </c>
      <c r="I3000" s="6">
        <v>0</v>
      </c>
      <c r="J3000" s="6">
        <v>3302.31</v>
      </c>
      <c r="K3000" t="s">
        <v>6047</v>
      </c>
      <c r="L3000" t="s">
        <v>6048</v>
      </c>
    </row>
    <row r="3001" spans="1:13" ht="15" customHeight="1" x14ac:dyDescent="0.25">
      <c r="A3001">
        <v>3000</v>
      </c>
      <c r="B3001" s="5">
        <v>45994</v>
      </c>
      <c r="C3001" t="s">
        <v>27</v>
      </c>
      <c r="D3001" t="s">
        <v>172</v>
      </c>
      <c r="E3001" t="s">
        <v>173</v>
      </c>
      <c r="F3001" t="s">
        <v>106</v>
      </c>
      <c r="G3001" s="6">
        <v>1390.14</v>
      </c>
      <c r="H3001" s="7">
        <v>0.2</v>
      </c>
      <c r="I3001" s="6">
        <v>278.02999999999997</v>
      </c>
      <c r="J3001" s="6">
        <v>1668.17</v>
      </c>
      <c r="K3001" t="s">
        <v>6049</v>
      </c>
      <c r="L3001" t="s">
        <v>6050</v>
      </c>
    </row>
    <row r="3002" spans="1:13" ht="15" customHeight="1" x14ac:dyDescent="0.25">
      <c r="A3002">
        <v>3001</v>
      </c>
      <c r="B3002" s="5">
        <v>46002</v>
      </c>
      <c r="C3002" t="s">
        <v>27</v>
      </c>
      <c r="D3002" t="s">
        <v>55</v>
      </c>
      <c r="E3002" t="s">
        <v>56</v>
      </c>
      <c r="F3002" t="s">
        <v>39</v>
      </c>
      <c r="G3002" s="6">
        <v>3441.56</v>
      </c>
      <c r="H3002" s="7">
        <v>5.5E-2</v>
      </c>
      <c r="I3002" s="6">
        <v>189.29</v>
      </c>
      <c r="J3002" s="6">
        <v>3630.85</v>
      </c>
      <c r="K3002" t="s">
        <v>3303</v>
      </c>
      <c r="L3002" t="s">
        <v>3304</v>
      </c>
      <c r="M3002" t="s">
        <v>6051</v>
      </c>
    </row>
    <row r="3003" spans="1:13" ht="15" customHeight="1" x14ac:dyDescent="0.25">
      <c r="A3003">
        <v>3002</v>
      </c>
      <c r="B3003" s="5">
        <v>45973</v>
      </c>
      <c r="C3003" t="s">
        <v>33</v>
      </c>
      <c r="D3003" t="s">
        <v>28</v>
      </c>
      <c r="E3003" t="s">
        <v>29</v>
      </c>
      <c r="F3003" t="s">
        <v>71</v>
      </c>
      <c r="G3003" s="6">
        <v>3769.59</v>
      </c>
      <c r="H3003" s="7">
        <v>2.1000000000000001E-2</v>
      </c>
      <c r="I3003" s="6">
        <v>79.16</v>
      </c>
      <c r="J3003" s="6">
        <v>3848.75</v>
      </c>
      <c r="K3003" t="s">
        <v>1604</v>
      </c>
      <c r="L3003" t="s">
        <v>1605</v>
      </c>
      <c r="M3003" t="s">
        <v>6051</v>
      </c>
    </row>
    <row r="3004" spans="1:13" ht="15" customHeight="1" x14ac:dyDescent="0.25">
      <c r="A3004">
        <v>3003</v>
      </c>
      <c r="B3004" s="5">
        <v>45758</v>
      </c>
      <c r="C3004" t="s">
        <v>47</v>
      </c>
      <c r="D3004" t="s">
        <v>172</v>
      </c>
      <c r="E3004" t="s">
        <v>173</v>
      </c>
      <c r="F3004" t="s">
        <v>30</v>
      </c>
      <c r="G3004" s="6">
        <v>2103.75</v>
      </c>
      <c r="H3004" s="7">
        <v>0.2</v>
      </c>
      <c r="I3004" s="6">
        <v>420.75</v>
      </c>
      <c r="J3004" s="6">
        <v>2524.5</v>
      </c>
      <c r="K3004" t="s">
        <v>984</v>
      </c>
      <c r="L3004" t="s">
        <v>985</v>
      </c>
      <c r="M3004" t="s">
        <v>6051</v>
      </c>
    </row>
    <row r="3005" spans="1:13" ht="15" customHeight="1" x14ac:dyDescent="0.25">
      <c r="A3005">
        <v>3004</v>
      </c>
      <c r="B3005" s="5">
        <v>45922</v>
      </c>
      <c r="C3005" t="s">
        <v>33</v>
      </c>
      <c r="D3005" t="s">
        <v>63</v>
      </c>
      <c r="E3005" t="s">
        <v>64</v>
      </c>
      <c r="F3005" t="s">
        <v>76</v>
      </c>
      <c r="G3005" s="6">
        <v>3767.31</v>
      </c>
      <c r="H3005" s="7">
        <v>0.2</v>
      </c>
      <c r="I3005" s="6">
        <v>753.46</v>
      </c>
      <c r="J3005" s="6">
        <v>4520.7700000000004</v>
      </c>
      <c r="K3005" t="s">
        <v>4498</v>
      </c>
      <c r="L3005" t="s">
        <v>4499</v>
      </c>
      <c r="M3005" t="s">
        <v>6051</v>
      </c>
    </row>
    <row r="3006" spans="1:13" ht="15" customHeight="1" x14ac:dyDescent="0.25">
      <c r="A3006">
        <v>3005</v>
      </c>
      <c r="B3006" s="5">
        <v>45932</v>
      </c>
      <c r="C3006" t="s">
        <v>47</v>
      </c>
      <c r="D3006" t="s">
        <v>172</v>
      </c>
      <c r="E3006" t="s">
        <v>173</v>
      </c>
      <c r="F3006" t="s">
        <v>106</v>
      </c>
      <c r="G3006" s="6">
        <v>3542.96</v>
      </c>
      <c r="H3006" s="7">
        <v>0.2</v>
      </c>
      <c r="I3006" s="6">
        <v>708.59</v>
      </c>
      <c r="J3006" s="6">
        <v>4251.55</v>
      </c>
      <c r="K3006" t="s">
        <v>3403</v>
      </c>
      <c r="L3006" t="s">
        <v>3404</v>
      </c>
      <c r="M3006" t="s">
        <v>6051</v>
      </c>
    </row>
    <row r="3007" spans="1:13" ht="15" customHeight="1" x14ac:dyDescent="0.25">
      <c r="A3007">
        <v>3006</v>
      </c>
      <c r="B3007" s="5">
        <v>45769</v>
      </c>
      <c r="C3007" t="s">
        <v>27</v>
      </c>
      <c r="D3007" t="s">
        <v>42</v>
      </c>
      <c r="E3007" t="s">
        <v>43</v>
      </c>
      <c r="F3007" t="s">
        <v>44</v>
      </c>
      <c r="G3007" s="6">
        <v>3432.82</v>
      </c>
      <c r="H3007" s="7">
        <v>0</v>
      </c>
      <c r="I3007" s="6">
        <v>0</v>
      </c>
      <c r="J3007" s="6">
        <v>3432.82</v>
      </c>
      <c r="K3007" t="s">
        <v>842</v>
      </c>
      <c r="L3007" t="s">
        <v>843</v>
      </c>
      <c r="M3007" t="s">
        <v>6051</v>
      </c>
    </row>
    <row r="3008" spans="1:13" ht="15" customHeight="1" x14ac:dyDescent="0.25">
      <c r="A3008">
        <v>3007</v>
      </c>
      <c r="B3008" s="5">
        <v>45909</v>
      </c>
      <c r="C3008" t="s">
        <v>27</v>
      </c>
      <c r="D3008" t="s">
        <v>100</v>
      </c>
      <c r="E3008" t="s">
        <v>101</v>
      </c>
      <c r="F3008" t="s">
        <v>44</v>
      </c>
      <c r="G3008" s="6">
        <v>1829.44</v>
      </c>
      <c r="H3008" s="7">
        <v>0</v>
      </c>
      <c r="I3008" s="6">
        <v>0</v>
      </c>
      <c r="J3008" s="6">
        <v>1829.44</v>
      </c>
      <c r="K3008" t="s">
        <v>329</v>
      </c>
      <c r="L3008" t="s">
        <v>330</v>
      </c>
      <c r="M3008" t="s">
        <v>6051</v>
      </c>
    </row>
    <row r="3009" spans="1:13" ht="15" customHeight="1" x14ac:dyDescent="0.25">
      <c r="A3009">
        <v>3008</v>
      </c>
      <c r="B3009" s="5">
        <v>45811</v>
      </c>
      <c r="C3009" t="s">
        <v>27</v>
      </c>
      <c r="D3009" t="s">
        <v>55</v>
      </c>
      <c r="E3009" t="s">
        <v>56</v>
      </c>
      <c r="F3009" t="s">
        <v>81</v>
      </c>
      <c r="G3009" s="6">
        <v>3843.02</v>
      </c>
      <c r="H3009" s="7">
        <v>5.5E-2</v>
      </c>
      <c r="I3009" s="6">
        <v>211.37</v>
      </c>
      <c r="J3009" s="6">
        <v>4054.39</v>
      </c>
      <c r="K3009" t="s">
        <v>702</v>
      </c>
      <c r="L3009" t="s">
        <v>703</v>
      </c>
      <c r="M3009" t="s">
        <v>6051</v>
      </c>
    </row>
    <row r="3010" spans="1:13" ht="15" customHeight="1" x14ac:dyDescent="0.25">
      <c r="A3010">
        <v>3009</v>
      </c>
      <c r="B3010" s="5">
        <v>45868</v>
      </c>
      <c r="C3010" t="s">
        <v>47</v>
      </c>
      <c r="D3010" t="s">
        <v>34</v>
      </c>
      <c r="E3010" t="s">
        <v>35</v>
      </c>
      <c r="F3010" t="s">
        <v>120</v>
      </c>
      <c r="G3010" s="6">
        <v>1642.9</v>
      </c>
      <c r="H3010" s="7">
        <v>0.2</v>
      </c>
      <c r="I3010" s="6">
        <v>328.58</v>
      </c>
      <c r="J3010" s="6">
        <v>1971.48</v>
      </c>
      <c r="K3010" t="s">
        <v>517</v>
      </c>
      <c r="L3010" t="s">
        <v>518</v>
      </c>
      <c r="M3010" t="s">
        <v>6051</v>
      </c>
    </row>
    <row r="3011" spans="1:13" ht="15" customHeight="1" x14ac:dyDescent="0.25">
      <c r="A3011">
        <v>3010</v>
      </c>
      <c r="B3011" s="5">
        <v>45741</v>
      </c>
      <c r="C3011" t="s">
        <v>27</v>
      </c>
      <c r="D3011" t="s">
        <v>28</v>
      </c>
      <c r="E3011" t="s">
        <v>29</v>
      </c>
      <c r="F3011" t="s">
        <v>87</v>
      </c>
      <c r="G3011" s="6">
        <v>4344.07</v>
      </c>
      <c r="H3011" s="7">
        <v>2.1000000000000001E-2</v>
      </c>
      <c r="I3011" s="6">
        <v>91.23</v>
      </c>
      <c r="J3011" s="6">
        <v>4435.3</v>
      </c>
      <c r="K3011" t="s">
        <v>284</v>
      </c>
      <c r="L3011" t="s">
        <v>285</v>
      </c>
      <c r="M3011" t="s">
        <v>6051</v>
      </c>
    </row>
    <row r="3012" spans="1:13" ht="15" customHeight="1" x14ac:dyDescent="0.25">
      <c r="A3012">
        <v>3011</v>
      </c>
      <c r="B3012" s="5">
        <v>45918</v>
      </c>
      <c r="C3012" t="s">
        <v>27</v>
      </c>
      <c r="D3012" t="s">
        <v>55</v>
      </c>
      <c r="E3012" t="s">
        <v>56</v>
      </c>
      <c r="F3012" t="s">
        <v>76</v>
      </c>
      <c r="G3012" s="6">
        <v>575.01</v>
      </c>
      <c r="H3012" s="7">
        <v>5.5E-2</v>
      </c>
      <c r="I3012" s="6">
        <v>31.63</v>
      </c>
      <c r="J3012" s="6">
        <v>606.64</v>
      </c>
      <c r="K3012" t="s">
        <v>4768</v>
      </c>
      <c r="L3012" t="s">
        <v>4769</v>
      </c>
      <c r="M3012" t="s">
        <v>6051</v>
      </c>
    </row>
    <row r="3013" spans="1:13" ht="15" customHeight="1" x14ac:dyDescent="0.25">
      <c r="A3013">
        <v>3012</v>
      </c>
      <c r="B3013" s="5">
        <v>45768</v>
      </c>
      <c r="C3013" t="s">
        <v>47</v>
      </c>
      <c r="D3013" t="s">
        <v>181</v>
      </c>
      <c r="E3013" t="s">
        <v>182</v>
      </c>
      <c r="F3013" t="s">
        <v>174</v>
      </c>
      <c r="G3013" s="6">
        <v>722.57</v>
      </c>
      <c r="H3013" s="7">
        <v>0.2</v>
      </c>
      <c r="I3013" s="6">
        <v>144.51</v>
      </c>
      <c r="J3013" s="6">
        <v>867.08</v>
      </c>
      <c r="K3013" t="s">
        <v>4920</v>
      </c>
      <c r="L3013" t="s">
        <v>4921</v>
      </c>
      <c r="M3013" t="s">
        <v>6051</v>
      </c>
    </row>
    <row r="3014" spans="1:13" ht="15" customHeight="1" x14ac:dyDescent="0.25">
      <c r="A3014">
        <v>3013</v>
      </c>
      <c r="B3014" s="5">
        <v>45677</v>
      </c>
      <c r="C3014" t="s">
        <v>33</v>
      </c>
      <c r="D3014" t="s">
        <v>63</v>
      </c>
      <c r="E3014" t="s">
        <v>64</v>
      </c>
      <c r="F3014" t="s">
        <v>36</v>
      </c>
      <c r="G3014" s="6">
        <v>3282.27</v>
      </c>
      <c r="H3014" s="7">
        <v>0.2</v>
      </c>
      <c r="I3014" s="6">
        <v>656.45</v>
      </c>
      <c r="J3014" s="6">
        <v>3938.72</v>
      </c>
      <c r="K3014" t="s">
        <v>1713</v>
      </c>
      <c r="L3014" t="s">
        <v>1714</v>
      </c>
      <c r="M3014" t="s">
        <v>6051</v>
      </c>
    </row>
    <row r="3015" spans="1:13" ht="15" customHeight="1" x14ac:dyDescent="0.25">
      <c r="A3015">
        <v>3014</v>
      </c>
      <c r="B3015" s="5">
        <v>46016</v>
      </c>
      <c r="C3015" t="s">
        <v>27</v>
      </c>
      <c r="D3015" t="s">
        <v>100</v>
      </c>
      <c r="E3015" t="s">
        <v>101</v>
      </c>
      <c r="F3015" t="s">
        <v>44</v>
      </c>
      <c r="G3015" s="6">
        <v>3345.31</v>
      </c>
      <c r="H3015" s="7">
        <v>0</v>
      </c>
      <c r="I3015" s="6">
        <v>0</v>
      </c>
      <c r="J3015" s="6">
        <v>3345.31</v>
      </c>
      <c r="K3015" t="s">
        <v>2861</v>
      </c>
      <c r="L3015" t="s">
        <v>2862</v>
      </c>
      <c r="M3015" t="s">
        <v>6051</v>
      </c>
    </row>
    <row r="3016" spans="1:13" ht="15" customHeight="1" x14ac:dyDescent="0.25">
      <c r="A3016">
        <v>3015</v>
      </c>
      <c r="B3016" s="5">
        <v>45898</v>
      </c>
      <c r="C3016" t="s">
        <v>27</v>
      </c>
      <c r="D3016" t="s">
        <v>28</v>
      </c>
      <c r="E3016" t="s">
        <v>29</v>
      </c>
      <c r="F3016" t="s">
        <v>71</v>
      </c>
      <c r="G3016" s="6">
        <v>723.17</v>
      </c>
      <c r="H3016" s="7">
        <v>2.1000000000000001E-2</v>
      </c>
      <c r="I3016" s="6">
        <v>15.19</v>
      </c>
      <c r="J3016" s="6">
        <v>738.36</v>
      </c>
      <c r="K3016" t="s">
        <v>3730</v>
      </c>
      <c r="L3016" t="s">
        <v>3731</v>
      </c>
      <c r="M3016" t="s">
        <v>6051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abSelected="1" topLeftCell="A8" zoomScaleNormal="100" workbookViewId="0">
      <selection activeCell="F7" sqref="F7"/>
    </sheetView>
  </sheetViews>
  <sheetFormatPr baseColWidth="10" defaultColWidth="8.7109375" defaultRowHeight="15" x14ac:dyDescent="0.25"/>
  <cols>
    <col min="1" max="1" width="30" customWidth="1"/>
    <col min="2" max="2" width="40" customWidth="1"/>
    <col min="3" max="3" width="45" customWidth="1"/>
    <col min="4" max="4" width="14" customWidth="1"/>
    <col min="5" max="5" width="30" customWidth="1"/>
  </cols>
  <sheetData>
    <row r="1" spans="1:5" ht="17.25" customHeight="1" x14ac:dyDescent="0.25">
      <c r="A1" s="1" t="s">
        <v>6052</v>
      </c>
    </row>
    <row r="3" spans="1:5" ht="27.75" customHeight="1" x14ac:dyDescent="0.25">
      <c r="A3" s="3" t="s">
        <v>6053</v>
      </c>
      <c r="B3" s="3" t="s">
        <v>6054</v>
      </c>
      <c r="C3" s="3" t="s">
        <v>6055</v>
      </c>
      <c r="D3" s="3" t="s">
        <v>6056</v>
      </c>
      <c r="E3" s="3" t="s">
        <v>6057</v>
      </c>
    </row>
    <row r="4" spans="1:5" ht="60" x14ac:dyDescent="0.25">
      <c r="A4" s="8" t="s">
        <v>6058</v>
      </c>
      <c r="B4" s="9" t="s">
        <v>6059</v>
      </c>
      <c r="C4" s="10" cm="1">
        <f t="array" ref="C4">SUMPRODUCT((COUNTIFS('01_Journal_Ecritures'!$B$2:$B$3016,'01_Journal_Ecritures'!$B$2:$B$3016,'01_Journal_Ecritures'!$D$2:$D$3016,'01_Journal_Ecritures'!$D$2:$D$3016,'01_Journal_Ecritures'!$F$2:$F$3016,'01_Journal_Ecritures'!$F$2:$F$3016,'01_Journal_Ecritures'!$G$2:$G$3016,'01_Journal_Ecritures'!$G$2:$G$3016)&gt;1))</f>
        <v>0</v>
      </c>
      <c r="D4" s="11">
        <f>SUMPRODUCT((COUNTIFS('01_Journal_Ecritures'!$B$2:$B$3016,'01_Journal_Ecritures'!$B$2:$B$3016,'01_Journal_Ecritures'!$D$2:$D$3016,'01_Journal_Ecritures'!$D$2:$D$3016,'01_Journal_Ecritures'!$F$2:$F$3016,'01_Journal_Ecritures'!$F$2:$F$3016,'01_Journal_Ecritures'!$G$2:$G$3016,'01_Journal_Ecritures'!$G$2:$G$3016)&gt;1))</f>
        <v>0</v>
      </c>
      <c r="E4" s="9" t="s">
        <v>6060</v>
      </c>
    </row>
    <row r="5" spans="1:5" ht="45" x14ac:dyDescent="0.25">
      <c r="A5" s="8" t="s">
        <v>6061</v>
      </c>
      <c r="B5" s="9" t="s">
        <v>6062</v>
      </c>
      <c r="C5" s="10" cm="1">
        <f t="array" ref="C5">SUMPRODUCT(('01_Journal_Ecritures'!$G$2:$G$3016&gt;3*AVERAGEIF('01_Journal_Ecritures'!$D$2:$D$3016,'01_Journal_Ecritures'!$D$2:$D$3016,'01_Journal_Ecritures'!$G$2:$G$3016))*1)</f>
        <v>26</v>
      </c>
      <c r="D5" s="11">
        <f>SUMPRODUCT(('01_Journal_Ecritures'!$G$2:$G$3016&gt;3*AVERAGEIF('01_Journal_Ecritures'!$D$2:$D$3016,'01_Journal_Ecritures'!$D$2:$D$3016,'01_Journal_Ecritures'!$G$2:$G$3016))*1)</f>
        <v>26</v>
      </c>
      <c r="E5" s="9" t="s">
        <v>6063</v>
      </c>
    </row>
    <row r="6" spans="1:5" ht="45" x14ac:dyDescent="0.25">
      <c r="A6" s="8" t="s">
        <v>6064</v>
      </c>
      <c r="B6" s="9" t="s">
        <v>6065</v>
      </c>
      <c r="C6" s="10" cm="1">
        <f t="array" ref="C6">SUMPRODUCT((WEEKDAY('01_Journal_Ecritures'!$B$2:$B$3016,2)&gt;5)*('01_Journal_Ecritures'!$D$2:$D$3016&lt;&gt;"641")*('01_Journal_Ecritures'!$D$2:$D$3016&lt;&gt;"645"))</f>
        <v>17</v>
      </c>
      <c r="D6" s="11">
        <f>SUMPRODUCT((WEEKDAY('01_Journal_Ecritures'!$B$2:$B$3016,2)&gt;5)*('01_Journal_Ecritures'!$D$2:$D$3016&lt;&gt;"641")*('01_Journal_Ecritures'!$D$2:$D$3016&lt;&gt;"645"))</f>
        <v>17</v>
      </c>
      <c r="E6" s="9" t="s">
        <v>6066</v>
      </c>
    </row>
    <row r="7" spans="1:5" ht="45" x14ac:dyDescent="0.25">
      <c r="A7" s="8" t="s">
        <v>6180</v>
      </c>
      <c r="B7" s="9" t="s">
        <v>6067</v>
      </c>
      <c r="C7" s="10">
        <f>SUMPRODUCT((('01_Journal_Ecritures'!$B$2:$B$3016&lt;DATE(2025,1,1))+('01_Journal_Ecritures'!$B$2:$B$3016&gt;DATE(2025,12,31)))&gt;0)</f>
        <v>0</v>
      </c>
      <c r="D7" s="11">
        <f>SUMPRODUCT((('01_Journal_Ecritures'!$B$2:$B$3016&lt;DATE(2025,1,1))+('01_Journal_Ecritures'!$B$2:$B$3016&gt;DATE(2025,12,31)))&gt;0)</f>
        <v>0</v>
      </c>
      <c r="E7" s="9" t="s">
        <v>6068</v>
      </c>
    </row>
    <row r="8" spans="1:5" ht="45" x14ac:dyDescent="0.25">
      <c r="A8" s="8" t="s">
        <v>6069</v>
      </c>
      <c r="B8" s="9" t="s">
        <v>6070</v>
      </c>
      <c r="C8" s="10">
        <f>SUMPRODUCT((('01_Journal_Ecritures'!$D$2:$D$3016="601")*('01_Journal_Ecritures'!$H$2:$H$3016&lt;&gt;0.021))+(('01_Journal_Ecritures'!$D$2:$D$3016="602")*('01_Journal_Ecritures'!$H$2:$H$3016&lt;&gt;0.055))+(('01_Journal_Ecritures'!$D$2:$D$3016="613")*('01_Journal_Ecritures'!$H$2:$H$3016&lt;&gt;0.2))+(('01_Journal_Ecritures'!$D$2:$D$3016="615")*('01_Journal_Ecritures'!$H$2:$H$3016&lt;&gt;0.2))+(('01_Journal_Ecritures'!$D$2:$D$3016="622")*('01_Journal_Ecritures'!$H$2:$H$3016&lt;&gt;0.2))+(('01_Journal_Ecritures'!$D$2:$D$3016="625")*('01_Journal_Ecritures'!$H$2:$H$3016&lt;&gt;0.2))+(('01_Journal_Ecritures'!$D$2:$D$3016="626")*('01_Journal_Ecritures'!$H$2:$H$3016&lt;&gt;0.2)))</f>
        <v>11</v>
      </c>
      <c r="D8" s="11">
        <f>SUMPRODUCT((('01_Journal_Ecritures'!$D$2:$D$3016="601")*('01_Journal_Ecritures'!$H$2:$H$3016&lt;&gt;0.021))+(('01_Journal_Ecritures'!$D$2:$D$3016="602")*('01_Journal_Ecritures'!$H$2:$H$3016&lt;&gt;0.055))+(('01_Journal_Ecritures'!$D$2:$D$3016="613")*('01_Journal_Ecritures'!$H$2:$H$3016&lt;&gt;0.2))+(('01_Journal_Ecritures'!$D$2:$D$3016="615")*('01_Journal_Ecritures'!$H$2:$H$3016&lt;&gt;0.2))+(('01_Journal_Ecritures'!$D$2:$D$3016="622")*('01_Journal_Ecritures'!$H$2:$H$3016&lt;&gt;0.2))+(('01_Journal_Ecritures'!$D$2:$D$3016="625")*('01_Journal_Ecritures'!$H$2:$H$3016&lt;&gt;0.2))+(('01_Journal_Ecritures'!$D$2:$D$3016="626")*('01_Journal_Ecritures'!$H$2:$H$3016&lt;&gt;0.2)))</f>
        <v>11</v>
      </c>
      <c r="E8" s="9" t="s">
        <v>6071</v>
      </c>
    </row>
    <row r="9" spans="1:5" ht="45" x14ac:dyDescent="0.25">
      <c r="A9" s="8" t="s">
        <v>6072</v>
      </c>
      <c r="B9" s="9" t="s">
        <v>6073</v>
      </c>
      <c r="C9" s="10">
        <f>COUNTIF('01_Journal_Ecritures'!$D$2:$D$3016,"471")+COUNTIF('01_Journal_Ecritures'!$D$2:$D$3016,"758")+COUNTIF('01_Journal_Ecritures'!$D$2:$D$3016,"6788")</f>
        <v>10</v>
      </c>
      <c r="D9" s="11">
        <f>COUNTIF('01_Journal_Ecritures'!$D$2:$D$3016,"471")+COUNTIF('01_Journal_Ecritures'!$D$2:$D$3016,"758")+COUNTIF('01_Journal_Ecritures'!$D$2:$D$3016,"6788")</f>
        <v>10</v>
      </c>
      <c r="E9" s="9" t="s">
        <v>6074</v>
      </c>
    </row>
    <row r="10" spans="1:5" ht="45" x14ac:dyDescent="0.25">
      <c r="A10" s="8" t="s">
        <v>6075</v>
      </c>
      <c r="B10" s="9" t="s">
        <v>6076</v>
      </c>
      <c r="C10" s="10">
        <f>SUMPRODUCT((MOD('01_Journal_Ecritures'!$G$2:$G$3016,1000)=0)*('01_Journal_Ecritures'!$G$2:$G$3016&gt;0))</f>
        <v>20</v>
      </c>
      <c r="D10" s="11">
        <f>SUMPRODUCT((MOD('01_Journal_Ecritures'!$G$2:$G$3016,1000)=0)*('01_Journal_Ecritures'!$G$2:$G$3016&gt;0))</f>
        <v>20</v>
      </c>
      <c r="E10" s="9" t="s">
        <v>6077</v>
      </c>
    </row>
    <row r="11" spans="1:5" ht="30" x14ac:dyDescent="0.25">
      <c r="A11" s="8" t="s">
        <v>6078</v>
      </c>
      <c r="B11" s="9" t="s">
        <v>6079</v>
      </c>
      <c r="C11" s="10">
        <f>SUMPRODUCT(('01_Journal_Ecritures'!$L$2:$L$3016="")*('01_Journal_Ecritures'!$D$2:$D$3016&lt;&gt;"641")*('01_Journal_Ecritures'!$D$2:$D$3016&lt;&gt;"645")*('01_Journal_Ecritures'!$D$2:$D$3016&lt;&gt;"681"))</f>
        <v>20</v>
      </c>
      <c r="D11" s="11">
        <f>SUMPRODUCT(('01_Journal_Ecritures'!$L$2:$L$3016="")*('01_Journal_Ecritures'!$D$2:$D$3016&lt;&gt;"641")*('01_Journal_Ecritures'!$D$2:$D$3016&lt;&gt;"645")*('01_Journal_Ecritures'!$D$2:$D$3016&lt;&gt;"681"))</f>
        <v>20</v>
      </c>
      <c r="E11" s="9" t="s">
        <v>6080</v>
      </c>
    </row>
    <row r="12" spans="1:5" ht="45" x14ac:dyDescent="0.25">
      <c r="A12" s="8" t="s">
        <v>6081</v>
      </c>
      <c r="B12" s="9" t="s">
        <v>6082</v>
      </c>
      <c r="C12" s="10">
        <f>SUMPRODUCT(--ISNA(MATCH('01_Journal_Ecritures'!$F$2:$F$3016,{"PharmaSanté SAS","MedEquip France","Bureau Veritas","EDF Entreprises","Orange Business","ISS Facility","Clean Services Est","LabConso Distribution","Grand Est Maintenance","AXA Assurances","Interim Santé Plus","ImageMed Systems","Paie interne"},0)))</f>
        <v>9</v>
      </c>
      <c r="D12" s="11">
        <f>SUMPRODUCT(--ISNA(MATCH('01_Journal_Ecritures'!$F$2:$F$3016,{"PharmaSanté SAS","MedEquip France","Bureau Veritas","EDF Entreprises","Orange Business","ISS Facility","Clean Services Est","LabConso Distribution","Grand Est Maintenance","AXA Assurances","Interim Santé Plus","ImageMed Systems","Paie interne"},0)))</f>
        <v>9</v>
      </c>
      <c r="E12" s="9" t="s">
        <v>6083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topLeftCell="A10" zoomScaleNormal="100" workbookViewId="0">
      <selection activeCell="F9" sqref="F9"/>
    </sheetView>
  </sheetViews>
  <sheetFormatPr baseColWidth="10" defaultColWidth="8.7109375" defaultRowHeight="15" x14ac:dyDescent="0.25"/>
  <cols>
    <col min="1" max="1" width="16" customWidth="1"/>
    <col min="2" max="2" width="26" customWidth="1"/>
    <col min="3" max="3" width="30" customWidth="1"/>
    <col min="4" max="4" width="26" customWidth="1"/>
    <col min="5" max="5" width="12.5703125" customWidth="1"/>
    <col min="6" max="7" width="11" customWidth="1"/>
    <col min="8" max="9" width="30" customWidth="1"/>
  </cols>
  <sheetData>
    <row r="1" spans="1:9" ht="17.25" customHeight="1" x14ac:dyDescent="0.25">
      <c r="A1" s="1" t="s">
        <v>6084</v>
      </c>
    </row>
    <row r="3" spans="1:9" s="20" customFormat="1" ht="28.5" x14ac:dyDescent="0.25">
      <c r="A3" s="19" t="s">
        <v>6085</v>
      </c>
      <c r="B3" s="19" t="s">
        <v>6086</v>
      </c>
      <c r="C3" s="19" t="s">
        <v>6087</v>
      </c>
      <c r="D3" s="19" t="s">
        <v>6088</v>
      </c>
      <c r="E3" s="19" t="s">
        <v>6089</v>
      </c>
      <c r="F3" s="19" t="s">
        <v>6090</v>
      </c>
      <c r="G3" s="19" t="s">
        <v>6091</v>
      </c>
      <c r="H3" s="19" t="s">
        <v>6092</v>
      </c>
      <c r="I3" s="19" t="s">
        <v>6093</v>
      </c>
    </row>
    <row r="4" spans="1:9" ht="60" customHeight="1" x14ac:dyDescent="0.25">
      <c r="A4" s="9" t="s">
        <v>6094</v>
      </c>
      <c r="B4" s="9" t="s">
        <v>6095</v>
      </c>
      <c r="C4" s="9" t="s">
        <v>6096</v>
      </c>
      <c r="D4" s="9" t="s">
        <v>6097</v>
      </c>
      <c r="E4" s="9" t="s">
        <v>6098</v>
      </c>
      <c r="F4" s="9" t="s">
        <v>6099</v>
      </c>
      <c r="G4" s="12" t="s">
        <v>6099</v>
      </c>
      <c r="H4" s="9" t="s">
        <v>6100</v>
      </c>
      <c r="I4" s="9" t="s">
        <v>6101</v>
      </c>
    </row>
    <row r="5" spans="1:9" ht="60" customHeight="1" x14ac:dyDescent="0.25">
      <c r="A5" s="9" t="s">
        <v>6102</v>
      </c>
      <c r="B5" s="9" t="s">
        <v>6103</v>
      </c>
      <c r="C5" s="9" t="s">
        <v>6104</v>
      </c>
      <c r="D5" s="9" t="s">
        <v>6105</v>
      </c>
      <c r="E5" s="9" t="s">
        <v>6098</v>
      </c>
      <c r="F5" s="9" t="s">
        <v>6099</v>
      </c>
      <c r="G5" s="12" t="s">
        <v>6099</v>
      </c>
      <c r="H5" s="9" t="s">
        <v>6106</v>
      </c>
      <c r="I5" s="9" t="s">
        <v>6107</v>
      </c>
    </row>
    <row r="6" spans="1:9" ht="60" customHeight="1" x14ac:dyDescent="0.25">
      <c r="A6" s="9" t="s">
        <v>6108</v>
      </c>
      <c r="B6" s="9" t="s">
        <v>6109</v>
      </c>
      <c r="C6" s="9" t="s">
        <v>6110</v>
      </c>
      <c r="D6" s="9" t="s">
        <v>6111</v>
      </c>
      <c r="E6" s="9" t="s">
        <v>6112</v>
      </c>
      <c r="F6" s="9" t="s">
        <v>6113</v>
      </c>
      <c r="G6" s="13" t="s">
        <v>6113</v>
      </c>
      <c r="H6" s="9" t="s">
        <v>6114</v>
      </c>
      <c r="I6" s="9" t="s">
        <v>6115</v>
      </c>
    </row>
    <row r="7" spans="1:9" ht="60" customHeight="1" x14ac:dyDescent="0.25">
      <c r="A7" s="9" t="s">
        <v>6108</v>
      </c>
      <c r="B7" s="9" t="s">
        <v>6116</v>
      </c>
      <c r="C7" s="9" t="s">
        <v>6117</v>
      </c>
      <c r="D7" s="9" t="s">
        <v>6118</v>
      </c>
      <c r="E7" s="9" t="s">
        <v>6098</v>
      </c>
      <c r="F7" s="9" t="s">
        <v>6113</v>
      </c>
      <c r="G7" s="13" t="s">
        <v>6113</v>
      </c>
      <c r="H7" s="9" t="s">
        <v>6119</v>
      </c>
      <c r="I7" s="9" t="s">
        <v>6120</v>
      </c>
    </row>
    <row r="8" spans="1:9" ht="60" customHeight="1" x14ac:dyDescent="0.25">
      <c r="A8" s="9" t="s">
        <v>6121</v>
      </c>
      <c r="B8" s="9" t="s">
        <v>6122</v>
      </c>
      <c r="C8" s="9" t="s">
        <v>6123</v>
      </c>
      <c r="D8" s="9" t="s">
        <v>6124</v>
      </c>
      <c r="E8" s="9" t="s">
        <v>6098</v>
      </c>
      <c r="F8" s="9" t="s">
        <v>6099</v>
      </c>
      <c r="G8" s="12" t="s">
        <v>6099</v>
      </c>
      <c r="H8" s="9" t="s">
        <v>6125</v>
      </c>
      <c r="I8" s="9" t="s">
        <v>6126</v>
      </c>
    </row>
    <row r="9" spans="1:9" ht="60" customHeight="1" x14ac:dyDescent="0.25">
      <c r="A9" s="9" t="s">
        <v>6121</v>
      </c>
      <c r="B9" s="9" t="s">
        <v>6127</v>
      </c>
      <c r="C9" s="9" t="s">
        <v>6128</v>
      </c>
      <c r="D9" s="9" t="s">
        <v>6129</v>
      </c>
      <c r="E9" s="9" t="s">
        <v>6130</v>
      </c>
      <c r="F9" s="9" t="s">
        <v>6113</v>
      </c>
      <c r="G9" s="12" t="s">
        <v>6099</v>
      </c>
      <c r="H9" s="9" t="s">
        <v>6131</v>
      </c>
      <c r="I9" s="9" t="s">
        <v>6132</v>
      </c>
    </row>
    <row r="10" spans="1:9" ht="60" customHeight="1" x14ac:dyDescent="0.25">
      <c r="A10" s="9" t="s">
        <v>6121</v>
      </c>
      <c r="B10" s="9" t="s">
        <v>6133</v>
      </c>
      <c r="C10" s="9" t="s">
        <v>6134</v>
      </c>
      <c r="D10" s="9" t="s">
        <v>6135</v>
      </c>
      <c r="E10" s="9" t="s">
        <v>6098</v>
      </c>
      <c r="F10" s="9" t="s">
        <v>6113</v>
      </c>
      <c r="G10" s="13" t="s">
        <v>6113</v>
      </c>
      <c r="H10" s="9" t="s">
        <v>6136</v>
      </c>
      <c r="I10" s="9" t="s">
        <v>6137</v>
      </c>
    </row>
    <row r="11" spans="1:9" ht="60" customHeight="1" x14ac:dyDescent="0.25">
      <c r="A11" s="9" t="s">
        <v>6138</v>
      </c>
      <c r="B11" s="9" t="s">
        <v>6139</v>
      </c>
      <c r="C11" s="9" t="s">
        <v>6140</v>
      </c>
      <c r="D11" s="9" t="s">
        <v>6141</v>
      </c>
      <c r="E11" s="9" t="s">
        <v>6098</v>
      </c>
      <c r="F11" s="9" t="s">
        <v>6113</v>
      </c>
      <c r="G11" s="13" t="s">
        <v>6113</v>
      </c>
      <c r="H11" s="9" t="s">
        <v>6142</v>
      </c>
      <c r="I11" s="9" t="s">
        <v>6143</v>
      </c>
    </row>
    <row r="12" spans="1:9" ht="60" customHeight="1" x14ac:dyDescent="0.25">
      <c r="A12" s="9" t="s">
        <v>6144</v>
      </c>
      <c r="B12" s="9" t="s">
        <v>6145</v>
      </c>
      <c r="C12" s="9" t="s">
        <v>6146</v>
      </c>
      <c r="D12" s="9" t="s">
        <v>6147</v>
      </c>
      <c r="E12" s="9" t="s">
        <v>6130</v>
      </c>
      <c r="F12" s="9" t="s">
        <v>6113</v>
      </c>
      <c r="G12" s="12" t="s">
        <v>6099</v>
      </c>
      <c r="H12" s="9" t="s">
        <v>6148</v>
      </c>
      <c r="I12" s="9" t="s">
        <v>6149</v>
      </c>
    </row>
    <row r="15" spans="1:9" ht="15" customHeight="1" x14ac:dyDescent="0.25">
      <c r="A15" s="14" t="s">
        <v>6150</v>
      </c>
    </row>
    <row r="16" spans="1:9" ht="27.75" customHeight="1" x14ac:dyDescent="0.25">
      <c r="A16" s="3" t="s">
        <v>6151</v>
      </c>
      <c r="B16" s="3" t="s">
        <v>6130</v>
      </c>
      <c r="C16" s="3" t="s">
        <v>6099</v>
      </c>
      <c r="D16" s="3" t="s">
        <v>6113</v>
      </c>
    </row>
    <row r="17" spans="1:4" ht="15" customHeight="1" x14ac:dyDescent="0.25">
      <c r="A17" s="15" t="s">
        <v>6112</v>
      </c>
      <c r="B17" s="16"/>
      <c r="C17" s="16"/>
      <c r="D17" s="17">
        <v>1</v>
      </c>
    </row>
    <row r="18" spans="1:4" ht="15" customHeight="1" x14ac:dyDescent="0.25">
      <c r="A18" s="15" t="s">
        <v>6098</v>
      </c>
      <c r="B18" s="16"/>
      <c r="C18" s="18">
        <v>3</v>
      </c>
      <c r="D18" s="17">
        <v>3</v>
      </c>
    </row>
    <row r="19" spans="1:4" ht="15" customHeight="1" x14ac:dyDescent="0.25">
      <c r="A19" s="15" t="s">
        <v>6130</v>
      </c>
      <c r="B19" s="16"/>
      <c r="C19" s="16"/>
      <c r="D19" s="18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zoomScaleNormal="100" workbookViewId="0">
      <selection activeCell="D3" sqref="D3"/>
    </sheetView>
  </sheetViews>
  <sheetFormatPr baseColWidth="10" defaultColWidth="8.7109375" defaultRowHeight="15" x14ac:dyDescent="0.25"/>
  <cols>
    <col min="1" max="1" width="26" customWidth="1"/>
    <col min="2" max="2" width="45" customWidth="1"/>
    <col min="3" max="3" width="16" customWidth="1"/>
    <col min="4" max="4" width="40" customWidth="1"/>
  </cols>
  <sheetData>
    <row r="1" spans="1:4" ht="17.25" customHeight="1" x14ac:dyDescent="0.25">
      <c r="A1" s="1" t="s">
        <v>6152</v>
      </c>
    </row>
    <row r="3" spans="1:4" ht="15" customHeight="1" x14ac:dyDescent="0.25">
      <c r="A3" s="3" t="s">
        <v>6153</v>
      </c>
      <c r="B3" s="3" t="s">
        <v>6154</v>
      </c>
      <c r="C3" s="3" t="s">
        <v>6155</v>
      </c>
      <c r="D3" s="3" t="s">
        <v>6156</v>
      </c>
    </row>
    <row r="4" spans="1:4" ht="54.75" customHeight="1" x14ac:dyDescent="0.25">
      <c r="A4" s="9" t="s">
        <v>6157</v>
      </c>
      <c r="B4" s="9" t="s">
        <v>6158</v>
      </c>
      <c r="C4" s="13" t="s">
        <v>6159</v>
      </c>
      <c r="D4" s="9" t="s">
        <v>6160</v>
      </c>
    </row>
    <row r="5" spans="1:4" ht="54.75" customHeight="1" x14ac:dyDescent="0.25">
      <c r="A5" s="9" t="s">
        <v>6161</v>
      </c>
      <c r="B5" s="9" t="s">
        <v>6162</v>
      </c>
      <c r="C5" s="12" t="s">
        <v>6163</v>
      </c>
      <c r="D5" s="9" t="s">
        <v>6164</v>
      </c>
    </row>
    <row r="6" spans="1:4" ht="54.75" customHeight="1" x14ac:dyDescent="0.25">
      <c r="A6" s="9" t="s">
        <v>6165</v>
      </c>
      <c r="B6" s="9" t="s">
        <v>6166</v>
      </c>
      <c r="C6" s="13" t="s">
        <v>6159</v>
      </c>
      <c r="D6" s="9" t="s">
        <v>6167</v>
      </c>
    </row>
    <row r="7" spans="1:4" ht="54.75" customHeight="1" x14ac:dyDescent="0.25">
      <c r="A7" s="9" t="s">
        <v>6168</v>
      </c>
      <c r="B7" s="9" t="s">
        <v>6169</v>
      </c>
      <c r="C7" s="13" t="s">
        <v>6159</v>
      </c>
      <c r="D7" s="9" t="s">
        <v>6170</v>
      </c>
    </row>
    <row r="8" spans="1:4" ht="54.75" customHeight="1" x14ac:dyDescent="0.25">
      <c r="A8" s="9" t="s">
        <v>6171</v>
      </c>
      <c r="B8" s="9" t="s">
        <v>6172</v>
      </c>
      <c r="C8" s="12" t="s">
        <v>6163</v>
      </c>
      <c r="D8" s="9" t="s">
        <v>6173</v>
      </c>
    </row>
    <row r="9" spans="1:4" ht="54.75" customHeight="1" x14ac:dyDescent="0.25">
      <c r="A9" s="9" t="s">
        <v>6174</v>
      </c>
      <c r="B9" s="9" t="s">
        <v>6175</v>
      </c>
      <c r="C9" s="13" t="s">
        <v>6159</v>
      </c>
      <c r="D9" s="9" t="s">
        <v>6176</v>
      </c>
    </row>
    <row r="10" spans="1:4" ht="54.75" customHeight="1" x14ac:dyDescent="0.25">
      <c r="A10" s="9" t="s">
        <v>6177</v>
      </c>
      <c r="B10" s="9" t="s">
        <v>6178</v>
      </c>
      <c r="C10" s="13" t="s">
        <v>6159</v>
      </c>
      <c r="D10" s="9" t="s">
        <v>6179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00_Sommaire</vt:lpstr>
      <vt:lpstr>01_Journal_Ecritures</vt:lpstr>
      <vt:lpstr>02_Tests_Controle</vt:lpstr>
      <vt:lpstr>03_Cartographie_Risques</vt:lpstr>
      <vt:lpstr>04_Controle_Interne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0</cp:revision>
  <dcterms:created xsi:type="dcterms:W3CDTF">2026-09-05T19:01:06Z</dcterms:created>
  <dcterms:modified xsi:type="dcterms:W3CDTF">2026-09-12T19:02:01Z</dcterms:modified>
  <dc:language>en-US</dc:language>
</cp:coreProperties>
</file>