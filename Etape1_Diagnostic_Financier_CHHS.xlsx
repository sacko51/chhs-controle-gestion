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D9CEA15E-DC5B-4711-B135-2FB3868862AB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00_Sommaire" sheetId="1" r:id="rId1"/>
    <sheet name="01_Compte_Resultat" sheetId="2" r:id="rId2"/>
    <sheet name="02_Bilan" sheetId="3" r:id="rId3"/>
    <sheet name="03_Rati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4" l="1"/>
  <c r="D13" i="4"/>
  <c r="C13" i="4"/>
  <c r="E12" i="4"/>
  <c r="D12" i="4"/>
  <c r="C12" i="4"/>
  <c r="C11" i="4"/>
  <c r="C10" i="4"/>
  <c r="E9" i="4"/>
  <c r="E10" i="4" s="1"/>
  <c r="D9" i="4"/>
  <c r="D10" i="4" s="1"/>
  <c r="C9" i="4"/>
  <c r="E8" i="4"/>
  <c r="D8" i="4"/>
  <c r="C8" i="4"/>
  <c r="E7" i="4"/>
  <c r="D7" i="4"/>
  <c r="C7" i="4"/>
  <c r="E6" i="4"/>
  <c r="D6" i="4"/>
  <c r="C6" i="4"/>
  <c r="D16" i="3"/>
  <c r="C16" i="3"/>
  <c r="B16" i="3"/>
  <c r="B18" i="3" s="1"/>
  <c r="D9" i="3"/>
  <c r="E11" i="4" s="1"/>
  <c r="C9" i="3"/>
  <c r="D11" i="4" s="1"/>
  <c r="B9" i="3"/>
  <c r="D11" i="2"/>
  <c r="E4" i="4" s="1"/>
  <c r="D10" i="2"/>
  <c r="F10" i="2" s="1"/>
  <c r="C10" i="2"/>
  <c r="C11" i="2" s="1"/>
  <c r="B10" i="2"/>
  <c r="B11" i="2" s="1"/>
  <c r="F9" i="2"/>
  <c r="E9" i="2"/>
  <c r="F8" i="2"/>
  <c r="E8" i="2"/>
  <c r="F7" i="2"/>
  <c r="E7" i="2"/>
  <c r="F6" i="2"/>
  <c r="E6" i="2"/>
  <c r="F5" i="2"/>
  <c r="E5" i="2"/>
  <c r="F4" i="2"/>
  <c r="E4" i="2"/>
  <c r="C4" i="4" l="1"/>
  <c r="B14" i="2"/>
  <c r="B16" i="2" s="1"/>
  <c r="B12" i="2"/>
  <c r="D4" i="4"/>
  <c r="C14" i="2"/>
  <c r="C16" i="2" s="1"/>
  <c r="C12" i="2"/>
  <c r="E11" i="2"/>
  <c r="F11" i="2"/>
  <c r="D12" i="2"/>
  <c r="C18" i="3"/>
  <c r="D18" i="3"/>
  <c r="E10" i="2"/>
  <c r="D14" i="2"/>
  <c r="D16" i="2" s="1"/>
  <c r="B18" i="2" l="1"/>
  <c r="B19" i="2" s="1"/>
  <c r="D18" i="2"/>
  <c r="D19" i="2" s="1"/>
  <c r="C18" i="2"/>
  <c r="C19" i="2" s="1"/>
  <c r="C20" i="2" l="1"/>
  <c r="E19" i="2"/>
  <c r="D5" i="4"/>
  <c r="D20" i="2"/>
  <c r="F19" i="2"/>
  <c r="E5" i="4"/>
  <c r="C5" i="4"/>
  <c r="B20" i="2"/>
</calcChain>
</file>

<file path=xl/sharedStrings.xml><?xml version="1.0" encoding="utf-8"?>
<sst xmlns="http://schemas.openxmlformats.org/spreadsheetml/2006/main" count="95" uniqueCount="88">
  <si>
    <t>ÉTAPE 1 - DIAGNOSTIC FINANCIER - CHHS</t>
  </si>
  <si>
    <t>Centre hospitalier horizon SANTÉ (CHHS)</t>
  </si>
  <si>
    <t>Données fictives construites à des fins pédagogiques et professionnelles.</t>
  </si>
  <si>
    <t>Onglet</t>
  </si>
  <si>
    <t>Contenu</t>
  </si>
  <si>
    <t>01_Compte_Resultat</t>
  </si>
  <si>
    <t>Compte de résultat simplifié N-2 / N-1 / N, évolutions et taux de marge</t>
  </si>
  <si>
    <t>02_Bilan</t>
  </si>
  <si>
    <t>Bilan simplifié N-2 / N-1 / N (actif / passif) et contrôle d'équilibre</t>
  </si>
  <si>
    <t>03_Ratios</t>
  </si>
  <si>
    <t>Tableau de ratios financiers (structure, liquidité, rentabilité) avec interprétation</t>
  </si>
  <si>
    <t>Convention de couleur</t>
  </si>
  <si>
    <t>Bleu = donnée saisie (hypothèse / donnée fictive source)</t>
  </si>
  <si>
    <t>Noir = formule calculée automatiquement</t>
  </si>
  <si>
    <t>Toute modification d'une donnée bleue se répercute automatiquement sur les calculs et les ratios.</t>
  </si>
  <si>
    <t>COMPTE DE RÉSULTAT SIMPLIFIÉ - CHHS (en k€)</t>
  </si>
  <si>
    <t>Poste</t>
  </si>
  <si>
    <t>N-2</t>
  </si>
  <si>
    <t>N-1</t>
  </si>
  <si>
    <t>N</t>
  </si>
  <si>
    <t>Évol. N-1/N-2</t>
  </si>
  <si>
    <t>Évol. N/N-1</t>
  </si>
  <si>
    <t>Chiffre d'affaires</t>
  </si>
  <si>
    <t>Achats consommés (médicaments, DM, consommables)</t>
  </si>
  <si>
    <t>Charges externes (sous-traitance, locations, entretien, honoraires)</t>
  </si>
  <si>
    <t>Charges de personnel</t>
  </si>
  <si>
    <t>Impôts et taxes</t>
  </si>
  <si>
    <t>Dotations aux amortissements</t>
  </si>
  <si>
    <t>Total charges d'exploitation</t>
  </si>
  <si>
    <t>Résultat d'exploitation</t>
  </si>
  <si>
    <t>Taux de marge d'exploitation (Résultat expl. / CA)</t>
  </si>
  <si>
    <t>Résultat financier</t>
  </si>
  <si>
    <t>Résultat courant avant impôt</t>
  </si>
  <si>
    <t>Résultat exceptionnel</t>
  </si>
  <si>
    <t>Résultat avant impôt</t>
  </si>
  <si>
    <t>Taux d'impôt sur les sociétés (hypothèse)</t>
  </si>
  <si>
    <t>Impôt sur les sociétés</t>
  </si>
  <si>
    <t>Résultat net</t>
  </si>
  <si>
    <t>Taux de rentabilité nette (Résultat net / CA)</t>
  </si>
  <si>
    <t>Note : modèle simplifié à but pédagogique - les postes ne détaillent pas l'ensemble du plan comptable général.</t>
  </si>
  <si>
    <t>BILAN SIMPLIFIÉ - CHHS (en k€)</t>
  </si>
  <si>
    <t>ACTIF</t>
  </si>
  <si>
    <t>Immobilisations nettes</t>
  </si>
  <si>
    <t>Stocks (médicaments, consommables)</t>
  </si>
  <si>
    <t>Créances clients</t>
  </si>
  <si>
    <t>Trésorerie active</t>
  </si>
  <si>
    <t>TOTAL ACTIF</t>
  </si>
  <si>
    <t>PASSIF</t>
  </si>
  <si>
    <t>Capitaux propres</t>
  </si>
  <si>
    <t>Dettes financières (LT)</t>
  </si>
  <si>
    <t>Dettes fournisseurs</t>
  </si>
  <si>
    <t>Autres dettes court terme (fiscal, social, divers)</t>
  </si>
  <si>
    <t>TOTAL PASSIF</t>
  </si>
  <si>
    <t>Contrôle d'équilibre (Actif - Passif)</t>
  </si>
  <si>
    <t>TABLEAU DE RATIOS FINANCIERS - CHHS</t>
  </si>
  <si>
    <t>Ratio</t>
  </si>
  <si>
    <t>Formule</t>
  </si>
  <si>
    <t>Interprétation</t>
  </si>
  <si>
    <t>Taux de marge d'exploitation</t>
  </si>
  <si>
    <t>Résultat d'exploitation / CA</t>
  </si>
  <si>
    <t>Mesure la rentabilité opérationnelle avant éléments financiers et exceptionnels.</t>
  </si>
  <si>
    <t>Taux de rentabilité nette</t>
  </si>
  <si>
    <t>Résultat net / CA</t>
  </si>
  <si>
    <t>Mesure la rentabilité finale après charges financières, exceptionnelles et impôt.</t>
  </si>
  <si>
    <t>Poids des charges de personnel</t>
  </si>
  <si>
    <t>Charges de personnel / CA</t>
  </si>
  <si>
    <t>Suit la principale composante de coût du secteur de la santé.</t>
  </si>
  <si>
    <t>Poids des charges externes</t>
  </si>
  <si>
    <t>Charges externes / CA</t>
  </si>
  <si>
    <t>Suit le poids de la sous-traitance, des locations et des prestations externes.</t>
  </si>
  <si>
    <t>Fonds de roulement (FR)</t>
  </si>
  <si>
    <t>(Capitaux propres + Dettes financières LT) - Immobilisations nettes</t>
  </si>
  <si>
    <t>Ressources stables disponibles après financement des immobilisations.</t>
  </si>
  <si>
    <t>Besoin en fonds de roulement (BFR)</t>
  </si>
  <si>
    <t>(Stocks + Créances) - (Dettes fournisseurs + Autres dettes CT)</t>
  </si>
  <si>
    <t>Besoin de financement lié au cycle d'exploitation.</t>
  </si>
  <si>
    <t>Trésorerie nette</t>
  </si>
  <si>
    <t>FR - BFR</t>
  </si>
  <si>
    <t>Doit être cohérente avec la trésorerie active du bilan (contrôle de cohérence).</t>
  </si>
  <si>
    <t>Autonomie financière</t>
  </si>
  <si>
    <t>Capitaux propres / Total actif</t>
  </si>
  <si>
    <t>Part des ressources propres dans le financement total : plus le taux est élevé, plus la structure financière est solide.</t>
  </si>
  <si>
    <t>Taux d'endettement</t>
  </si>
  <si>
    <t>Dettes financières / Capitaux propres</t>
  </si>
  <si>
    <t>Mesure le recours à l'endettement par rapport aux fonds propres.</t>
  </si>
  <si>
    <t>Liquidité générale</t>
  </si>
  <si>
    <t>(Stocks+Créances+Trésorerie) / (Dettes fournisseurs+Autres dettes CT)</t>
  </si>
  <si>
    <t>Capacité à couvrir les dettes à court terme avec l'actif circulant.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</si>
</sst>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\x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Cambria"/>
      <charset val="1"/>
    </font>
    <font>
      <i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00"/>
      <name val="Cambria"/>
      <charset val="1"/>
    </font>
    <font>
      <b/>
      <sz val="11"/>
      <name val="Cambria"/>
      <charset val="1"/>
    </font>
    <font>
      <sz val="11"/>
      <color rgb="FF0000FF"/>
      <name val="Cambria"/>
      <charset val="1"/>
    </font>
    <font>
      <i/>
      <sz val="9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3" fontId="6" fillId="0" borderId="1" xfId="0" applyNumberFormat="1" applyFont="1" applyBorder="1"/>
    <xf numFmtId="164" fontId="0" fillId="0" borderId="1" xfId="0" applyNumberFormat="1" applyBorder="1"/>
    <xf numFmtId="0" fontId="5" fillId="0" borderId="1" xfId="0" applyFont="1" applyBorder="1"/>
    <xf numFmtId="3" fontId="5" fillId="0" borderId="1" xfId="0" applyNumberFormat="1" applyFont="1" applyBorder="1"/>
    <xf numFmtId="3" fontId="0" fillId="0" borderId="1" xfId="0" applyNumberFormat="1" applyBorder="1"/>
    <xf numFmtId="164" fontId="6" fillId="0" borderId="1" xfId="0" applyNumberFormat="1" applyFont="1" applyBorder="1"/>
    <xf numFmtId="0" fontId="7" fillId="0" borderId="0" xfId="0" applyFont="1"/>
    <xf numFmtId="0" fontId="5" fillId="3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A11" sqref="A11"/>
    </sheetView>
  </sheetViews>
  <sheetFormatPr baseColWidth="10" defaultColWidth="8.7109375" defaultRowHeight="15" x14ac:dyDescent="0.25"/>
  <cols>
    <col min="1" max="1" width="40" customWidth="1"/>
    <col min="2" max="2" width="90" customWidth="1"/>
  </cols>
  <sheetData>
    <row r="1" spans="1:2" ht="17.25" customHeight="1" x14ac:dyDescent="0.25">
      <c r="A1" s="1" t="s">
        <v>0</v>
      </c>
    </row>
    <row r="3" spans="1:2" ht="15" customHeight="1" x14ac:dyDescent="0.25">
      <c r="A3" t="s">
        <v>1</v>
      </c>
    </row>
    <row r="4" spans="1:2" ht="15" customHeight="1" x14ac:dyDescent="0.25">
      <c r="A4" s="2" t="s">
        <v>2</v>
      </c>
    </row>
    <row r="6" spans="1:2" ht="15" customHeight="1" x14ac:dyDescent="0.25">
      <c r="A6" s="3" t="s">
        <v>3</v>
      </c>
      <c r="B6" s="3" t="s">
        <v>4</v>
      </c>
    </row>
    <row r="7" spans="1:2" ht="15" customHeight="1" x14ac:dyDescent="0.25">
      <c r="A7" s="4" t="s">
        <v>5</v>
      </c>
      <c r="B7" t="s">
        <v>6</v>
      </c>
    </row>
    <row r="8" spans="1:2" ht="15" customHeight="1" x14ac:dyDescent="0.25">
      <c r="A8" s="4" t="s">
        <v>7</v>
      </c>
      <c r="B8" t="s">
        <v>8</v>
      </c>
    </row>
    <row r="9" spans="1:2" ht="15" customHeight="1" x14ac:dyDescent="0.25">
      <c r="A9" s="4" t="s">
        <v>9</v>
      </c>
      <c r="B9" t="s">
        <v>10</v>
      </c>
    </row>
    <row r="11" spans="1:2" ht="15" customHeight="1" x14ac:dyDescent="0.25">
      <c r="A11" s="5" t="s">
        <v>11</v>
      </c>
    </row>
    <row r="12" spans="1:2" ht="15" customHeight="1" x14ac:dyDescent="0.25">
      <c r="A12" s="6" t="s">
        <v>12</v>
      </c>
    </row>
    <row r="13" spans="1:2" ht="15" customHeight="1" x14ac:dyDescent="0.25">
      <c r="A13" s="4" t="s">
        <v>13</v>
      </c>
    </row>
    <row r="14" spans="1:2" ht="15" customHeight="1" x14ac:dyDescent="0.25">
      <c r="A14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>
      <selection activeCell="A23" sqref="A23"/>
    </sheetView>
  </sheetViews>
  <sheetFormatPr baseColWidth="10" defaultColWidth="8.7109375" defaultRowHeight="15" x14ac:dyDescent="0.25"/>
  <cols>
    <col min="1" max="1" width="40" customWidth="1"/>
    <col min="2" max="4" width="14" customWidth="1"/>
    <col min="5" max="6" width="16" customWidth="1"/>
  </cols>
  <sheetData>
    <row r="1" spans="1:6" ht="17.25" customHeight="1" x14ac:dyDescent="0.25">
      <c r="A1" s="1" t="s">
        <v>15</v>
      </c>
    </row>
    <row r="3" spans="1:6" ht="15" customHeight="1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</row>
    <row r="4" spans="1:6" ht="15" customHeight="1" x14ac:dyDescent="0.25">
      <c r="A4" s="7" t="s">
        <v>22</v>
      </c>
      <c r="B4" s="8">
        <v>38000</v>
      </c>
      <c r="C4" s="8">
        <v>40200</v>
      </c>
      <c r="D4" s="8">
        <v>42500</v>
      </c>
      <c r="E4" s="9">
        <f t="shared" ref="E4:F11" si="0">IFERROR(C4/B4-1,"-")</f>
        <v>5.7894736842105221E-2</v>
      </c>
      <c r="F4" s="9">
        <f t="shared" si="0"/>
        <v>5.7213930348258613E-2</v>
      </c>
    </row>
    <row r="5" spans="1:6" ht="15" customHeight="1" x14ac:dyDescent="0.25">
      <c r="A5" s="7" t="s">
        <v>23</v>
      </c>
      <c r="B5" s="8">
        <v>5700</v>
      </c>
      <c r="C5" s="8">
        <v>6110</v>
      </c>
      <c r="D5" s="8">
        <v>6588</v>
      </c>
      <c r="E5" s="9">
        <f t="shared" si="0"/>
        <v>7.192982456140351E-2</v>
      </c>
      <c r="F5" s="9">
        <f t="shared" si="0"/>
        <v>7.8232405891980328E-2</v>
      </c>
    </row>
    <row r="6" spans="1:6" ht="15" customHeight="1" x14ac:dyDescent="0.25">
      <c r="A6" s="7" t="s">
        <v>24</v>
      </c>
      <c r="B6" s="8">
        <v>4560</v>
      </c>
      <c r="C6" s="8">
        <v>4744</v>
      </c>
      <c r="D6" s="8">
        <v>4888</v>
      </c>
      <c r="E6" s="9">
        <f t="shared" si="0"/>
        <v>4.035087719298236E-2</v>
      </c>
      <c r="F6" s="9">
        <f t="shared" si="0"/>
        <v>3.0354131534569895E-2</v>
      </c>
    </row>
    <row r="7" spans="1:6" ht="15" customHeight="1" x14ac:dyDescent="0.25">
      <c r="A7" s="7" t="s">
        <v>25</v>
      </c>
      <c r="B7" s="8">
        <v>22420</v>
      </c>
      <c r="C7" s="8">
        <v>24120</v>
      </c>
      <c r="D7" s="8">
        <v>26138</v>
      </c>
      <c r="E7" s="9">
        <f t="shared" si="0"/>
        <v>7.5825156110615577E-2</v>
      </c>
      <c r="F7" s="9">
        <f t="shared" si="0"/>
        <v>8.3665008291873955E-2</v>
      </c>
    </row>
    <row r="8" spans="1:6" ht="15" customHeight="1" x14ac:dyDescent="0.25">
      <c r="A8" s="7" t="s">
        <v>26</v>
      </c>
      <c r="B8" s="8">
        <v>760</v>
      </c>
      <c r="C8" s="8">
        <v>804</v>
      </c>
      <c r="D8" s="8">
        <v>850</v>
      </c>
      <c r="E8" s="9">
        <f t="shared" si="0"/>
        <v>5.7894736842105221E-2</v>
      </c>
      <c r="F8" s="9">
        <f t="shared" si="0"/>
        <v>5.7213930348258613E-2</v>
      </c>
    </row>
    <row r="9" spans="1:6" ht="15" customHeight="1" x14ac:dyDescent="0.25">
      <c r="A9" s="7" t="s">
        <v>27</v>
      </c>
      <c r="B9" s="8">
        <v>1900</v>
      </c>
      <c r="C9" s="8">
        <v>2010</v>
      </c>
      <c r="D9" s="8">
        <v>2210</v>
      </c>
      <c r="E9" s="9">
        <f t="shared" si="0"/>
        <v>5.7894736842105221E-2</v>
      </c>
      <c r="F9" s="9">
        <f t="shared" si="0"/>
        <v>9.9502487562189046E-2</v>
      </c>
    </row>
    <row r="10" spans="1:6" ht="15" customHeight="1" x14ac:dyDescent="0.25">
      <c r="A10" s="10" t="s">
        <v>28</v>
      </c>
      <c r="B10" s="11">
        <f>SUM(B5:B9)</f>
        <v>35340</v>
      </c>
      <c r="C10" s="11">
        <f>SUM(C5:C9)</f>
        <v>37788</v>
      </c>
      <c r="D10" s="11">
        <f>SUM(D5:D9)</f>
        <v>40674</v>
      </c>
      <c r="E10" s="9">
        <f t="shared" si="0"/>
        <v>6.9269949066213865E-2</v>
      </c>
      <c r="F10" s="9">
        <f t="shared" si="0"/>
        <v>7.6373451889488742E-2</v>
      </c>
    </row>
    <row r="11" spans="1:6" ht="15" customHeight="1" x14ac:dyDescent="0.25">
      <c r="A11" s="10" t="s">
        <v>29</v>
      </c>
      <c r="B11" s="11">
        <f>B4-B10</f>
        <v>2660</v>
      </c>
      <c r="C11" s="11">
        <f>C4-C10</f>
        <v>2412</v>
      </c>
      <c r="D11" s="11">
        <f>D4-D10</f>
        <v>1826</v>
      </c>
      <c r="E11" s="9">
        <f t="shared" si="0"/>
        <v>-9.323308270676689E-2</v>
      </c>
      <c r="F11" s="9">
        <f t="shared" si="0"/>
        <v>-0.24295190713101156</v>
      </c>
    </row>
    <row r="12" spans="1:6" ht="15" customHeight="1" x14ac:dyDescent="0.25">
      <c r="A12" s="7" t="s">
        <v>30</v>
      </c>
      <c r="B12" s="9">
        <f>B11/B4</f>
        <v>7.0000000000000007E-2</v>
      </c>
      <c r="C12" s="9">
        <f>C11/C4</f>
        <v>0.06</v>
      </c>
      <c r="D12" s="9">
        <f>D11/D4</f>
        <v>4.296470588235294E-2</v>
      </c>
      <c r="E12" s="7"/>
      <c r="F12" s="7"/>
    </row>
    <row r="13" spans="1:6" ht="15" customHeight="1" x14ac:dyDescent="0.25">
      <c r="A13" s="7" t="s">
        <v>31</v>
      </c>
      <c r="B13" s="8">
        <v>-150</v>
      </c>
      <c r="C13" s="8">
        <v>-180</v>
      </c>
      <c r="D13" s="8">
        <v>-220</v>
      </c>
      <c r="E13" s="7"/>
      <c r="F13" s="7"/>
    </row>
    <row r="14" spans="1:6" ht="15" customHeight="1" x14ac:dyDescent="0.25">
      <c r="A14" s="10" t="s">
        <v>32</v>
      </c>
      <c r="B14" s="11">
        <f>B11+B13</f>
        <v>2510</v>
      </c>
      <c r="C14" s="11">
        <f>C11+C13</f>
        <v>2232</v>
      </c>
      <c r="D14" s="11">
        <f>D11+D13</f>
        <v>1606</v>
      </c>
      <c r="E14" s="7"/>
      <c r="F14" s="7"/>
    </row>
    <row r="15" spans="1:6" ht="15" customHeight="1" x14ac:dyDescent="0.25">
      <c r="A15" s="7" t="s">
        <v>33</v>
      </c>
      <c r="B15" s="8">
        <v>50</v>
      </c>
      <c r="C15" s="8">
        <v>-30</v>
      </c>
      <c r="D15" s="8">
        <v>20</v>
      </c>
      <c r="E15" s="7"/>
      <c r="F15" s="7"/>
    </row>
    <row r="16" spans="1:6" ht="15" customHeight="1" x14ac:dyDescent="0.25">
      <c r="A16" s="7" t="s">
        <v>34</v>
      </c>
      <c r="B16" s="12">
        <f>B14+B15</f>
        <v>2560</v>
      </c>
      <c r="C16" s="12">
        <f>C14+C15</f>
        <v>2202</v>
      </c>
      <c r="D16" s="12">
        <f>D14+D15</f>
        <v>1626</v>
      </c>
      <c r="E16" s="7"/>
      <c r="F16" s="7"/>
    </row>
    <row r="17" spans="1:6" ht="15" customHeight="1" x14ac:dyDescent="0.25">
      <c r="A17" s="7" t="s">
        <v>35</v>
      </c>
      <c r="B17" s="13">
        <v>0.25</v>
      </c>
      <c r="C17" s="13">
        <v>0.25</v>
      </c>
      <c r="D17" s="13">
        <v>0.25</v>
      </c>
      <c r="E17" s="7"/>
      <c r="F17" s="7"/>
    </row>
    <row r="18" spans="1:6" ht="15" customHeight="1" x14ac:dyDescent="0.25">
      <c r="A18" s="7" t="s">
        <v>36</v>
      </c>
      <c r="B18" s="12">
        <f>MAX(B16,0)*B17</f>
        <v>640</v>
      </c>
      <c r="C18" s="12">
        <f>MAX(C16,0)*C17</f>
        <v>550.5</v>
      </c>
      <c r="D18" s="12">
        <f>MAX(D16,0)*D17</f>
        <v>406.5</v>
      </c>
      <c r="E18" s="7"/>
      <c r="F18" s="7"/>
    </row>
    <row r="19" spans="1:6" ht="15" customHeight="1" x14ac:dyDescent="0.25">
      <c r="A19" s="10" t="s">
        <v>37</v>
      </c>
      <c r="B19" s="11">
        <f>B16-B18</f>
        <v>1920</v>
      </c>
      <c r="C19" s="11">
        <f>C16-C18</f>
        <v>1651.5</v>
      </c>
      <c r="D19" s="11">
        <f>D16-D18</f>
        <v>1219.5</v>
      </c>
      <c r="E19" s="9">
        <f>IFERROR(C19/B19-1,"-")</f>
        <v>-0.13984375000000004</v>
      </c>
      <c r="F19" s="9">
        <f>IFERROR(D19/C19-1,"-")</f>
        <v>-0.26158038147138962</v>
      </c>
    </row>
    <row r="20" spans="1:6" ht="15" customHeight="1" x14ac:dyDescent="0.25">
      <c r="A20" s="7" t="s">
        <v>38</v>
      </c>
      <c r="B20" s="9">
        <f>B19/B4</f>
        <v>5.0526315789473683E-2</v>
      </c>
      <c r="C20" s="9">
        <f>C19/C4</f>
        <v>4.1082089552238805E-2</v>
      </c>
      <c r="D20" s="9">
        <f>D19/D4</f>
        <v>2.8694117647058825E-2</v>
      </c>
      <c r="E20" s="7"/>
      <c r="F20" s="7"/>
    </row>
    <row r="22" spans="1:6" ht="15" customHeight="1" x14ac:dyDescent="0.25">
      <c r="A22" s="14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zoomScaleNormal="100" workbookViewId="0"/>
  </sheetViews>
  <sheetFormatPr baseColWidth="10" defaultColWidth="8.7109375" defaultRowHeight="15" x14ac:dyDescent="0.25"/>
  <cols>
    <col min="1" max="1" width="40" customWidth="1"/>
    <col min="2" max="4" width="14" customWidth="1"/>
  </cols>
  <sheetData>
    <row r="1" spans="1:4" ht="17.25" customHeight="1" x14ac:dyDescent="0.25">
      <c r="A1" s="1" t="s">
        <v>40</v>
      </c>
    </row>
    <row r="3" spans="1:4" ht="15" customHeight="1" x14ac:dyDescent="0.25">
      <c r="A3" s="3" t="s">
        <v>16</v>
      </c>
      <c r="B3" s="3" t="s">
        <v>17</v>
      </c>
      <c r="C3" s="3" t="s">
        <v>18</v>
      </c>
      <c r="D3" s="3" t="s">
        <v>19</v>
      </c>
    </row>
    <row r="4" spans="1:4" ht="15" customHeight="1" x14ac:dyDescent="0.25">
      <c r="A4" s="15" t="s">
        <v>41</v>
      </c>
      <c r="B4" s="7"/>
      <c r="C4" s="7"/>
      <c r="D4" s="7"/>
    </row>
    <row r="5" spans="1:4" ht="15" customHeight="1" x14ac:dyDescent="0.25">
      <c r="A5" s="7" t="s">
        <v>42</v>
      </c>
      <c r="B5" s="8">
        <v>18000</v>
      </c>
      <c r="C5" s="8">
        <v>19500</v>
      </c>
      <c r="D5" s="8">
        <v>21200</v>
      </c>
    </row>
    <row r="6" spans="1:4" ht="15" customHeight="1" x14ac:dyDescent="0.25">
      <c r="A6" s="7" t="s">
        <v>43</v>
      </c>
      <c r="B6" s="8">
        <v>900</v>
      </c>
      <c r="C6" s="8">
        <v>950</v>
      </c>
      <c r="D6" s="8">
        <v>1050</v>
      </c>
    </row>
    <row r="7" spans="1:4" ht="15" customHeight="1" x14ac:dyDescent="0.25">
      <c r="A7" s="7" t="s">
        <v>44</v>
      </c>
      <c r="B7" s="8">
        <v>4685</v>
      </c>
      <c r="C7" s="8">
        <v>4955</v>
      </c>
      <c r="D7" s="8">
        <v>5240</v>
      </c>
    </row>
    <row r="8" spans="1:4" ht="15" customHeight="1" x14ac:dyDescent="0.25">
      <c r="A8" s="7" t="s">
        <v>45</v>
      </c>
      <c r="B8" s="8">
        <v>4200</v>
      </c>
      <c r="C8" s="8">
        <v>3400</v>
      </c>
      <c r="D8" s="8">
        <v>2100</v>
      </c>
    </row>
    <row r="9" spans="1:4" ht="15" customHeight="1" x14ac:dyDescent="0.25">
      <c r="A9" s="10" t="s">
        <v>46</v>
      </c>
      <c r="B9" s="11">
        <f>SUM(B5:B8)</f>
        <v>27785</v>
      </c>
      <c r="C9" s="11">
        <f>SUM(C5:C8)</f>
        <v>28805</v>
      </c>
      <c r="D9" s="11">
        <f>SUM(D5:D8)</f>
        <v>29590</v>
      </c>
    </row>
    <row r="11" spans="1:4" ht="15" customHeight="1" x14ac:dyDescent="0.25">
      <c r="A11" s="15" t="s">
        <v>47</v>
      </c>
      <c r="B11" s="7"/>
      <c r="C11" s="7"/>
      <c r="D11" s="7"/>
    </row>
    <row r="12" spans="1:4" ht="15" customHeight="1" x14ac:dyDescent="0.25">
      <c r="A12" s="7" t="s">
        <v>48</v>
      </c>
      <c r="B12" s="8">
        <v>14000</v>
      </c>
      <c r="C12" s="8">
        <v>15200</v>
      </c>
      <c r="D12" s="8">
        <v>16000</v>
      </c>
    </row>
    <row r="13" spans="1:4" ht="15" customHeight="1" x14ac:dyDescent="0.25">
      <c r="A13" s="7" t="s">
        <v>49</v>
      </c>
      <c r="B13" s="8">
        <v>8000</v>
      </c>
      <c r="C13" s="8">
        <v>8800</v>
      </c>
      <c r="D13" s="8">
        <v>9900</v>
      </c>
    </row>
    <row r="14" spans="1:4" ht="15" customHeight="1" x14ac:dyDescent="0.25">
      <c r="A14" s="7" t="s">
        <v>50</v>
      </c>
      <c r="B14" s="8">
        <v>937</v>
      </c>
      <c r="C14" s="8">
        <v>1004</v>
      </c>
      <c r="D14" s="8">
        <v>1083</v>
      </c>
    </row>
    <row r="15" spans="1:4" ht="15" customHeight="1" x14ac:dyDescent="0.25">
      <c r="A15" s="7" t="s">
        <v>51</v>
      </c>
      <c r="B15" s="8">
        <v>4848</v>
      </c>
      <c r="C15" s="8">
        <v>3801</v>
      </c>
      <c r="D15" s="8">
        <v>2607</v>
      </c>
    </row>
    <row r="16" spans="1:4" ht="15" customHeight="1" x14ac:dyDescent="0.25">
      <c r="A16" s="10" t="s">
        <v>52</v>
      </c>
      <c r="B16" s="11">
        <f>SUM(B12:B15)</f>
        <v>27785</v>
      </c>
      <c r="C16" s="11">
        <f>SUM(C12:C15)</f>
        <v>28805</v>
      </c>
      <c r="D16" s="11">
        <f>SUM(D12:D15)</f>
        <v>29590</v>
      </c>
    </row>
    <row r="18" spans="1:4" ht="15" customHeight="1" x14ac:dyDescent="0.25">
      <c r="A18" s="16" t="s">
        <v>53</v>
      </c>
      <c r="B18" s="12">
        <f>B9-B16</f>
        <v>0</v>
      </c>
      <c r="C18" s="12">
        <f>C9-C16</f>
        <v>0</v>
      </c>
      <c r="D18" s="12">
        <f>D9-D16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tabSelected="1" topLeftCell="A4" zoomScaleNormal="100" workbookViewId="0"/>
  </sheetViews>
  <sheetFormatPr baseColWidth="10" defaultColWidth="8.7109375" defaultRowHeight="15" x14ac:dyDescent="0.25"/>
  <cols>
    <col min="1" max="1" width="42" customWidth="1"/>
    <col min="2" max="2" width="34" customWidth="1"/>
    <col min="3" max="5" width="12" customWidth="1"/>
    <col min="6" max="6" width="45" customWidth="1"/>
  </cols>
  <sheetData>
    <row r="1" spans="1:6" ht="17.25" customHeight="1" x14ac:dyDescent="0.25">
      <c r="A1" s="1" t="s">
        <v>54</v>
      </c>
    </row>
    <row r="3" spans="1:6" ht="30" customHeight="1" x14ac:dyDescent="0.25">
      <c r="A3" s="3" t="s">
        <v>55</v>
      </c>
      <c r="B3" s="3" t="s">
        <v>56</v>
      </c>
      <c r="C3" s="3" t="s">
        <v>17</v>
      </c>
      <c r="D3" s="3" t="s">
        <v>18</v>
      </c>
      <c r="E3" s="3" t="s">
        <v>19</v>
      </c>
      <c r="F3" s="3" t="s">
        <v>57</v>
      </c>
    </row>
    <row r="4" spans="1:6" ht="30" customHeight="1" x14ac:dyDescent="0.25">
      <c r="A4" s="10" t="s">
        <v>58</v>
      </c>
      <c r="B4" s="7" t="s">
        <v>59</v>
      </c>
      <c r="C4" s="9">
        <f>'01_Compte_Resultat'!B11/'01_Compte_Resultat'!B4</f>
        <v>7.0000000000000007E-2</v>
      </c>
      <c r="D4" s="9">
        <f>'01_Compte_Resultat'!C11/'01_Compte_Resultat'!C4</f>
        <v>0.06</v>
      </c>
      <c r="E4" s="9">
        <f>'01_Compte_Resultat'!D11/'01_Compte_Resultat'!D4</f>
        <v>4.296470588235294E-2</v>
      </c>
      <c r="F4" s="17" t="s">
        <v>60</v>
      </c>
    </row>
    <row r="5" spans="1:6" ht="30" customHeight="1" x14ac:dyDescent="0.25">
      <c r="A5" s="10" t="s">
        <v>61</v>
      </c>
      <c r="B5" s="7" t="s">
        <v>62</v>
      </c>
      <c r="C5" s="9">
        <f>'01_Compte_Resultat'!B19/'01_Compte_Resultat'!B4</f>
        <v>5.0526315789473683E-2</v>
      </c>
      <c r="D5" s="9">
        <f>'01_Compte_Resultat'!C19/'01_Compte_Resultat'!C4</f>
        <v>4.1082089552238805E-2</v>
      </c>
      <c r="E5" s="9">
        <f>'01_Compte_Resultat'!D19/'01_Compte_Resultat'!D4</f>
        <v>2.8694117647058825E-2</v>
      </c>
      <c r="F5" s="17" t="s">
        <v>63</v>
      </c>
    </row>
    <row r="6" spans="1:6" ht="30" customHeight="1" x14ac:dyDescent="0.25">
      <c r="A6" s="10" t="s">
        <v>64</v>
      </c>
      <c r="B6" s="7" t="s">
        <v>65</v>
      </c>
      <c r="C6" s="9">
        <f>'01_Compte_Resultat'!B7/'01_Compte_Resultat'!B4</f>
        <v>0.59</v>
      </c>
      <c r="D6" s="9">
        <f>'01_Compte_Resultat'!C7/'01_Compte_Resultat'!C4</f>
        <v>0.6</v>
      </c>
      <c r="E6" s="9">
        <f>'01_Compte_Resultat'!D7/'01_Compte_Resultat'!D4</f>
        <v>0.61501176470588237</v>
      </c>
      <c r="F6" s="17" t="s">
        <v>66</v>
      </c>
    </row>
    <row r="7" spans="1:6" ht="30" customHeight="1" x14ac:dyDescent="0.25">
      <c r="A7" s="10" t="s">
        <v>67</v>
      </c>
      <c r="B7" s="7" t="s">
        <v>68</v>
      </c>
      <c r="C7" s="9">
        <f>'01_Compte_Resultat'!B6/'01_Compte_Resultat'!B4</f>
        <v>0.12</v>
      </c>
      <c r="D7" s="9">
        <f>'01_Compte_Resultat'!C6/'01_Compte_Resultat'!C4</f>
        <v>0.11800995024875621</v>
      </c>
      <c r="E7" s="9">
        <f>'01_Compte_Resultat'!D6/'01_Compte_Resultat'!D4</f>
        <v>0.11501176470588236</v>
      </c>
      <c r="F7" s="17" t="s">
        <v>69</v>
      </c>
    </row>
    <row r="8" spans="1:6" ht="30" customHeight="1" x14ac:dyDescent="0.25">
      <c r="A8" s="10" t="s">
        <v>70</v>
      </c>
      <c r="B8" s="7" t="s">
        <v>71</v>
      </c>
      <c r="C8" s="12">
        <f>('02_Bilan'!B12+'02_Bilan'!B13)-'02_Bilan'!B5</f>
        <v>4000</v>
      </c>
      <c r="D8" s="12">
        <f>('02_Bilan'!C12+'02_Bilan'!C13)-'02_Bilan'!C5</f>
        <v>4500</v>
      </c>
      <c r="E8" s="12">
        <f>('02_Bilan'!D12+'02_Bilan'!D13)-'02_Bilan'!D5</f>
        <v>4700</v>
      </c>
      <c r="F8" s="17" t="s">
        <v>72</v>
      </c>
    </row>
    <row r="9" spans="1:6" ht="30" customHeight="1" x14ac:dyDescent="0.25">
      <c r="A9" s="10" t="s">
        <v>73</v>
      </c>
      <c r="B9" s="7" t="s">
        <v>74</v>
      </c>
      <c r="C9" s="12">
        <f>('02_Bilan'!B6+'02_Bilan'!B7)-('02_Bilan'!B14+'02_Bilan'!B15)</f>
        <v>-200</v>
      </c>
      <c r="D9" s="12">
        <f>('02_Bilan'!C6+'02_Bilan'!C7)-('02_Bilan'!C14+'02_Bilan'!C15)</f>
        <v>1100</v>
      </c>
      <c r="E9" s="12">
        <f>('02_Bilan'!D6+'02_Bilan'!D7)-('02_Bilan'!D14+'02_Bilan'!D15)</f>
        <v>2600</v>
      </c>
      <c r="F9" s="17" t="s">
        <v>75</v>
      </c>
    </row>
    <row r="10" spans="1:6" ht="30" customHeight="1" x14ac:dyDescent="0.25">
      <c r="A10" s="10" t="s">
        <v>76</v>
      </c>
      <c r="B10" s="7" t="s">
        <v>77</v>
      </c>
      <c r="C10" s="12">
        <f>C8-C9</f>
        <v>4200</v>
      </c>
      <c r="D10" s="12">
        <f>D8-D9</f>
        <v>3400</v>
      </c>
      <c r="E10" s="12">
        <f>E8-E9</f>
        <v>2100</v>
      </c>
      <c r="F10" s="17" t="s">
        <v>78</v>
      </c>
    </row>
    <row r="11" spans="1:6" ht="30" customHeight="1" x14ac:dyDescent="0.25">
      <c r="A11" s="10" t="s">
        <v>79</v>
      </c>
      <c r="B11" s="7" t="s">
        <v>80</v>
      </c>
      <c r="C11" s="9">
        <f>'02_Bilan'!B12/'02_Bilan'!B9</f>
        <v>0.50386899406154395</v>
      </c>
      <c r="D11" s="9">
        <f>'02_Bilan'!C12/'02_Bilan'!C9</f>
        <v>0.5276861655962507</v>
      </c>
      <c r="E11" s="9">
        <f>'02_Bilan'!D12/'02_Bilan'!D9</f>
        <v>0.54072321730314299</v>
      </c>
      <c r="F11" s="17" t="s">
        <v>81</v>
      </c>
    </row>
    <row r="12" spans="1:6" ht="30" customHeight="1" x14ac:dyDescent="0.25">
      <c r="A12" s="10" t="s">
        <v>82</v>
      </c>
      <c r="B12" s="7" t="s">
        <v>83</v>
      </c>
      <c r="C12" s="9">
        <f>'02_Bilan'!B13/'02_Bilan'!B12</f>
        <v>0.5714285714285714</v>
      </c>
      <c r="D12" s="9">
        <f>'02_Bilan'!C13/'02_Bilan'!C12</f>
        <v>0.57894736842105265</v>
      </c>
      <c r="E12" s="9">
        <f>'02_Bilan'!D13/'02_Bilan'!D12</f>
        <v>0.61875000000000002</v>
      </c>
      <c r="F12" s="17" t="s">
        <v>84</v>
      </c>
    </row>
    <row r="13" spans="1:6" ht="30" customHeight="1" x14ac:dyDescent="0.25">
      <c r="A13" s="10" t="s">
        <v>85</v>
      </c>
      <c r="B13" s="7" t="s">
        <v>86</v>
      </c>
      <c r="C13" s="18">
        <f>('02_Bilan'!B6+'02_Bilan'!B7+'02_Bilan'!B8)/('02_Bilan'!B14+'02_Bilan'!B15)</f>
        <v>1.6914433880726016</v>
      </c>
      <c r="D13" s="18">
        <f>('02_Bilan'!C6+'02_Bilan'!C7+'02_Bilan'!C8)/('02_Bilan'!C14+'02_Bilan'!C15)</f>
        <v>1.9365244536940687</v>
      </c>
      <c r="E13" s="18">
        <f>('02_Bilan'!D6+'02_Bilan'!D7+'02_Bilan'!D8)/('02_Bilan'!D14+'02_Bilan'!D15)</f>
        <v>2.2737127371273713</v>
      </c>
      <c r="F13" s="17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01_Compte_Resultat</vt:lpstr>
      <vt:lpstr>02_Bilan</vt:lpstr>
      <vt:lpstr>03_Ratios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2026-09-05T11:18:12Z</dcterms:created>
  <dcterms:modified xsi:type="dcterms:W3CDTF">2026-09-12T16:33:41Z</dcterms:modified>
  <dc:language>en-US</dc:language>
</cp:coreProperties>
</file>