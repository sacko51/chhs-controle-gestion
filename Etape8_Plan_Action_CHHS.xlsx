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85F4DEF1-5AD4-48A0-A0A8-A8CDCA9E01B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00_Sommaire" sheetId="1" r:id="rId1"/>
    <sheet name="01_Matrice_Actions" sheetId="2" r:id="rId2"/>
    <sheet name="02_Matrice_Impact_Effort" sheetId="3" r:id="rId3"/>
    <sheet name="03_Impact_Financier_Globa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4" l="1"/>
  <c r="B7" i="4"/>
</calcChain>
</file>

<file path=xl/sharedStrings.xml><?xml version="1.0" encoding="utf-8"?>
<sst xmlns="http://schemas.openxmlformats.org/spreadsheetml/2006/main" count="161" uniqueCount="116">
  <si>
    <t>ÉTAPE 8 - PLAN D'AMÉLIORATION DE LA PERFORMANCE - CHHS</t>
  </si>
  <si>
    <t>Centre hospitalier horizon SANTÉ (CHHS) - Synthèse des Étapes 1 à 7</t>
  </si>
  <si>
    <t>Données fictives construites à des fins pédagogiques et professionnelles. Les gains potentiels sont des estimations fictives fondées sur les hypothèses du modèle, non des résultats garantis.</t>
  </si>
  <si>
    <t>Onglet</t>
  </si>
  <si>
    <t>Contenu</t>
  </si>
  <si>
    <t>01_Matrice_Actions</t>
  </si>
  <si>
    <t>11 actions organisées en 4 axes, avec responsable, priorité, coût, gain potentiel, KPI, délai</t>
  </si>
  <si>
    <t>02_Matrice_Impact_Effort</t>
  </si>
  <si>
    <t>Classement des actions selon leur impact et leur effort de mise en œuvre</t>
  </si>
  <si>
    <t>03_Impact_Financier_Global</t>
  </si>
  <si>
    <t>Chiffrage global du plan d'action et mise en perspective avec les scénarios de l'Étape 7</t>
  </si>
  <si>
    <t>MATRICE DES ACTIONS - PLAN D'AMÉLIORATION DE LA PERFORMANCE</t>
  </si>
  <si>
    <t>Action</t>
  </si>
  <si>
    <t>Problème</t>
  </si>
  <si>
    <t>Responsable</t>
  </si>
  <si>
    <t>Priorité</t>
  </si>
  <si>
    <t>Coût (k€)</t>
  </si>
  <si>
    <t>Gain potentiel</t>
  </si>
  <si>
    <t>KPI de suivi</t>
  </si>
  <si>
    <t>Délai</t>
  </si>
  <si>
    <t>AXE 1 - ACTIVITÉ ET OFFRE</t>
  </si>
  <si>
    <t>Revoir le panier d'actes et l'organisation des salles du bloc opératoire</t>
  </si>
  <si>
    <t>Volume en baisse continue (-6,1% sur 3 ans, Étape 4) et coût unitaire hors budget de +10,2% (Étape 3)</t>
  </si>
  <si>
    <t>Direction des opérations</t>
  </si>
  <si>
    <t>P1</t>
  </si>
  <si>
    <t>Nombre d'interventions/mois</t>
  </si>
  <si>
    <t>6 mois</t>
  </si>
  <si>
    <t>Mutualiser les examens de laboratoire à fort volume avec un partenaire externe</t>
  </si>
  <si>
    <t>Coût unitaire laboratoire supérieur au tarif moyen (Étape 2)</t>
  </si>
  <si>
    <t>Direction du laboratoire</t>
  </si>
  <si>
    <t>P2</t>
  </si>
  <si>
    <t>Coût unitaire laboratoire</t>
  </si>
  <si>
    <t>9 mois</t>
  </si>
  <si>
    <t>Sécuriser le taux d'occupation des activités rentables (consultations, hospitalisation, imagerie)</t>
  </si>
  <si>
    <t>Ces activités compensent aujourd'hui le déficit du bloc et du laboratoire (Étape 2)</t>
  </si>
  <si>
    <t>Directions de site</t>
  </si>
  <si>
    <t>Maintien de la marge actuelle (+4 787 k€ cumulés)</t>
  </si>
  <si>
    <t>Taux d'occupation par activité</t>
  </si>
  <si>
    <t>Continu</t>
  </si>
  <si>
    <t>AXE 2 - COÛTS ET PRODUCTIVITÉ</t>
  </si>
  <si>
    <t>Plan de fidélisation RH (turnover et absentéisme)</t>
  </si>
  <si>
    <t>Turnover 9%→13% et absentéisme 6,2%→7,5% (Étape 4), principal facteur de dérive du coût unitaire (Étape 3 et 7)</t>
  </si>
  <si>
    <t>DRH</t>
  </si>
  <si>
    <t>Turnover, absentéisme</t>
  </si>
  <si>
    <t>12 mois</t>
  </si>
  <si>
    <t>Renégocier les contrats fournisseurs (médicaments, dispositifs médicaux)</t>
  </si>
  <si>
    <t>Poids des achats en hausse, notamment au bloc opératoire (35% du pool achats, Étape 2)</t>
  </si>
  <si>
    <t>Direction des achats</t>
  </si>
  <si>
    <t>Achats / CA</t>
  </si>
  <si>
    <t>Automatiser certaines analyses de laboratoire à fort volume</t>
  </si>
  <si>
    <t>Coût unitaire élevé sur une activité à gros volume (Étape 2)</t>
  </si>
  <si>
    <t>AXE 3 - REPORTING ET CONTRÔLE INTERNE</t>
  </si>
  <si>
    <t>Rendre la référence de facture obligatoire et bloquante</t>
  </si>
  <si>
    <t>20 factures sans référence détectées (Étape 6), risque de fraude ou d'erreur non détectée</t>
  </si>
  <si>
    <t>Direction financière / IT</t>
  </si>
  <si>
    <t>Non chiffrable directement - réduction du risque de fraude</t>
  </si>
  <si>
    <t>Nb factures sans référence</t>
  </si>
  <si>
    <t>3 mois</t>
  </si>
  <si>
    <t>Automatiser le rapprochement mensuel activité/facturation</t>
  </si>
  <si>
    <t>Risque élevé identifié en Étape 6 : écart entre activité réalisée et facturation émise</t>
  </si>
  <si>
    <t>Contrôle de gestion</t>
  </si>
  <si>
    <t>Fiabilisation du CA utilisé pour le pilotage (pas de gain direct chiffré)</t>
  </si>
  <si>
    <t>Écart activité/facturation</t>
  </si>
  <si>
    <t>Séparer les tâches de saisie, validation et paiement fournisseurs</t>
  </si>
  <si>
    <t>Séparation des tâches jugée insuffisante (grille COSO, Étape 6)</t>
  </si>
  <si>
    <t>Direction financière</t>
  </si>
  <si>
    <t>Réduction du risque de fraude</t>
  </si>
  <si>
    <t>Nb anomalies détectées par audit</t>
  </si>
  <si>
    <t>AXE 4 - QUALITÉ ET EXPÉRIENCE PATIENT</t>
  </si>
  <si>
    <t>Enquête ciblée sur le lien entre tension RH et qualité perçue</t>
  </si>
  <si>
    <t>Satisfaction en baisse (83%→81%) en parallèle de la hausse du turnover (Étape 4)</t>
  </si>
  <si>
    <t>Direction Qualité</t>
  </si>
  <si>
    <t>Identification d'actions correctives qualité</t>
  </si>
  <si>
    <t>Satisfaction patient</t>
  </si>
  <si>
    <t>Réduire le délai de prise en charge</t>
  </si>
  <si>
    <t>Délai passé de 35 à 42 minutes entre N-1 et N (Étape 4)</t>
  </si>
  <si>
    <t>Réduction des réclamations et amélioration de la satisfaction</t>
  </si>
  <si>
    <t>Délai de prise en charge</t>
  </si>
  <si>
    <t>MATRICE IMPACT × EFFORT</t>
  </si>
  <si>
    <t>Impact</t>
  </si>
  <si>
    <t>Effort</t>
  </si>
  <si>
    <t>Recommandation</t>
  </si>
  <si>
    <t>Renégocier les contrats fournisseurs</t>
  </si>
  <si>
    <t>Élevé</t>
  </si>
  <si>
    <t>Faible</t>
  </si>
  <si>
    <t>Quick win - à lancer immédiatement</t>
  </si>
  <si>
    <t>Sécuriser le taux d'occupation des activités rentables</t>
  </si>
  <si>
    <t>Moyen</t>
  </si>
  <si>
    <t>Rendre la référence de facture obligatoire</t>
  </si>
  <si>
    <t>Séparer les tâches saisie/validation/paiement</t>
  </si>
  <si>
    <t>Enquête tension RH / qualité</t>
  </si>
  <si>
    <t>À faire, faible priorité</t>
  </si>
  <si>
    <t>Automatiser le rapprochement activité/facturation</t>
  </si>
  <si>
    <t>Projet à planifier à court terme</t>
  </si>
  <si>
    <t>Projet à planifier à moyen terme</t>
  </si>
  <si>
    <t>Mutualiser les examens de laboratoire</t>
  </si>
  <si>
    <t>Plan de fidélisation RH</t>
  </si>
  <si>
    <t>Projet stratégique - sponsoring Direction générale</t>
  </si>
  <si>
    <t>Revoir le bloc opératoire (panier d'actes, salles)</t>
  </si>
  <si>
    <t>Automatiser les analyses de laboratoire</t>
  </si>
  <si>
    <t>À réévaluer après les actions à effort plus faible</t>
  </si>
  <si>
    <t>CHIFFRAGE GLOBAL DU PLAN D'ACTION (ESTIMATIONS FICTIVES)</t>
  </si>
  <si>
    <t>Actions à gain chiffré (priorité P1, cumul en année pleine)</t>
  </si>
  <si>
    <t>Bloc opératoire - panier d'actes et organisation des salles</t>
  </si>
  <si>
    <t>Renégociation fournisseurs</t>
  </si>
  <si>
    <t>TOTAL gain potentiel P1 (année pleine)</t>
  </si>
  <si>
    <t>Résultat d'exploitation N (Étape 1, réalisé)</t>
  </si>
  <si>
    <t>Résultat d'exploitation N+1 avec plan d'action (indicatif)</t>
  </si>
  <si>
    <t>Pour mémoire - Résultat N+1 scénario central (Étape 7, sans plan d'action ciblé)</t>
  </si>
  <si>
    <t>Pour mémoire - Résultat N+1 scénario optimiste (Étape 7)</t>
  </si>
  <si>
    <t>Ces montants sont des estimations fictives fondées sur les hypothèses du modèle ; ils ne constituent pas un engagement de résultat.</t>
  </si>
  <si>
    <t>500 k€/an (réduction du déficit de -2 261 k€, Étape 2)</t>
  </si>
  <si>
    <t>300 k€/an</t>
  </si>
  <si>
    <t>1 000 k€/an (retour masse salariale/CA vers 60%, Étape 7)</t>
  </si>
  <si>
    <t>350 k€/an</t>
  </si>
  <si>
    <t>200 k€/an (à partir de l'année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</si>
</sst>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i/>
      <sz val="9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/>
    <xf numFmtId="0" fontId="4" fillId="3" borderId="0" xfId="0" applyFont="1" applyFill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0" xfId="0" applyFont="1"/>
    <xf numFmtId="0" fontId="0" fillId="0" borderId="1" xfId="0" applyBorder="1"/>
    <xf numFmtId="3" fontId="5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selection activeCell="B16" sqref="B16"/>
    </sheetView>
  </sheetViews>
  <sheetFormatPr baseColWidth="10" defaultColWidth="8.7109375" defaultRowHeight="15" x14ac:dyDescent="0.25"/>
  <cols>
    <col min="1" max="1" width="40" customWidth="1"/>
    <col min="2" max="2" width="95" customWidth="1"/>
  </cols>
  <sheetData>
    <row r="1" spans="1:2" ht="17.25" customHeight="1" x14ac:dyDescent="0.25">
      <c r="A1" s="3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4" t="s">
        <v>2</v>
      </c>
    </row>
    <row r="6" spans="1:2" ht="15" customHeight="1" x14ac:dyDescent="0.25">
      <c r="A6" s="5" t="s">
        <v>3</v>
      </c>
      <c r="B6" s="5" t="s">
        <v>4</v>
      </c>
    </row>
    <row r="7" spans="1:2" ht="15" customHeight="1" x14ac:dyDescent="0.25">
      <c r="A7" t="s">
        <v>5</v>
      </c>
      <c r="B7" t="s">
        <v>6</v>
      </c>
    </row>
    <row r="8" spans="1:2" ht="15" customHeight="1" x14ac:dyDescent="0.25">
      <c r="A8" t="s">
        <v>7</v>
      </c>
      <c r="B8" t="s">
        <v>8</v>
      </c>
    </row>
    <row r="9" spans="1:2" ht="15" customHeight="1" x14ac:dyDescent="0.25">
      <c r="A9" t="s">
        <v>9</v>
      </c>
      <c r="B9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opLeftCell="A15" zoomScaleNormal="100" workbookViewId="0">
      <selection activeCell="A18" sqref="A18"/>
    </sheetView>
  </sheetViews>
  <sheetFormatPr baseColWidth="10" defaultColWidth="8.7109375" defaultRowHeight="15" x14ac:dyDescent="0.25"/>
  <cols>
    <col min="1" max="1" width="30" customWidth="1"/>
    <col min="2" max="2" width="34" customWidth="1"/>
    <col min="3" max="3" width="20" customWidth="1"/>
    <col min="4" max="4" width="9.140625" bestFit="1" customWidth="1"/>
    <col min="5" max="5" width="12" customWidth="1"/>
    <col min="6" max="6" width="30" customWidth="1"/>
    <col min="7" max="7" width="24" customWidth="1"/>
    <col min="8" max="8" width="12" customWidth="1"/>
  </cols>
  <sheetData>
    <row r="1" spans="1:8" ht="17.25" customHeight="1" x14ac:dyDescent="0.25">
      <c r="A1" s="3" t="s">
        <v>11</v>
      </c>
    </row>
    <row r="3" spans="1:8" ht="15" customHeight="1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spans="1:8" ht="15" customHeight="1" x14ac:dyDescent="0.25">
      <c r="A4" s="2" t="s">
        <v>20</v>
      </c>
      <c r="B4" s="2"/>
      <c r="C4" s="2"/>
      <c r="D4" s="2"/>
      <c r="E4" s="2"/>
      <c r="F4" s="2"/>
      <c r="G4" s="2"/>
      <c r="H4" s="2"/>
    </row>
    <row r="5" spans="1:8" ht="54.75" customHeight="1" x14ac:dyDescent="0.25">
      <c r="A5" s="6" t="s">
        <v>21</v>
      </c>
      <c r="B5" s="6" t="s">
        <v>22</v>
      </c>
      <c r="C5" s="6" t="s">
        <v>23</v>
      </c>
      <c r="D5" s="7" t="s">
        <v>24</v>
      </c>
      <c r="E5" s="8">
        <v>150</v>
      </c>
      <c r="F5" s="6" t="s">
        <v>111</v>
      </c>
      <c r="G5" s="6" t="s">
        <v>25</v>
      </c>
      <c r="H5" s="6" t="s">
        <v>26</v>
      </c>
    </row>
    <row r="6" spans="1:8" ht="54.75" customHeight="1" x14ac:dyDescent="0.25">
      <c r="A6" s="6" t="s">
        <v>27</v>
      </c>
      <c r="B6" s="6" t="s">
        <v>28</v>
      </c>
      <c r="C6" s="6" t="s">
        <v>29</v>
      </c>
      <c r="D6" s="9" t="s">
        <v>30</v>
      </c>
      <c r="E6" s="8">
        <v>80</v>
      </c>
      <c r="F6" s="6" t="s">
        <v>112</v>
      </c>
      <c r="G6" s="6" t="s">
        <v>31</v>
      </c>
      <c r="H6" s="6" t="s">
        <v>32</v>
      </c>
    </row>
    <row r="7" spans="1:8" ht="54.75" customHeight="1" x14ac:dyDescent="0.25">
      <c r="A7" s="6" t="s">
        <v>33</v>
      </c>
      <c r="B7" s="6" t="s">
        <v>34</v>
      </c>
      <c r="C7" s="6" t="s">
        <v>35</v>
      </c>
      <c r="D7" s="9" t="s">
        <v>30</v>
      </c>
      <c r="E7" s="8">
        <v>20</v>
      </c>
      <c r="F7" s="6" t="s">
        <v>36</v>
      </c>
      <c r="G7" s="6" t="s">
        <v>37</v>
      </c>
      <c r="H7" s="6" t="s">
        <v>38</v>
      </c>
    </row>
    <row r="8" spans="1:8" ht="15" customHeight="1" x14ac:dyDescent="0.25">
      <c r="A8" s="2" t="s">
        <v>39</v>
      </c>
      <c r="B8" s="2"/>
      <c r="C8" s="2"/>
      <c r="D8" s="2"/>
      <c r="E8" s="2"/>
      <c r="F8" s="2"/>
      <c r="G8" s="2"/>
      <c r="H8" s="2"/>
    </row>
    <row r="9" spans="1:8" ht="54.75" customHeight="1" x14ac:dyDescent="0.25">
      <c r="A9" s="6" t="s">
        <v>40</v>
      </c>
      <c r="B9" s="6" t="s">
        <v>41</v>
      </c>
      <c r="C9" s="6" t="s">
        <v>42</v>
      </c>
      <c r="D9" s="7" t="s">
        <v>24</v>
      </c>
      <c r="E9" s="8">
        <v>200</v>
      </c>
      <c r="F9" s="6" t="s">
        <v>113</v>
      </c>
      <c r="G9" s="6" t="s">
        <v>43</v>
      </c>
      <c r="H9" s="6" t="s">
        <v>44</v>
      </c>
    </row>
    <row r="10" spans="1:8" ht="54.75" customHeight="1" x14ac:dyDescent="0.25">
      <c r="A10" s="6" t="s">
        <v>45</v>
      </c>
      <c r="B10" s="6" t="s">
        <v>46</v>
      </c>
      <c r="C10" s="6" t="s">
        <v>47</v>
      </c>
      <c r="D10" s="7" t="s">
        <v>24</v>
      </c>
      <c r="E10" s="8">
        <v>30</v>
      </c>
      <c r="F10" s="6" t="s">
        <v>114</v>
      </c>
      <c r="G10" s="6" t="s">
        <v>48</v>
      </c>
      <c r="H10" s="6" t="s">
        <v>26</v>
      </c>
    </row>
    <row r="11" spans="1:8" ht="54.75" customHeight="1" x14ac:dyDescent="0.25">
      <c r="A11" s="6" t="s">
        <v>49</v>
      </c>
      <c r="B11" s="6" t="s">
        <v>50</v>
      </c>
      <c r="C11" s="6" t="s">
        <v>29</v>
      </c>
      <c r="D11" s="9" t="s">
        <v>30</v>
      </c>
      <c r="E11" s="8">
        <v>250</v>
      </c>
      <c r="F11" s="6" t="s">
        <v>115</v>
      </c>
      <c r="G11" s="6" t="s">
        <v>31</v>
      </c>
      <c r="H11" s="6" t="s">
        <v>44</v>
      </c>
    </row>
    <row r="12" spans="1:8" ht="15" customHeight="1" x14ac:dyDescent="0.25">
      <c r="A12" s="2" t="s">
        <v>51</v>
      </c>
      <c r="B12" s="2"/>
      <c r="C12" s="2"/>
      <c r="D12" s="2"/>
      <c r="E12" s="2"/>
      <c r="F12" s="2"/>
      <c r="G12" s="2"/>
      <c r="H12" s="2"/>
    </row>
    <row r="13" spans="1:8" ht="54.75" customHeight="1" x14ac:dyDescent="0.25">
      <c r="A13" s="6" t="s">
        <v>52</v>
      </c>
      <c r="B13" s="6" t="s">
        <v>53</v>
      </c>
      <c r="C13" s="6" t="s">
        <v>54</v>
      </c>
      <c r="D13" s="7" t="s">
        <v>24</v>
      </c>
      <c r="E13" s="8">
        <v>15</v>
      </c>
      <c r="F13" s="6" t="s">
        <v>55</v>
      </c>
      <c r="G13" s="6" t="s">
        <v>56</v>
      </c>
      <c r="H13" s="6" t="s">
        <v>57</v>
      </c>
    </row>
    <row r="14" spans="1:8" ht="54.75" customHeight="1" x14ac:dyDescent="0.25">
      <c r="A14" s="6" t="s">
        <v>58</v>
      </c>
      <c r="B14" s="6" t="s">
        <v>59</v>
      </c>
      <c r="C14" s="6" t="s">
        <v>60</v>
      </c>
      <c r="D14" s="7" t="s">
        <v>24</v>
      </c>
      <c r="E14" s="8">
        <v>100</v>
      </c>
      <c r="F14" s="6" t="s">
        <v>61</v>
      </c>
      <c r="G14" s="6" t="s">
        <v>62</v>
      </c>
      <c r="H14" s="6" t="s">
        <v>26</v>
      </c>
    </row>
    <row r="15" spans="1:8" ht="54.75" customHeight="1" x14ac:dyDescent="0.25">
      <c r="A15" s="6" t="s">
        <v>63</v>
      </c>
      <c r="B15" s="6" t="s">
        <v>64</v>
      </c>
      <c r="C15" s="6" t="s">
        <v>65</v>
      </c>
      <c r="D15" s="9" t="s">
        <v>30</v>
      </c>
      <c r="E15" s="8">
        <v>10</v>
      </c>
      <c r="F15" s="6" t="s">
        <v>66</v>
      </c>
      <c r="G15" s="6" t="s">
        <v>67</v>
      </c>
      <c r="H15" s="6" t="s">
        <v>26</v>
      </c>
    </row>
    <row r="16" spans="1:8" ht="15" customHeight="1" x14ac:dyDescent="0.25">
      <c r="A16" s="2" t="s">
        <v>68</v>
      </c>
      <c r="B16" s="2"/>
      <c r="C16" s="2"/>
      <c r="D16" s="2"/>
      <c r="E16" s="2"/>
      <c r="F16" s="2"/>
      <c r="G16" s="2"/>
      <c r="H16" s="2"/>
    </row>
    <row r="17" spans="1:8" ht="54.75" customHeight="1" x14ac:dyDescent="0.25">
      <c r="A17" s="6" t="s">
        <v>69</v>
      </c>
      <c r="B17" s="6" t="s">
        <v>70</v>
      </c>
      <c r="C17" s="6" t="s">
        <v>71</v>
      </c>
      <c r="D17" s="9" t="s">
        <v>30</v>
      </c>
      <c r="E17" s="8">
        <v>30</v>
      </c>
      <c r="F17" s="6" t="s">
        <v>72</v>
      </c>
      <c r="G17" s="6" t="s">
        <v>73</v>
      </c>
      <c r="H17" s="6" t="s">
        <v>57</v>
      </c>
    </row>
    <row r="18" spans="1:8" ht="54.75" customHeight="1" x14ac:dyDescent="0.25">
      <c r="A18" s="6" t="s">
        <v>74</v>
      </c>
      <c r="B18" s="6" t="s">
        <v>75</v>
      </c>
      <c r="C18" s="6" t="s">
        <v>35</v>
      </c>
      <c r="D18" s="9" t="s">
        <v>30</v>
      </c>
      <c r="E18" s="8">
        <v>50</v>
      </c>
      <c r="F18" s="6" t="s">
        <v>76</v>
      </c>
      <c r="G18" s="6" t="s">
        <v>77</v>
      </c>
      <c r="H18" s="6" t="s">
        <v>26</v>
      </c>
    </row>
  </sheetData>
  <mergeCells count="4">
    <mergeCell ref="A4:H4"/>
    <mergeCell ref="A8:H8"/>
    <mergeCell ref="A12:H12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Normal="100" workbookViewId="0">
      <selection activeCell="B6" sqref="B6"/>
    </sheetView>
  </sheetViews>
  <sheetFormatPr baseColWidth="10" defaultColWidth="8.7109375" defaultRowHeight="15" x14ac:dyDescent="0.25"/>
  <cols>
    <col min="1" max="1" width="42" customWidth="1"/>
    <col min="2" max="3" width="14" customWidth="1"/>
    <col min="4" max="4" width="46" bestFit="1" customWidth="1"/>
  </cols>
  <sheetData>
    <row r="1" spans="1:4" ht="17.25" customHeight="1" x14ac:dyDescent="0.25">
      <c r="A1" s="3" t="s">
        <v>78</v>
      </c>
    </row>
    <row r="3" spans="1:4" ht="15" customHeight="1" x14ac:dyDescent="0.25">
      <c r="A3" s="5" t="s">
        <v>12</v>
      </c>
      <c r="B3" s="5" t="s">
        <v>79</v>
      </c>
      <c r="C3" s="5" t="s">
        <v>80</v>
      </c>
      <c r="D3" s="5" t="s">
        <v>81</v>
      </c>
    </row>
    <row r="4" spans="1:4" ht="27.75" customHeight="1" x14ac:dyDescent="0.25">
      <c r="A4" s="6" t="s">
        <v>82</v>
      </c>
      <c r="B4" s="10" t="s">
        <v>83</v>
      </c>
      <c r="C4" s="10" t="s">
        <v>84</v>
      </c>
      <c r="D4" s="6" t="s">
        <v>85</v>
      </c>
    </row>
    <row r="5" spans="1:4" ht="27.75" customHeight="1" x14ac:dyDescent="0.25">
      <c r="A5" s="6" t="s">
        <v>86</v>
      </c>
      <c r="B5" s="9" t="s">
        <v>87</v>
      </c>
      <c r="C5" s="10" t="s">
        <v>84</v>
      </c>
      <c r="D5" s="6" t="s">
        <v>85</v>
      </c>
    </row>
    <row r="6" spans="1:4" ht="27.75" customHeight="1" x14ac:dyDescent="0.25">
      <c r="A6" s="6" t="s">
        <v>88</v>
      </c>
      <c r="B6" s="9" t="s">
        <v>87</v>
      </c>
      <c r="C6" s="10" t="s">
        <v>84</v>
      </c>
      <c r="D6" s="6" t="s">
        <v>85</v>
      </c>
    </row>
    <row r="7" spans="1:4" ht="27.75" customHeight="1" x14ac:dyDescent="0.25">
      <c r="A7" s="6" t="s">
        <v>89</v>
      </c>
      <c r="B7" s="9" t="s">
        <v>87</v>
      </c>
      <c r="C7" s="10" t="s">
        <v>84</v>
      </c>
      <c r="D7" s="6" t="s">
        <v>85</v>
      </c>
    </row>
    <row r="8" spans="1:4" ht="27.75" customHeight="1" x14ac:dyDescent="0.25">
      <c r="A8" s="6" t="s">
        <v>90</v>
      </c>
      <c r="B8" s="7" t="s">
        <v>84</v>
      </c>
      <c r="C8" s="10" t="s">
        <v>84</v>
      </c>
      <c r="D8" s="6" t="s">
        <v>91</v>
      </c>
    </row>
    <row r="9" spans="1:4" ht="27.75" customHeight="1" x14ac:dyDescent="0.25">
      <c r="A9" s="6" t="s">
        <v>92</v>
      </c>
      <c r="B9" s="10" t="s">
        <v>83</v>
      </c>
      <c r="C9" s="9" t="s">
        <v>87</v>
      </c>
      <c r="D9" s="6" t="s">
        <v>93</v>
      </c>
    </row>
    <row r="10" spans="1:4" ht="27.75" customHeight="1" x14ac:dyDescent="0.25">
      <c r="A10" s="6" t="s">
        <v>74</v>
      </c>
      <c r="B10" s="9" t="s">
        <v>87</v>
      </c>
      <c r="C10" s="9" t="s">
        <v>87</v>
      </c>
      <c r="D10" s="6" t="s">
        <v>94</v>
      </c>
    </row>
    <row r="11" spans="1:4" ht="27.75" customHeight="1" x14ac:dyDescent="0.25">
      <c r="A11" s="6" t="s">
        <v>95</v>
      </c>
      <c r="B11" s="9" t="s">
        <v>87</v>
      </c>
      <c r="C11" s="9" t="s">
        <v>87</v>
      </c>
      <c r="D11" s="6" t="s">
        <v>94</v>
      </c>
    </row>
    <row r="12" spans="1:4" ht="27.75" customHeight="1" x14ac:dyDescent="0.25">
      <c r="A12" s="6" t="s">
        <v>96</v>
      </c>
      <c r="B12" s="10" t="s">
        <v>83</v>
      </c>
      <c r="C12" s="7" t="s">
        <v>83</v>
      </c>
      <c r="D12" s="6" t="s">
        <v>97</v>
      </c>
    </row>
    <row r="13" spans="1:4" ht="27.75" customHeight="1" x14ac:dyDescent="0.25">
      <c r="A13" s="6" t="s">
        <v>98</v>
      </c>
      <c r="B13" s="10" t="s">
        <v>83</v>
      </c>
      <c r="C13" s="7" t="s">
        <v>83</v>
      </c>
      <c r="D13" s="6" t="s">
        <v>97</v>
      </c>
    </row>
    <row r="14" spans="1:4" ht="27.75" customHeight="1" x14ac:dyDescent="0.25">
      <c r="A14" s="6" t="s">
        <v>99</v>
      </c>
      <c r="B14" s="9" t="s">
        <v>87</v>
      </c>
      <c r="C14" s="7" t="s">
        <v>83</v>
      </c>
      <c r="D14" s="6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Normal="100" workbookViewId="0">
      <selection activeCell="A18" sqref="A18"/>
    </sheetView>
  </sheetViews>
  <sheetFormatPr baseColWidth="10" defaultColWidth="8.7109375" defaultRowHeight="15" x14ac:dyDescent="0.25"/>
  <cols>
    <col min="1" max="1" width="84.85546875" bestFit="1" customWidth="1"/>
    <col min="2" max="2" width="16" customWidth="1"/>
  </cols>
  <sheetData>
    <row r="1" spans="1:2" ht="17.25" customHeight="1" x14ac:dyDescent="0.25">
      <c r="A1" s="3" t="s">
        <v>101</v>
      </c>
    </row>
    <row r="3" spans="1:2" ht="15" customHeight="1" x14ac:dyDescent="0.25">
      <c r="A3" s="11" t="s">
        <v>102</v>
      </c>
    </row>
    <row r="4" spans="1:2" ht="15" customHeight="1" x14ac:dyDescent="0.25">
      <c r="A4" s="12" t="s">
        <v>103</v>
      </c>
      <c r="B4" s="13">
        <v>500</v>
      </c>
    </row>
    <row r="5" spans="1:2" ht="15" customHeight="1" x14ac:dyDescent="0.25">
      <c r="A5" s="12" t="s">
        <v>96</v>
      </c>
      <c r="B5" s="13">
        <v>1000</v>
      </c>
    </row>
    <row r="6" spans="1:2" ht="15" customHeight="1" x14ac:dyDescent="0.25">
      <c r="A6" s="12" t="s">
        <v>104</v>
      </c>
      <c r="B6" s="13">
        <v>350</v>
      </c>
    </row>
    <row r="7" spans="1:2" ht="15" customHeight="1" x14ac:dyDescent="0.25">
      <c r="A7" s="14" t="s">
        <v>105</v>
      </c>
      <c r="B7" s="15">
        <f>SUM(B4:B6)</f>
        <v>1850</v>
      </c>
    </row>
    <row r="10" spans="1:2" ht="15" customHeight="1" x14ac:dyDescent="0.25">
      <c r="A10" s="12" t="s">
        <v>106</v>
      </c>
      <c r="B10" s="13">
        <v>1826</v>
      </c>
    </row>
    <row r="11" spans="1:2" ht="15" customHeight="1" x14ac:dyDescent="0.25">
      <c r="A11" s="14" t="s">
        <v>107</v>
      </c>
      <c r="B11" s="15">
        <f>B10+B7</f>
        <v>3676</v>
      </c>
    </row>
    <row r="12" spans="1:2" ht="15" customHeight="1" x14ac:dyDescent="0.25">
      <c r="A12" s="12" t="s">
        <v>108</v>
      </c>
      <c r="B12" s="13">
        <v>2067</v>
      </c>
    </row>
    <row r="13" spans="1:2" ht="15" customHeight="1" x14ac:dyDescent="0.25">
      <c r="A13" s="12" t="s">
        <v>109</v>
      </c>
      <c r="B13" s="13">
        <v>3154</v>
      </c>
    </row>
    <row r="16" spans="1:2" ht="30" customHeight="1" x14ac:dyDescent="0.25">
      <c r="A16" s="1" t="s">
        <v>110</v>
      </c>
      <c r="B16" s="1"/>
    </row>
  </sheetData>
  <mergeCells count="1"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00_Sommaire</vt:lpstr>
      <vt:lpstr>01_Matrice_Actions</vt:lpstr>
      <vt:lpstr>02_Matrice_Impact_Effort</vt:lpstr>
      <vt:lpstr>03_Impact_Financier_Global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2026-09-05T19:12:05Z</dcterms:created>
  <dcterms:modified xsi:type="dcterms:W3CDTF">2026-09-12T18:28:52Z</dcterms:modified>
  <dc:language>en-US</dc:language>
</cp:coreProperties>
</file>