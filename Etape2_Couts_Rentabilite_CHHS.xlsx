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tudiant\Desktop\"/>
    </mc:Choice>
  </mc:AlternateContent>
  <xr:revisionPtr revIDLastSave="0" documentId="8_{41E59171-0133-4789-9552-7D9F44E4BEF2}" xr6:coauthVersionLast="47" xr6:coauthVersionMax="47" xr10:uidLastSave="{00000000-0000-0000-0000-000000000000}"/>
  <bookViews>
    <workbookView xWindow="-120" yWindow="-120" windowWidth="20730" windowHeight="11040" tabRatio="500" firstSheet="1" activeTab="3" xr2:uid="{00000000-000D-0000-FFFF-FFFF00000000}"/>
  </bookViews>
  <sheets>
    <sheet name="00_Sommaire" sheetId="1" r:id="rId1"/>
    <sheet name="01_Cles_Repartition" sheetId="2" r:id="rId2"/>
    <sheet name="02_Couts_Rentabilite" sheetId="3" r:id="rId3"/>
    <sheet name="03_Controle_Coherence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" i="4" l="1"/>
  <c r="D4" i="4" s="1"/>
  <c r="F10" i="3"/>
  <c r="E10" i="3"/>
  <c r="C10" i="3"/>
  <c r="B10" i="3"/>
  <c r="H9" i="3"/>
  <c r="F9" i="3"/>
  <c r="E9" i="3"/>
  <c r="D9" i="3"/>
  <c r="G9" i="3" s="1"/>
  <c r="I9" i="3" s="1"/>
  <c r="H8" i="3"/>
  <c r="F8" i="3"/>
  <c r="E8" i="3"/>
  <c r="D8" i="3"/>
  <c r="G8" i="3" s="1"/>
  <c r="I8" i="3" s="1"/>
  <c r="F7" i="3"/>
  <c r="E7" i="3"/>
  <c r="D7" i="3"/>
  <c r="G7" i="3" s="1"/>
  <c r="H6" i="3"/>
  <c r="G6" i="3"/>
  <c r="I6" i="3" s="1"/>
  <c r="F6" i="3"/>
  <c r="E6" i="3"/>
  <c r="D6" i="3"/>
  <c r="H5" i="3"/>
  <c r="F5" i="3"/>
  <c r="E5" i="3"/>
  <c r="D5" i="3"/>
  <c r="G5" i="3" s="1"/>
  <c r="I5" i="3" s="1"/>
  <c r="H4" i="3"/>
  <c r="F4" i="3"/>
  <c r="E4" i="3"/>
  <c r="D4" i="3"/>
  <c r="D10" i="3" s="1"/>
  <c r="E24" i="2"/>
  <c r="D24" i="2"/>
  <c r="C24" i="2"/>
  <c r="B24" i="2"/>
  <c r="B12" i="2"/>
  <c r="H7" i="3" s="1"/>
  <c r="B11" i="2"/>
  <c r="K9" i="3" l="1"/>
  <c r="L9" i="3" s="1"/>
  <c r="J9" i="3"/>
  <c r="K6" i="3"/>
  <c r="L6" i="3" s="1"/>
  <c r="J6" i="3"/>
  <c r="I7" i="3"/>
  <c r="H10" i="3"/>
  <c r="K5" i="3"/>
  <c r="L5" i="3" s="1"/>
  <c r="J5" i="3"/>
  <c r="K8" i="3"/>
  <c r="L8" i="3" s="1"/>
  <c r="J8" i="3"/>
  <c r="G4" i="3"/>
  <c r="I4" i="3" l="1"/>
  <c r="G10" i="3"/>
  <c r="K7" i="3"/>
  <c r="L7" i="3" s="1"/>
  <c r="J7" i="3"/>
  <c r="J4" i="3" l="1"/>
  <c r="K4" i="3"/>
  <c r="I10" i="3"/>
  <c r="C5" i="4" s="1"/>
  <c r="D5" i="4" s="1"/>
  <c r="L4" i="3" l="1"/>
  <c r="K10" i="3"/>
  <c r="C6" i="4" l="1"/>
  <c r="D6" i="4" s="1"/>
  <c r="L10" i="3"/>
</calcChain>
</file>

<file path=xl/sharedStrings.xml><?xml version="1.0" encoding="utf-8"?>
<sst xmlns="http://schemas.openxmlformats.org/spreadsheetml/2006/main" count="67" uniqueCount="60">
  <si>
    <t>ÉTAPE 2 - ANALYSE DES COÛTS ET DE LA RENTABILITÉ - CHHS</t>
  </si>
  <si>
    <t>Centre hospitalier horizon SANTÉ (CHHS) - Exercice N</t>
  </si>
  <si>
    <t>Données fictives construites à des fins pédagogiques et professionnelles.</t>
  </si>
  <si>
    <t>Onglet</t>
  </si>
  <si>
    <t>Contenu</t>
  </si>
  <si>
    <t>01_Cles_Repartition</t>
  </si>
  <si>
    <t>Pools de coûts N (issus de l'Étape 1) et clés de répartition par activité</t>
  </si>
  <si>
    <t>02_Couts_Rentabilite</t>
  </si>
  <si>
    <t>Volume, CA, coûts directs/indirects, coût unitaire, marge et taux de marge par activité</t>
  </si>
  <si>
    <t>03_Controle_Coherence</t>
  </si>
  <si>
    <t>Vérification que le total des CA et des coûts par activité reconstitue les totaux de l'Étape 1</t>
  </si>
  <si>
    <t>Convention de couleur</t>
  </si>
  <si>
    <t>Bleu = donnée saisie (volume, CA, clé de répartition)</t>
  </si>
  <si>
    <t>Noir = formule calculée automatiquement</t>
  </si>
  <si>
    <t>Règle de cohérence : le CA total et le total des coûts par activité doivent être strictement égaux aux montants du compte de résultat de l'Étape 1 (42 500 k€ de CA et 40 674 k€ de charges d'exploitation en N).</t>
  </si>
  <si>
    <t>POOLS DE COÛTS N (en k€) - issus de l'Étape 1 (Compte de résultat)</t>
  </si>
  <si>
    <t>Achats consommés (100% direct)</t>
  </si>
  <si>
    <t>Charges de personnel - part directe (75%)</t>
  </si>
  <si>
    <t>Charges de personnel - part indirecte (25%, fonctions support)</t>
  </si>
  <si>
    <t>Charges externes (100% indirect)</t>
  </si>
  <si>
    <t>Impôts et taxes (100% indirect)</t>
  </si>
  <si>
    <t>Dotations aux amortissements - part directe (60%, équipements médicaux)</t>
  </si>
  <si>
    <t>Dotations aux amortissements - part indirecte (40%, bâtiments)</t>
  </si>
  <si>
    <t>TOTAL POOL COÛTS DIRECTS</t>
  </si>
  <si>
    <t>TOTAL POOL COÛTS INDIRECTS</t>
  </si>
  <si>
    <t>CLÉS DE RÉPARTITION PAR ACTIVITÉ</t>
  </si>
  <si>
    <t>Activité</t>
  </si>
  <si>
    <t>Poids Achats
(clé : nature de consommation)</t>
  </si>
  <si>
    <t>Poids Personnel direct
(clé : ETP affectés)</t>
  </si>
  <si>
    <t>Poids Amortissements directs
(clé : équipement médical dédié)</t>
  </si>
  <si>
    <t>Poids coûts indirects
(clé : ETP affectés)</t>
  </si>
  <si>
    <t>Consultations externes</t>
  </si>
  <si>
    <t>Hospitalisation complète</t>
  </si>
  <si>
    <t>Hospitalisation de jour</t>
  </si>
  <si>
    <t>Bloc opératoire</t>
  </si>
  <si>
    <t>Imagerie médicale</t>
  </si>
  <si>
    <t>Laboratoire</t>
  </si>
  <si>
    <t>Contrôle : somme des poids (doit être 100%)</t>
  </si>
  <si>
    <t>COÛTS ET RENTABILITÉ PAR ACTIVITÉ - CHHS - EXERCICE N (en k€ sauf mention contraire)</t>
  </si>
  <si>
    <t>Volume</t>
  </si>
  <si>
    <t>CA (k€)</t>
  </si>
  <si>
    <t>Achats
directs</t>
  </si>
  <si>
    <t>Personnel
direct</t>
  </si>
  <si>
    <t>Amort.
direct</t>
  </si>
  <si>
    <t>Total coûts
directs</t>
  </si>
  <si>
    <t>Coûts
indirects</t>
  </si>
  <si>
    <t>Total
coût</t>
  </si>
  <si>
    <t>Coût
unitaire (€)</t>
  </si>
  <si>
    <t>Marge
(k€)</t>
  </si>
  <si>
    <t>Taux de
marge</t>
  </si>
  <si>
    <t>TOTAL CHHS</t>
  </si>
  <si>
    <t>CONTRÔLE DE COHÉRENCE AVEC L'ÉTAPE 1</t>
  </si>
  <si>
    <t>Indicateur</t>
  </si>
  <si>
    <t>Étape 1 (référence)</t>
  </si>
  <si>
    <t>Étape 2 (recalculé)</t>
  </si>
  <si>
    <t>Écart</t>
  </si>
  <si>
    <t>Chiffre d'affaires total N (k€)</t>
  </si>
  <si>
    <t>Total charges d'exploitation N (k€)</t>
  </si>
  <si>
    <t>Résultat d'exploitation N (k€)</t>
  </si>
  <si>
    <t>Un écart non nul signale une rupture de la règle de source unique de données (Section 6 du prompt maître) et doit être corrigé avant diffusion.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</si>
</sst>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0&quot; €&quot;"/>
  </numFmts>
  <fonts count="8" x14ac:knownFonts="1">
    <font>
      <sz val="11"/>
      <color theme="1"/>
      <name val="Calibri"/>
      <family val="2"/>
      <charset val="1"/>
    </font>
    <font>
      <b/>
      <sz val="14"/>
      <color rgb="FF1F4E78"/>
      <name val="Cambria"/>
      <charset val="1"/>
    </font>
    <font>
      <i/>
      <sz val="11"/>
      <name val="Cambria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  <font>
      <sz val="11"/>
      <color rgb="FF0000FF"/>
      <name val="Cambria"/>
      <charset val="1"/>
    </font>
    <font>
      <sz val="11"/>
      <color rgb="FF000000"/>
      <name val="Cambria"/>
      <charset val="1"/>
    </font>
    <font>
      <i/>
      <sz val="9"/>
      <name val="Cambria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E4"/>
        <bgColor rgb="FFFF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wrapText="1"/>
    </xf>
    <xf numFmtId="0" fontId="0" fillId="0" borderId="1" xfId="0" applyBorder="1"/>
    <xf numFmtId="3" fontId="5" fillId="0" borderId="1" xfId="0" applyNumberFormat="1" applyFont="1" applyBorder="1"/>
    <xf numFmtId="0" fontId="4" fillId="0" borderId="1" xfId="0" applyFont="1" applyBorder="1"/>
    <xf numFmtId="3" fontId="4" fillId="0" borderId="1" xfId="0" applyNumberFormat="1" applyFont="1" applyBorder="1"/>
    <xf numFmtId="164" fontId="5" fillId="0" borderId="1" xfId="0" applyNumberFormat="1" applyFont="1" applyBorder="1"/>
    <xf numFmtId="164" fontId="0" fillId="0" borderId="0" xfId="0" applyNumberFormat="1"/>
    <xf numFmtId="3" fontId="0" fillId="0" borderId="1" xfId="0" applyNumberFormat="1" applyBorder="1"/>
    <xf numFmtId="165" fontId="0" fillId="0" borderId="1" xfId="0" applyNumberFormat="1" applyBorder="1"/>
    <xf numFmtId="164" fontId="0" fillId="0" borderId="1" xfId="0" applyNumberFormat="1" applyBorder="1"/>
    <xf numFmtId="3" fontId="4" fillId="3" borderId="1" xfId="0" applyNumberFormat="1" applyFont="1" applyFill="1" applyBorder="1"/>
    <xf numFmtId="164" fontId="0" fillId="3" borderId="1" xfId="0" applyNumberFormat="1" applyFill="1" applyBorder="1"/>
    <xf numFmtId="164" fontId="4" fillId="0" borderId="1" xfId="0" applyNumberFormat="1" applyFont="1" applyBorder="1"/>
    <xf numFmtId="0" fontId="7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CE4E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zoomScaleNormal="100" workbookViewId="0">
      <selection activeCell="B8" sqref="B8"/>
    </sheetView>
  </sheetViews>
  <sheetFormatPr baseColWidth="10" defaultColWidth="8.7109375" defaultRowHeight="15" x14ac:dyDescent="0.25"/>
  <cols>
    <col min="1" max="1" width="40" customWidth="1"/>
    <col min="2" max="2" width="95" customWidth="1"/>
  </cols>
  <sheetData>
    <row r="1" spans="1:2" ht="17.25" customHeight="1" x14ac:dyDescent="0.25">
      <c r="A1" s="1" t="s">
        <v>0</v>
      </c>
    </row>
    <row r="3" spans="1:2" ht="15" customHeight="1" x14ac:dyDescent="0.25">
      <c r="A3" t="s">
        <v>1</v>
      </c>
    </row>
    <row r="4" spans="1:2" ht="15" customHeight="1" x14ac:dyDescent="0.25">
      <c r="A4" s="2" t="s">
        <v>2</v>
      </c>
    </row>
    <row r="6" spans="1:2" ht="15" customHeight="1" x14ac:dyDescent="0.25">
      <c r="A6" s="3" t="s">
        <v>3</v>
      </c>
      <c r="B6" s="3" t="s">
        <v>4</v>
      </c>
    </row>
    <row r="7" spans="1:2" ht="15" customHeight="1" x14ac:dyDescent="0.25">
      <c r="A7" t="s">
        <v>5</v>
      </c>
      <c r="B7" t="s">
        <v>6</v>
      </c>
    </row>
    <row r="8" spans="1:2" ht="15" customHeight="1" x14ac:dyDescent="0.25">
      <c r="A8" t="s">
        <v>7</v>
      </c>
      <c r="B8" t="s">
        <v>8</v>
      </c>
    </row>
    <row r="9" spans="1:2" ht="15" customHeight="1" x14ac:dyDescent="0.25">
      <c r="A9" t="s">
        <v>9</v>
      </c>
      <c r="B9" t="s">
        <v>10</v>
      </c>
    </row>
    <row r="11" spans="1:2" ht="15" customHeight="1" x14ac:dyDescent="0.25">
      <c r="A11" s="4" t="s">
        <v>11</v>
      </c>
    </row>
    <row r="12" spans="1:2" ht="15" customHeight="1" x14ac:dyDescent="0.25">
      <c r="A12" s="5" t="s">
        <v>12</v>
      </c>
    </row>
    <row r="13" spans="1:2" ht="15" customHeight="1" x14ac:dyDescent="0.25">
      <c r="A13" s="6" t="s">
        <v>13</v>
      </c>
    </row>
    <row r="14" spans="1:2" ht="30" customHeight="1" x14ac:dyDescent="0.25">
      <c r="A14" s="7" t="s">
        <v>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topLeftCell="A12" zoomScaleNormal="100" workbookViewId="0">
      <selection activeCell="B26" sqref="B26"/>
    </sheetView>
  </sheetViews>
  <sheetFormatPr baseColWidth="10" defaultColWidth="8.7109375" defaultRowHeight="15" x14ac:dyDescent="0.25"/>
  <cols>
    <col min="1" max="1" width="86.28515625" bestFit="1" customWidth="1"/>
    <col min="2" max="3" width="20" customWidth="1"/>
    <col min="4" max="4" width="22" customWidth="1"/>
    <col min="5" max="5" width="20" customWidth="1"/>
  </cols>
  <sheetData>
    <row r="1" spans="1:2" ht="17.25" customHeight="1" x14ac:dyDescent="0.25">
      <c r="A1" s="1" t="s">
        <v>15</v>
      </c>
    </row>
    <row r="3" spans="1:2" ht="15" customHeight="1" x14ac:dyDescent="0.25">
      <c r="A3" s="8" t="s">
        <v>16</v>
      </c>
      <c r="B3" s="9">
        <v>6588</v>
      </c>
    </row>
    <row r="4" spans="1:2" ht="15" customHeight="1" x14ac:dyDescent="0.25">
      <c r="A4" s="8" t="s">
        <v>17</v>
      </c>
      <c r="B4" s="9">
        <v>19604</v>
      </c>
    </row>
    <row r="5" spans="1:2" ht="15" customHeight="1" x14ac:dyDescent="0.25">
      <c r="A5" s="8" t="s">
        <v>18</v>
      </c>
      <c r="B5" s="9">
        <v>6535</v>
      </c>
    </row>
    <row r="6" spans="1:2" ht="15" customHeight="1" x14ac:dyDescent="0.25">
      <c r="A6" s="8" t="s">
        <v>19</v>
      </c>
      <c r="B6" s="9">
        <v>4888</v>
      </c>
    </row>
    <row r="7" spans="1:2" ht="15" customHeight="1" x14ac:dyDescent="0.25">
      <c r="A7" s="8" t="s">
        <v>20</v>
      </c>
      <c r="B7" s="9">
        <v>850</v>
      </c>
    </row>
    <row r="8" spans="1:2" ht="15" customHeight="1" x14ac:dyDescent="0.25">
      <c r="A8" s="8" t="s">
        <v>21</v>
      </c>
      <c r="B8" s="9">
        <v>1326</v>
      </c>
    </row>
    <row r="9" spans="1:2" ht="15" customHeight="1" x14ac:dyDescent="0.25">
      <c r="A9" s="8" t="s">
        <v>22</v>
      </c>
      <c r="B9" s="9">
        <v>883</v>
      </c>
    </row>
    <row r="10" spans="1:2" ht="15" customHeight="1" x14ac:dyDescent="0.25">
      <c r="A10" s="8"/>
      <c r="B10" s="8"/>
    </row>
    <row r="11" spans="1:2" ht="15" customHeight="1" x14ac:dyDescent="0.25">
      <c r="A11" s="10" t="s">
        <v>23</v>
      </c>
      <c r="B11" s="11">
        <f>B3+B4+B8</f>
        <v>27518</v>
      </c>
    </row>
    <row r="12" spans="1:2" ht="15" customHeight="1" x14ac:dyDescent="0.25">
      <c r="A12" s="10" t="s">
        <v>24</v>
      </c>
      <c r="B12" s="11">
        <f>B5+B6+B7+B9</f>
        <v>13156</v>
      </c>
    </row>
    <row r="15" spans="1:2" ht="17.25" customHeight="1" x14ac:dyDescent="0.25">
      <c r="A15" s="1" t="s">
        <v>25</v>
      </c>
    </row>
    <row r="17" spans="1:5" ht="54.75" customHeight="1" x14ac:dyDescent="0.25">
      <c r="A17" s="3" t="s">
        <v>26</v>
      </c>
      <c r="B17" s="3" t="s">
        <v>27</v>
      </c>
      <c r="C17" s="3" t="s">
        <v>28</v>
      </c>
      <c r="D17" s="3" t="s">
        <v>29</v>
      </c>
      <c r="E17" s="3" t="s">
        <v>30</v>
      </c>
    </row>
    <row r="18" spans="1:5" ht="15" customHeight="1" x14ac:dyDescent="0.25">
      <c r="A18" s="8" t="s">
        <v>31</v>
      </c>
      <c r="B18" s="12">
        <v>0.03</v>
      </c>
      <c r="C18" s="12">
        <v>0.15</v>
      </c>
      <c r="D18" s="12">
        <v>0.03</v>
      </c>
      <c r="E18" s="12">
        <v>0.15</v>
      </c>
    </row>
    <row r="19" spans="1:5" ht="15" customHeight="1" x14ac:dyDescent="0.25">
      <c r="A19" s="8" t="s">
        <v>32</v>
      </c>
      <c r="B19" s="12">
        <v>0.3</v>
      </c>
      <c r="C19" s="12">
        <v>0.4</v>
      </c>
      <c r="D19" s="12">
        <v>0.08</v>
      </c>
      <c r="E19" s="12">
        <v>0.4</v>
      </c>
    </row>
    <row r="20" spans="1:5" ht="15" customHeight="1" x14ac:dyDescent="0.25">
      <c r="A20" s="8" t="s">
        <v>33</v>
      </c>
      <c r="B20" s="12">
        <v>0.1</v>
      </c>
      <c r="C20" s="12">
        <v>0.1</v>
      </c>
      <c r="D20" s="12">
        <v>0.04</v>
      </c>
      <c r="E20" s="12">
        <v>0.1</v>
      </c>
    </row>
    <row r="21" spans="1:5" ht="15" customHeight="1" x14ac:dyDescent="0.25">
      <c r="A21" s="8" t="s">
        <v>34</v>
      </c>
      <c r="B21" s="12">
        <v>0.35</v>
      </c>
      <c r="C21" s="12">
        <v>0.22</v>
      </c>
      <c r="D21" s="12">
        <v>0.3</v>
      </c>
      <c r="E21" s="12">
        <v>0.22</v>
      </c>
    </row>
    <row r="22" spans="1:5" ht="15" customHeight="1" x14ac:dyDescent="0.25">
      <c r="A22" s="8" t="s">
        <v>35</v>
      </c>
      <c r="B22" s="12">
        <v>7.0000000000000007E-2</v>
      </c>
      <c r="C22" s="12">
        <v>0.08</v>
      </c>
      <c r="D22" s="12">
        <v>0.4</v>
      </c>
      <c r="E22" s="12">
        <v>0.08</v>
      </c>
    </row>
    <row r="23" spans="1:5" ht="15" customHeight="1" x14ac:dyDescent="0.25">
      <c r="A23" s="8" t="s">
        <v>36</v>
      </c>
      <c r="B23" s="12">
        <v>0.15</v>
      </c>
      <c r="C23" s="12">
        <v>0.05</v>
      </c>
      <c r="D23" s="12">
        <v>0.15</v>
      </c>
      <c r="E23" s="12">
        <v>0.05</v>
      </c>
    </row>
    <row r="24" spans="1:5" ht="15" customHeight="1" x14ac:dyDescent="0.25">
      <c r="A24" s="2" t="s">
        <v>37</v>
      </c>
      <c r="B24" s="13">
        <f>SUM(B18:B23)</f>
        <v>0.99999999999999989</v>
      </c>
      <c r="C24" s="13">
        <f>SUM(C18:C23)</f>
        <v>1</v>
      </c>
      <c r="D24" s="13">
        <f>SUM(D18:D23)</f>
        <v>1</v>
      </c>
      <c r="E24" s="13">
        <f>SUM(E18:E23)</f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"/>
  <sheetViews>
    <sheetView zoomScaleNormal="100" workbookViewId="0">
      <selection activeCell="J13" sqref="J13"/>
    </sheetView>
  </sheetViews>
  <sheetFormatPr baseColWidth="10" defaultColWidth="8.7109375" defaultRowHeight="15" x14ac:dyDescent="0.25"/>
  <cols>
    <col min="1" max="1" width="26" customWidth="1"/>
    <col min="2" max="3" width="12" customWidth="1"/>
    <col min="4" max="5" width="14" customWidth="1"/>
    <col min="6" max="6" width="12" customWidth="1"/>
    <col min="7" max="9" width="15" customWidth="1"/>
    <col min="10" max="10" width="14" customWidth="1"/>
    <col min="11" max="12" width="12" customWidth="1"/>
  </cols>
  <sheetData>
    <row r="1" spans="1:12" ht="17.25" customHeight="1" x14ac:dyDescent="0.25">
      <c r="A1" s="1" t="s">
        <v>38</v>
      </c>
    </row>
    <row r="3" spans="1:12" ht="25.5" customHeight="1" x14ac:dyDescent="0.25">
      <c r="A3" s="3" t="s">
        <v>26</v>
      </c>
      <c r="B3" s="3" t="s">
        <v>39</v>
      </c>
      <c r="C3" s="3" t="s">
        <v>40</v>
      </c>
      <c r="D3" s="3" t="s">
        <v>41</v>
      </c>
      <c r="E3" s="3" t="s">
        <v>42</v>
      </c>
      <c r="F3" s="3" t="s">
        <v>43</v>
      </c>
      <c r="G3" s="3" t="s">
        <v>44</v>
      </c>
      <c r="H3" s="3" t="s">
        <v>45</v>
      </c>
      <c r="I3" s="3" t="s">
        <v>46</v>
      </c>
      <c r="J3" s="3" t="s">
        <v>47</v>
      </c>
      <c r="K3" s="3" t="s">
        <v>48</v>
      </c>
      <c r="L3" s="3" t="s">
        <v>49</v>
      </c>
    </row>
    <row r="4" spans="1:12" ht="25.5" customHeight="1" x14ac:dyDescent="0.25">
      <c r="A4" s="8" t="s">
        <v>31</v>
      </c>
      <c r="B4" s="9">
        <v>85000</v>
      </c>
      <c r="C4" s="9">
        <v>6375</v>
      </c>
      <c r="D4" s="14">
        <f>'01_Cles_Repartition'!B18*'01_Cles_Repartition'!$B$3</f>
        <v>197.64</v>
      </c>
      <c r="E4" s="14">
        <f>'01_Cles_Repartition'!C18*'01_Cles_Repartition'!$B$4</f>
        <v>2940.6</v>
      </c>
      <c r="F4" s="14">
        <f>'01_Cles_Repartition'!D18*'01_Cles_Repartition'!$B$8</f>
        <v>39.78</v>
      </c>
      <c r="G4" s="11">
        <f t="shared" ref="G4:G9" si="0">SUM(D4:F4)</f>
        <v>3178.02</v>
      </c>
      <c r="H4" s="14">
        <f>'01_Cles_Repartition'!E18*'01_Cles_Repartition'!$B$12</f>
        <v>1973.3999999999999</v>
      </c>
      <c r="I4" s="11">
        <f t="shared" ref="I4:I9" si="1">G4+H4</f>
        <v>5151.42</v>
      </c>
      <c r="J4" s="15">
        <f t="shared" ref="J4:J9" si="2">IFERROR(I4*1000/B4,"-")</f>
        <v>60.604941176470589</v>
      </c>
      <c r="K4" s="11">
        <f t="shared" ref="K4:K9" si="3">C4-I4</f>
        <v>1223.58</v>
      </c>
      <c r="L4" s="16">
        <f t="shared" ref="L4:L9" si="4">IFERROR(K4/C4,"-")</f>
        <v>0.19193411764705881</v>
      </c>
    </row>
    <row r="5" spans="1:12" ht="25.5" customHeight="1" x14ac:dyDescent="0.25">
      <c r="A5" s="8" t="s">
        <v>32</v>
      </c>
      <c r="B5" s="9">
        <v>4200</v>
      </c>
      <c r="C5" s="9">
        <v>17000</v>
      </c>
      <c r="D5" s="14">
        <f>'01_Cles_Repartition'!B19*'01_Cles_Repartition'!$B$3</f>
        <v>1976.3999999999999</v>
      </c>
      <c r="E5" s="14">
        <f>'01_Cles_Repartition'!C19*'01_Cles_Repartition'!$B$4</f>
        <v>7841.6</v>
      </c>
      <c r="F5" s="14">
        <f>'01_Cles_Repartition'!D19*'01_Cles_Repartition'!$B$8</f>
        <v>106.08</v>
      </c>
      <c r="G5" s="11">
        <f t="shared" si="0"/>
        <v>9924.08</v>
      </c>
      <c r="H5" s="14">
        <f>'01_Cles_Repartition'!E19*'01_Cles_Repartition'!$B$12</f>
        <v>5262.4000000000005</v>
      </c>
      <c r="I5" s="11">
        <f t="shared" si="1"/>
        <v>15186.48</v>
      </c>
      <c r="J5" s="15">
        <f t="shared" si="2"/>
        <v>3615.8285714285716</v>
      </c>
      <c r="K5" s="11">
        <f t="shared" si="3"/>
        <v>1813.5200000000004</v>
      </c>
      <c r="L5" s="16">
        <f t="shared" si="4"/>
        <v>0.10667764705882356</v>
      </c>
    </row>
    <row r="6" spans="1:12" ht="25.5" customHeight="1" x14ac:dyDescent="0.25">
      <c r="A6" s="8" t="s">
        <v>33</v>
      </c>
      <c r="B6" s="9">
        <v>6800</v>
      </c>
      <c r="C6" s="9">
        <v>5100</v>
      </c>
      <c r="D6" s="14">
        <f>'01_Cles_Repartition'!B20*'01_Cles_Repartition'!$B$3</f>
        <v>658.80000000000007</v>
      </c>
      <c r="E6" s="14">
        <f>'01_Cles_Repartition'!C20*'01_Cles_Repartition'!$B$4</f>
        <v>1960.4</v>
      </c>
      <c r="F6" s="14">
        <f>'01_Cles_Repartition'!D20*'01_Cles_Repartition'!$B$8</f>
        <v>53.04</v>
      </c>
      <c r="G6" s="11">
        <f t="shared" si="0"/>
        <v>2672.2400000000002</v>
      </c>
      <c r="H6" s="14">
        <f>'01_Cles_Repartition'!E20*'01_Cles_Repartition'!$B$12</f>
        <v>1315.6000000000001</v>
      </c>
      <c r="I6" s="11">
        <f t="shared" si="1"/>
        <v>3987.84</v>
      </c>
      <c r="J6" s="15">
        <f t="shared" si="2"/>
        <v>586.44705882352946</v>
      </c>
      <c r="K6" s="11">
        <f t="shared" si="3"/>
        <v>1112.1599999999999</v>
      </c>
      <c r="L6" s="16">
        <f t="shared" si="4"/>
        <v>0.2180705882352941</v>
      </c>
    </row>
    <row r="7" spans="1:12" ht="25.5" customHeight="1" x14ac:dyDescent="0.25">
      <c r="A7" s="8" t="s">
        <v>34</v>
      </c>
      <c r="B7" s="9">
        <v>3100</v>
      </c>
      <c r="C7" s="9">
        <v>7650</v>
      </c>
      <c r="D7" s="14">
        <f>'01_Cles_Repartition'!B21*'01_Cles_Repartition'!$B$3</f>
        <v>2305.7999999999997</v>
      </c>
      <c r="E7" s="14">
        <f>'01_Cles_Repartition'!C21*'01_Cles_Repartition'!$B$4</f>
        <v>4312.88</v>
      </c>
      <c r="F7" s="14">
        <f>'01_Cles_Repartition'!D21*'01_Cles_Repartition'!$B$8</f>
        <v>397.8</v>
      </c>
      <c r="G7" s="11">
        <f t="shared" si="0"/>
        <v>7016.4800000000005</v>
      </c>
      <c r="H7" s="14">
        <f>'01_Cles_Repartition'!E21*'01_Cles_Repartition'!$B$12</f>
        <v>2894.32</v>
      </c>
      <c r="I7" s="11">
        <f t="shared" si="1"/>
        <v>9910.8000000000011</v>
      </c>
      <c r="J7" s="15">
        <f t="shared" si="2"/>
        <v>3197.0322580645166</v>
      </c>
      <c r="K7" s="17">
        <f t="shared" si="3"/>
        <v>-2260.8000000000011</v>
      </c>
      <c r="L7" s="18">
        <f t="shared" si="4"/>
        <v>-0.29552941176470604</v>
      </c>
    </row>
    <row r="8" spans="1:12" ht="25.5" customHeight="1" x14ac:dyDescent="0.25">
      <c r="A8" s="8" t="s">
        <v>35</v>
      </c>
      <c r="B8" s="9">
        <v>22000</v>
      </c>
      <c r="C8" s="9">
        <v>4250</v>
      </c>
      <c r="D8" s="14">
        <f>'01_Cles_Repartition'!B22*'01_Cles_Repartition'!$B$3</f>
        <v>461.16</v>
      </c>
      <c r="E8" s="14">
        <f>'01_Cles_Repartition'!C22*'01_Cles_Repartition'!$B$4</f>
        <v>1568.32</v>
      </c>
      <c r="F8" s="14">
        <f>'01_Cles_Repartition'!D22*'01_Cles_Repartition'!$B$8</f>
        <v>530.4</v>
      </c>
      <c r="G8" s="11">
        <f t="shared" si="0"/>
        <v>2559.88</v>
      </c>
      <c r="H8" s="14">
        <f>'01_Cles_Repartition'!E22*'01_Cles_Repartition'!$B$12</f>
        <v>1052.48</v>
      </c>
      <c r="I8" s="11">
        <f t="shared" si="1"/>
        <v>3612.36</v>
      </c>
      <c r="J8" s="15">
        <f t="shared" si="2"/>
        <v>164.19818181818181</v>
      </c>
      <c r="K8" s="11">
        <f t="shared" si="3"/>
        <v>637.63999999999987</v>
      </c>
      <c r="L8" s="16">
        <f t="shared" si="4"/>
        <v>0.15003294117647056</v>
      </c>
    </row>
    <row r="9" spans="1:12" ht="25.5" customHeight="1" x14ac:dyDescent="0.25">
      <c r="A9" s="8" t="s">
        <v>36</v>
      </c>
      <c r="B9" s="9">
        <v>95000</v>
      </c>
      <c r="C9" s="9">
        <v>2125</v>
      </c>
      <c r="D9" s="14">
        <f>'01_Cles_Repartition'!B23*'01_Cles_Repartition'!$B$3</f>
        <v>988.19999999999993</v>
      </c>
      <c r="E9" s="14">
        <f>'01_Cles_Repartition'!C23*'01_Cles_Repartition'!$B$4</f>
        <v>980.2</v>
      </c>
      <c r="F9" s="14">
        <f>'01_Cles_Repartition'!D23*'01_Cles_Repartition'!$B$8</f>
        <v>198.9</v>
      </c>
      <c r="G9" s="11">
        <f t="shared" si="0"/>
        <v>2167.3000000000002</v>
      </c>
      <c r="H9" s="14">
        <f>'01_Cles_Repartition'!E23*'01_Cles_Repartition'!$B$12</f>
        <v>657.80000000000007</v>
      </c>
      <c r="I9" s="11">
        <f t="shared" si="1"/>
        <v>2825.1000000000004</v>
      </c>
      <c r="J9" s="15">
        <f t="shared" si="2"/>
        <v>29.737894736842112</v>
      </c>
      <c r="K9" s="17">
        <f t="shared" si="3"/>
        <v>-700.10000000000036</v>
      </c>
      <c r="L9" s="18">
        <f t="shared" si="4"/>
        <v>-0.32945882352941191</v>
      </c>
    </row>
    <row r="10" spans="1:12" ht="25.5" customHeight="1" x14ac:dyDescent="0.25">
      <c r="A10" s="10" t="s">
        <v>50</v>
      </c>
      <c r="B10" s="11">
        <f t="shared" ref="B10:I10" si="5">SUM(B4:B9)</f>
        <v>216100</v>
      </c>
      <c r="C10" s="11">
        <f t="shared" si="5"/>
        <v>42500</v>
      </c>
      <c r="D10" s="11">
        <f t="shared" si="5"/>
        <v>6587.9999999999991</v>
      </c>
      <c r="E10" s="11">
        <f t="shared" si="5"/>
        <v>19604</v>
      </c>
      <c r="F10" s="11">
        <f t="shared" si="5"/>
        <v>1326</v>
      </c>
      <c r="G10" s="11">
        <f t="shared" si="5"/>
        <v>27518</v>
      </c>
      <c r="H10" s="11">
        <f t="shared" si="5"/>
        <v>13155.999999999998</v>
      </c>
      <c r="I10" s="11">
        <f t="shared" si="5"/>
        <v>40674</v>
      </c>
      <c r="J10" s="8"/>
      <c r="K10" s="11">
        <f>SUM(K4:K9)</f>
        <v>1825.9999999999986</v>
      </c>
      <c r="L10" s="19">
        <f>K10/C10</f>
        <v>4.2964705882352912E-2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tabSelected="1" zoomScaleNormal="100" workbookViewId="0">
      <selection activeCell="C9" sqref="C9"/>
    </sheetView>
  </sheetViews>
  <sheetFormatPr baseColWidth="10" defaultColWidth="8.7109375" defaultRowHeight="15" x14ac:dyDescent="0.25"/>
  <cols>
    <col min="1" max="1" width="45" customWidth="1"/>
    <col min="2" max="3" width="16" customWidth="1"/>
    <col min="4" max="4" width="14" customWidth="1"/>
  </cols>
  <sheetData>
    <row r="1" spans="1:4" ht="17.25" customHeight="1" x14ac:dyDescent="0.25">
      <c r="A1" s="1" t="s">
        <v>51</v>
      </c>
    </row>
    <row r="3" spans="1:4" ht="27.75" customHeight="1" x14ac:dyDescent="0.25">
      <c r="A3" s="3" t="s">
        <v>52</v>
      </c>
      <c r="B3" s="3" t="s">
        <v>53</v>
      </c>
      <c r="C3" s="3" t="s">
        <v>54</v>
      </c>
      <c r="D3" s="3" t="s">
        <v>55</v>
      </c>
    </row>
    <row r="4" spans="1:4" ht="15" customHeight="1" x14ac:dyDescent="0.25">
      <c r="A4" s="8" t="s">
        <v>56</v>
      </c>
      <c r="B4" s="9">
        <v>42500</v>
      </c>
      <c r="C4" s="14">
        <f>'02_Couts_Rentabilite'!C10</f>
        <v>42500</v>
      </c>
      <c r="D4" s="14">
        <f>C4-B4</f>
        <v>0</v>
      </c>
    </row>
    <row r="5" spans="1:4" ht="15" customHeight="1" x14ac:dyDescent="0.25">
      <c r="A5" s="8" t="s">
        <v>57</v>
      </c>
      <c r="B5" s="9">
        <v>40674</v>
      </c>
      <c r="C5" s="14">
        <f>'02_Couts_Rentabilite'!I10</f>
        <v>40674</v>
      </c>
      <c r="D5" s="14">
        <f>C5-B5</f>
        <v>0</v>
      </c>
    </row>
    <row r="6" spans="1:4" ht="15" customHeight="1" x14ac:dyDescent="0.25">
      <c r="A6" s="8" t="s">
        <v>58</v>
      </c>
      <c r="B6" s="9">
        <v>1826</v>
      </c>
      <c r="C6" s="14">
        <f>'02_Couts_Rentabilite'!K10</f>
        <v>1825.9999999999986</v>
      </c>
      <c r="D6" s="14">
        <f>C6-B6</f>
        <v>0</v>
      </c>
    </row>
    <row r="8" spans="1:4" ht="12.75" customHeight="1" x14ac:dyDescent="0.25">
      <c r="A8" s="20"/>
    </row>
    <row r="9" spans="1:4" ht="60" x14ac:dyDescent="0.25">
      <c r="A9" s="7" t="s">
        <v>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00_Sommaire</vt:lpstr>
      <vt:lpstr>01_Cles_Repartition</vt:lpstr>
      <vt:lpstr>02_Couts_Rentabilite</vt:lpstr>
      <vt:lpstr>03_Controle_Coherence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BAKARY SACKO</dc:creator>
  <dc:description/>
  <cp:lastModifiedBy>BAKARY SACKO</cp:lastModifiedBy>
  <cp:revision>0</cp:revision>
  <dcterms:created xsi:type="dcterms:W3CDTF">2026-09-05T11:22:51Z</dcterms:created>
  <dcterms:modified xsi:type="dcterms:W3CDTF">2026-09-12T16:41:33Z</dcterms:modified>
  <dc:language>en-US</dc:language>
</cp:coreProperties>
</file>